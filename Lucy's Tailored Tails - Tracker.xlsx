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e9269253746276f3/Documents/Firefly Accounting/Client Files/Sole Traders and Individuals/Lucy Tomkins/"/>
    </mc:Choice>
  </mc:AlternateContent>
  <xr:revisionPtr revIDLastSave="2" documentId="8_{A0324DF9-8301-471D-9BC1-D7EB29EAB973}" xr6:coauthVersionLast="47" xr6:coauthVersionMax="47" xr10:uidLastSave="{7F73968C-23E4-451C-A2B0-1E27BBA92155}"/>
  <bookViews>
    <workbookView xWindow="-120" yWindow="-120" windowWidth="29040" windowHeight="15720" tabRatio="786" xr2:uid="{00000000-000D-0000-FFFF-FFFF00000000}"/>
  </bookViews>
  <sheets>
    <sheet name="Instructions" sheetId="16" r:id="rId1"/>
    <sheet name="Categories" sheetId="2" r:id="rId2"/>
    <sheet name="Apr" sheetId="5" r:id="rId3"/>
    <sheet name="May" sheetId="6" r:id="rId4"/>
    <sheet name="June" sheetId="7" r:id="rId5"/>
    <sheet name="July" sheetId="8" r:id="rId6"/>
    <sheet name="Aug" sheetId="9" r:id="rId7"/>
    <sheet name="Sept" sheetId="10" r:id="rId8"/>
    <sheet name="Oct" sheetId="11" r:id="rId9"/>
    <sheet name="Nov" sheetId="12" r:id="rId10"/>
    <sheet name="Dec" sheetId="13" r:id="rId11"/>
    <sheet name="Jan" sheetId="1" r:id="rId12"/>
    <sheet name="Feb" sheetId="3" r:id="rId13"/>
    <sheet name="Mar" sheetId="4" r:id="rId14"/>
    <sheet name="Totals" sheetId="14" r:id="rId15"/>
  </sheets>
  <definedNames>
    <definedName name="Account">Categories!$A$1:$A$14</definedName>
    <definedName name="AccountCode" comment="Account Code">Categories!$A$1:$A$14</definedName>
    <definedName name="Accountcodes">Categories!$A$1:$A$14</definedName>
    <definedName name="Income_1">Categories!$A$1:$A$14</definedName>
    <definedName name="_xlnm.Print_Area" localSheetId="14">Totals!$A$22:$P$51</definedName>
    <definedName name="_xlnm.Print_Titles" localSheetId="2">Apr!$5:$5</definedName>
    <definedName name="_xlnm.Print_Titles" localSheetId="6">Aug!$5:$5</definedName>
    <definedName name="_xlnm.Print_Titles" localSheetId="10">Dec!$5:$5</definedName>
    <definedName name="_xlnm.Print_Titles" localSheetId="12">Feb!$5:$5</definedName>
    <definedName name="_xlnm.Print_Titles" localSheetId="11">Jan!$5:$5</definedName>
    <definedName name="_xlnm.Print_Titles" localSheetId="5">July!$5:$5</definedName>
    <definedName name="_xlnm.Print_Titles" localSheetId="4">June!$5:$5</definedName>
    <definedName name="_xlnm.Print_Titles" localSheetId="13">Mar!$5:$5</definedName>
    <definedName name="_xlnm.Print_Titles" localSheetId="3">May!$5:$5</definedName>
    <definedName name="_xlnm.Print_Titles" localSheetId="9">Nov!$5:$5</definedName>
    <definedName name="_xlnm.Print_Titles" localSheetId="8">Oct!$5:$5</definedName>
    <definedName name="_xlnm.Print_Titles" localSheetId="7">Sept!$5:$5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4" i="14" l="1"/>
  <c r="P23" i="14"/>
  <c r="F95" i="13"/>
  <c r="F94" i="13"/>
  <c r="F93" i="13"/>
  <c r="F92" i="13"/>
  <c r="F91" i="13"/>
  <c r="F90" i="13"/>
  <c r="F89" i="13"/>
  <c r="F88" i="13"/>
  <c r="W88" i="13" s="1"/>
  <c r="F87" i="13"/>
  <c r="F86" i="13"/>
  <c r="F85" i="13"/>
  <c r="F84" i="13"/>
  <c r="F83" i="13"/>
  <c r="F82" i="13"/>
  <c r="F81" i="13"/>
  <c r="U81" i="13" s="1"/>
  <c r="F80" i="13"/>
  <c r="F79" i="13"/>
  <c r="F78" i="13"/>
  <c r="F77" i="13"/>
  <c r="F76" i="13"/>
  <c r="F75" i="13"/>
  <c r="R75" i="13" s="1"/>
  <c r="F74" i="13"/>
  <c r="T74" i="13" s="1"/>
  <c r="F73" i="13"/>
  <c r="F72" i="13"/>
  <c r="F71" i="13"/>
  <c r="J71" i="13" s="1"/>
  <c r="F70" i="13"/>
  <c r="F69" i="13"/>
  <c r="F68" i="13"/>
  <c r="P68" i="13" s="1"/>
  <c r="F67" i="13"/>
  <c r="R67" i="13" s="1"/>
  <c r="F66" i="13"/>
  <c r="F65" i="13"/>
  <c r="N65" i="13" s="1"/>
  <c r="F64" i="13"/>
  <c r="P64" i="13" s="1"/>
  <c r="F63" i="13"/>
  <c r="R63" i="13" s="1"/>
  <c r="F62" i="13"/>
  <c r="M62" i="13" s="1"/>
  <c r="F61" i="13"/>
  <c r="K61" i="13" s="1"/>
  <c r="F60" i="13"/>
  <c r="F59" i="13"/>
  <c r="W59" i="13" s="1"/>
  <c r="F58" i="13"/>
  <c r="U58" i="13" s="1"/>
  <c r="F57" i="13"/>
  <c r="S57" i="13" s="1"/>
  <c r="F56" i="13"/>
  <c r="I56" i="13" s="1"/>
  <c r="F55" i="13"/>
  <c r="O55" i="13" s="1"/>
  <c r="F54" i="13"/>
  <c r="M54" i="13" s="1"/>
  <c r="F53" i="13"/>
  <c r="N53" i="13" s="1"/>
  <c r="F52" i="13"/>
  <c r="T52" i="13" s="1"/>
  <c r="F51" i="13"/>
  <c r="V51" i="13" s="1"/>
  <c r="F50" i="13"/>
  <c r="U50" i="13" s="1"/>
  <c r="F49" i="13"/>
  <c r="X49" i="13" s="1"/>
  <c r="F48" i="13"/>
  <c r="V48" i="13" s="1"/>
  <c r="F47" i="13"/>
  <c r="X47" i="13" s="1"/>
  <c r="F46" i="13"/>
  <c r="V46" i="13" s="1"/>
  <c r="F45" i="13"/>
  <c r="F44" i="13"/>
  <c r="V44" i="13" s="1"/>
  <c r="F43" i="13"/>
  <c r="F42" i="13"/>
  <c r="U42" i="13" s="1"/>
  <c r="F41" i="13"/>
  <c r="X41" i="13" s="1"/>
  <c r="F40" i="13"/>
  <c r="F39" i="13"/>
  <c r="W39" i="13" s="1"/>
  <c r="F38" i="13"/>
  <c r="R38" i="13" s="1"/>
  <c r="F37" i="13"/>
  <c r="V37" i="13" s="1"/>
  <c r="F36" i="13"/>
  <c r="W36" i="13" s="1"/>
  <c r="F35" i="13"/>
  <c r="F34" i="13"/>
  <c r="F33" i="13"/>
  <c r="F32" i="13"/>
  <c r="W32" i="13" s="1"/>
  <c r="F31" i="13"/>
  <c r="V31" i="13" s="1"/>
  <c r="F30" i="13"/>
  <c r="R30" i="13" s="1"/>
  <c r="F29" i="13"/>
  <c r="F28" i="13"/>
  <c r="W28" i="13" s="1"/>
  <c r="F27" i="13"/>
  <c r="V27" i="13" s="1"/>
  <c r="F26" i="13"/>
  <c r="T26" i="13" s="1"/>
  <c r="F25" i="13"/>
  <c r="F24" i="13"/>
  <c r="X24" i="13" s="1"/>
  <c r="F23" i="13"/>
  <c r="U23" i="13" s="1"/>
  <c r="F22" i="13"/>
  <c r="F21" i="13"/>
  <c r="U21" i="13" s="1"/>
  <c r="F20" i="13"/>
  <c r="O20" i="13" s="1"/>
  <c r="F19" i="13"/>
  <c r="V19" i="13" s="1"/>
  <c r="F18" i="13"/>
  <c r="F17" i="13"/>
  <c r="O17" i="13" s="1"/>
  <c r="F16" i="13"/>
  <c r="F15" i="13"/>
  <c r="V15" i="13" s="1"/>
  <c r="F14" i="13"/>
  <c r="U14" i="13" s="1"/>
  <c r="F13" i="13"/>
  <c r="V13" i="13" s="1"/>
  <c r="F12" i="13"/>
  <c r="W12" i="13" s="1"/>
  <c r="F11" i="13"/>
  <c r="F10" i="13"/>
  <c r="U10" i="13" s="1"/>
  <c r="F9" i="13"/>
  <c r="V9" i="13" s="1"/>
  <c r="F8" i="13"/>
  <c r="W8" i="13" s="1"/>
  <c r="F7" i="13"/>
  <c r="X7" i="13" s="1"/>
  <c r="F6" i="13"/>
  <c r="U6" i="13" s="1"/>
  <c r="X5" i="13"/>
  <c r="W5" i="13"/>
  <c r="V5" i="13"/>
  <c r="U5" i="13"/>
  <c r="T5" i="13"/>
  <c r="S5" i="13"/>
  <c r="R5" i="13"/>
  <c r="Q5" i="13"/>
  <c r="P5" i="13"/>
  <c r="O5" i="13"/>
  <c r="N5" i="13"/>
  <c r="M5" i="13"/>
  <c r="L5" i="13"/>
  <c r="K5" i="13"/>
  <c r="J5" i="13"/>
  <c r="I5" i="13"/>
  <c r="H5" i="13"/>
  <c r="G5" i="13"/>
  <c r="D1" i="13"/>
  <c r="F95" i="12"/>
  <c r="F94" i="12"/>
  <c r="F93" i="12"/>
  <c r="F92" i="12"/>
  <c r="F91" i="12"/>
  <c r="F90" i="12"/>
  <c r="F89" i="12"/>
  <c r="F88" i="12"/>
  <c r="F87" i="12"/>
  <c r="F86" i="12"/>
  <c r="F85" i="12"/>
  <c r="F84" i="12"/>
  <c r="F83" i="12"/>
  <c r="F82" i="12"/>
  <c r="F81" i="12"/>
  <c r="F80" i="12"/>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9" i="12"/>
  <c r="F48" i="12"/>
  <c r="F47" i="12"/>
  <c r="F46" i="12"/>
  <c r="F45" i="12"/>
  <c r="V45" i="12" s="1"/>
  <c r="F44" i="12"/>
  <c r="T44" i="12" s="1"/>
  <c r="F43" i="12"/>
  <c r="U43" i="12" s="1"/>
  <c r="F42" i="12"/>
  <c r="F41" i="12"/>
  <c r="V41" i="12" s="1"/>
  <c r="F40" i="12"/>
  <c r="F39" i="12"/>
  <c r="R39" i="12" s="1"/>
  <c r="F38" i="12"/>
  <c r="F37" i="12"/>
  <c r="W37" i="12" s="1"/>
  <c r="F36" i="12"/>
  <c r="F35" i="12"/>
  <c r="N35" i="12" s="1"/>
  <c r="F34" i="12"/>
  <c r="V34" i="12" s="1"/>
  <c r="F33" i="12"/>
  <c r="V33" i="12" s="1"/>
  <c r="F32" i="12"/>
  <c r="V32" i="12" s="1"/>
  <c r="F31" i="12"/>
  <c r="J31" i="12" s="1"/>
  <c r="F30" i="12"/>
  <c r="V30" i="12" s="1"/>
  <c r="F29" i="12"/>
  <c r="T29" i="12" s="1"/>
  <c r="F28" i="12"/>
  <c r="F27" i="12"/>
  <c r="F26" i="12"/>
  <c r="V26" i="12" s="1"/>
  <c r="F25" i="12"/>
  <c r="R25" i="12" s="1"/>
  <c r="F24" i="12"/>
  <c r="L24" i="12" s="1"/>
  <c r="F23" i="12"/>
  <c r="L23" i="12" s="1"/>
  <c r="F22" i="12"/>
  <c r="F21" i="12"/>
  <c r="K21" i="12" s="1"/>
  <c r="F20" i="12"/>
  <c r="F19" i="12"/>
  <c r="F18" i="12"/>
  <c r="W18" i="12" s="1"/>
  <c r="F17" i="12"/>
  <c r="Q17" i="12" s="1"/>
  <c r="F16" i="12"/>
  <c r="F15" i="12"/>
  <c r="F14" i="12"/>
  <c r="V14" i="12" s="1"/>
  <c r="F13" i="12"/>
  <c r="F12" i="12"/>
  <c r="S12" i="12" s="1"/>
  <c r="F11" i="12"/>
  <c r="W11" i="12" s="1"/>
  <c r="F10" i="12"/>
  <c r="V10" i="12" s="1"/>
  <c r="F9" i="12"/>
  <c r="F8" i="12"/>
  <c r="X8" i="12" s="1"/>
  <c r="F7" i="12"/>
  <c r="F6" i="12"/>
  <c r="X5" i="12"/>
  <c r="W5" i="12"/>
  <c r="V5" i="12"/>
  <c r="U5" i="12"/>
  <c r="T5" i="12"/>
  <c r="S5" i="12"/>
  <c r="R5" i="12"/>
  <c r="Q5" i="12"/>
  <c r="P5" i="12"/>
  <c r="O5" i="12"/>
  <c r="N5" i="12"/>
  <c r="M5" i="12"/>
  <c r="L5" i="12"/>
  <c r="K5" i="12"/>
  <c r="J5" i="12"/>
  <c r="I5" i="12"/>
  <c r="H5" i="12"/>
  <c r="G5" i="12"/>
  <c r="D1" i="12"/>
  <c r="F95" i="11"/>
  <c r="F94" i="11"/>
  <c r="F93" i="11"/>
  <c r="F92" i="11"/>
  <c r="F91" i="11"/>
  <c r="F90" i="11"/>
  <c r="F89" i="11"/>
  <c r="F88" i="11"/>
  <c r="F87" i="11"/>
  <c r="F86" i="11"/>
  <c r="F85" i="11"/>
  <c r="F84" i="11"/>
  <c r="F83" i="11"/>
  <c r="F82" i="11"/>
  <c r="F81" i="11"/>
  <c r="F80" i="11"/>
  <c r="F79" i="11"/>
  <c r="F78" i="11"/>
  <c r="F77" i="11"/>
  <c r="F76" i="11"/>
  <c r="F75" i="11"/>
  <c r="F74" i="11"/>
  <c r="F73" i="11"/>
  <c r="F72" i="11"/>
  <c r="F71" i="11"/>
  <c r="F70" i="11"/>
  <c r="F69" i="11"/>
  <c r="F68" i="11"/>
  <c r="F67" i="11"/>
  <c r="F66" i="11"/>
  <c r="F65" i="11"/>
  <c r="F64" i="11"/>
  <c r="F63" i="11"/>
  <c r="F62" i="11"/>
  <c r="F61" i="11"/>
  <c r="F60" i="11"/>
  <c r="F59" i="11"/>
  <c r="F58" i="11"/>
  <c r="F57" i="11"/>
  <c r="F56" i="11"/>
  <c r="F55" i="11"/>
  <c r="F54" i="11"/>
  <c r="F53" i="11"/>
  <c r="F52" i="11"/>
  <c r="F51" i="11"/>
  <c r="F50" i="11"/>
  <c r="F49" i="11"/>
  <c r="F48" i="11"/>
  <c r="F47" i="11"/>
  <c r="F46" i="11"/>
  <c r="F45" i="11"/>
  <c r="V45" i="11" s="1"/>
  <c r="F44" i="11"/>
  <c r="V44" i="11" s="1"/>
  <c r="F43" i="11"/>
  <c r="U43" i="11" s="1"/>
  <c r="F42" i="11"/>
  <c r="S42" i="11" s="1"/>
  <c r="F41" i="11"/>
  <c r="F40" i="11"/>
  <c r="F39" i="11"/>
  <c r="R39" i="11" s="1"/>
  <c r="F38" i="11"/>
  <c r="F37" i="11"/>
  <c r="V37" i="11" s="1"/>
  <c r="F36" i="11"/>
  <c r="V36" i="11" s="1"/>
  <c r="F35" i="11"/>
  <c r="R35" i="11" s="1"/>
  <c r="F34" i="11"/>
  <c r="V34" i="11" s="1"/>
  <c r="F33" i="11"/>
  <c r="V33" i="11" s="1"/>
  <c r="F32" i="11"/>
  <c r="V32" i="11" s="1"/>
  <c r="F31" i="11"/>
  <c r="R31" i="11" s="1"/>
  <c r="F30" i="11"/>
  <c r="V30" i="11" s="1"/>
  <c r="F29" i="11"/>
  <c r="V29" i="11" s="1"/>
  <c r="F28" i="11"/>
  <c r="F27" i="11"/>
  <c r="U27" i="11" s="1"/>
  <c r="F26" i="11"/>
  <c r="F25" i="11"/>
  <c r="V25" i="11" s="1"/>
  <c r="F24" i="11"/>
  <c r="V24" i="11" s="1"/>
  <c r="F23" i="11"/>
  <c r="U23" i="11" s="1"/>
  <c r="F22" i="11"/>
  <c r="S22" i="11" s="1"/>
  <c r="F21" i="11"/>
  <c r="T21" i="11" s="1"/>
  <c r="F20" i="11"/>
  <c r="V20" i="11" s="1"/>
  <c r="F19" i="11"/>
  <c r="X19" i="11" s="1"/>
  <c r="F18" i="11"/>
  <c r="F17" i="11"/>
  <c r="X17" i="11" s="1"/>
  <c r="F16" i="11"/>
  <c r="F15" i="11"/>
  <c r="F14" i="11"/>
  <c r="W14" i="11" s="1"/>
  <c r="F13" i="11"/>
  <c r="X13" i="11" s="1"/>
  <c r="F12" i="11"/>
  <c r="F11" i="11"/>
  <c r="V11" i="11" s="1"/>
  <c r="F10" i="11"/>
  <c r="F9" i="11"/>
  <c r="F8" i="11"/>
  <c r="R8" i="11" s="1"/>
  <c r="F7" i="11"/>
  <c r="V7" i="11" s="1"/>
  <c r="F6" i="11"/>
  <c r="V6" i="11" s="1"/>
  <c r="X5" i="11"/>
  <c r="W5" i="11"/>
  <c r="V5" i="11"/>
  <c r="U5" i="11"/>
  <c r="T5" i="11"/>
  <c r="S5" i="11"/>
  <c r="R5" i="11"/>
  <c r="Q5" i="11"/>
  <c r="P5" i="11"/>
  <c r="O5" i="11"/>
  <c r="N5" i="11"/>
  <c r="M5" i="11"/>
  <c r="L5" i="11"/>
  <c r="K5" i="11"/>
  <c r="J5" i="11"/>
  <c r="I5" i="11"/>
  <c r="H5" i="11"/>
  <c r="G5" i="11"/>
  <c r="D1" i="11"/>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V45" i="10" s="1"/>
  <c r="F44" i="10"/>
  <c r="F43" i="10"/>
  <c r="V43" i="10" s="1"/>
  <c r="F42" i="10"/>
  <c r="R42" i="10" s="1"/>
  <c r="F41" i="10"/>
  <c r="U41" i="10" s="1"/>
  <c r="F40" i="10"/>
  <c r="T40" i="10" s="1"/>
  <c r="F39" i="10"/>
  <c r="X39" i="10" s="1"/>
  <c r="F38" i="10"/>
  <c r="U38" i="10" s="1"/>
  <c r="F37" i="10"/>
  <c r="V37" i="10" s="1"/>
  <c r="F36" i="10"/>
  <c r="F35" i="10"/>
  <c r="X35" i="10" s="1"/>
  <c r="F34" i="10"/>
  <c r="U34" i="10" s="1"/>
  <c r="F33" i="10"/>
  <c r="V33" i="10" s="1"/>
  <c r="F32" i="10"/>
  <c r="W32" i="10" s="1"/>
  <c r="F31" i="10"/>
  <c r="X31" i="10" s="1"/>
  <c r="F30" i="10"/>
  <c r="R30" i="10" s="1"/>
  <c r="F29" i="10"/>
  <c r="F28" i="10"/>
  <c r="V28" i="10" s="1"/>
  <c r="F27" i="10"/>
  <c r="F26" i="10"/>
  <c r="S26" i="10" s="1"/>
  <c r="F25" i="10"/>
  <c r="X25" i="10" s="1"/>
  <c r="F24" i="10"/>
  <c r="F23" i="10"/>
  <c r="V23" i="10" s="1"/>
  <c r="F22" i="10"/>
  <c r="V22" i="10" s="1"/>
  <c r="F21" i="10"/>
  <c r="F20" i="10"/>
  <c r="V20" i="10" s="1"/>
  <c r="F19" i="10"/>
  <c r="V19" i="10" s="1"/>
  <c r="F18" i="10"/>
  <c r="V18" i="10" s="1"/>
  <c r="F17" i="10"/>
  <c r="F16" i="10"/>
  <c r="V16" i="10" s="1"/>
  <c r="F15" i="10"/>
  <c r="V15" i="10" s="1"/>
  <c r="F14" i="10"/>
  <c r="V14" i="10" s="1"/>
  <c r="F13" i="10"/>
  <c r="F12" i="10"/>
  <c r="V12" i="10" s="1"/>
  <c r="F11" i="10"/>
  <c r="V11" i="10" s="1"/>
  <c r="F10" i="10"/>
  <c r="V10" i="10" s="1"/>
  <c r="F9" i="10"/>
  <c r="F8" i="10"/>
  <c r="F7" i="10"/>
  <c r="V7" i="10" s="1"/>
  <c r="F6" i="10"/>
  <c r="X5" i="10"/>
  <c r="W5" i="10"/>
  <c r="V5" i="10"/>
  <c r="U5" i="10"/>
  <c r="T5" i="10"/>
  <c r="S5" i="10"/>
  <c r="R5" i="10"/>
  <c r="Q5" i="10"/>
  <c r="P5" i="10"/>
  <c r="O5" i="10"/>
  <c r="N5" i="10"/>
  <c r="M5" i="10"/>
  <c r="L5" i="10"/>
  <c r="K5" i="10"/>
  <c r="J5" i="10"/>
  <c r="I5" i="10"/>
  <c r="H5" i="10"/>
  <c r="G5" i="10"/>
  <c r="D1" i="10"/>
  <c r="F95" i="9"/>
  <c r="F94" i="9"/>
  <c r="F93" i="9"/>
  <c r="F92" i="9"/>
  <c r="F91" i="9"/>
  <c r="F90" i="9"/>
  <c r="F89" i="9"/>
  <c r="F88" i="9"/>
  <c r="F87" i="9"/>
  <c r="F86" i="9"/>
  <c r="F85" i="9"/>
  <c r="F84" i="9"/>
  <c r="F83" i="9"/>
  <c r="F82" i="9"/>
  <c r="F81" i="9"/>
  <c r="F80" i="9"/>
  <c r="F79" i="9"/>
  <c r="F78" i="9"/>
  <c r="F77" i="9"/>
  <c r="F76" i="9"/>
  <c r="F75" i="9"/>
  <c r="F74" i="9"/>
  <c r="F73" i="9"/>
  <c r="F72" i="9"/>
  <c r="F71" i="9"/>
  <c r="F70" i="9"/>
  <c r="F69" i="9"/>
  <c r="F68" i="9"/>
  <c r="F67" i="9"/>
  <c r="F66" i="9"/>
  <c r="F65" i="9"/>
  <c r="F64" i="9"/>
  <c r="F63" i="9"/>
  <c r="F62" i="9"/>
  <c r="F61" i="9"/>
  <c r="F60" i="9"/>
  <c r="F59" i="9"/>
  <c r="F58" i="9"/>
  <c r="F57" i="9"/>
  <c r="F56" i="9"/>
  <c r="F55" i="9"/>
  <c r="F54" i="9"/>
  <c r="F53" i="9"/>
  <c r="F52" i="9"/>
  <c r="F51" i="9"/>
  <c r="F50" i="9"/>
  <c r="F49" i="9"/>
  <c r="F48" i="9"/>
  <c r="F47" i="9"/>
  <c r="F46" i="9"/>
  <c r="F45" i="9"/>
  <c r="V45" i="9" s="1"/>
  <c r="F44" i="9"/>
  <c r="U44" i="9" s="1"/>
  <c r="F43" i="9"/>
  <c r="S43" i="9" s="1"/>
  <c r="F42" i="9"/>
  <c r="S42" i="9" s="1"/>
  <c r="F41" i="9"/>
  <c r="V41" i="9" s="1"/>
  <c r="F40" i="9"/>
  <c r="F39" i="9"/>
  <c r="X39" i="9" s="1"/>
  <c r="F38" i="9"/>
  <c r="F37" i="9"/>
  <c r="S37" i="9" s="1"/>
  <c r="F36" i="9"/>
  <c r="V36" i="9" s="1"/>
  <c r="F35" i="9"/>
  <c r="F34" i="9"/>
  <c r="X34" i="9" s="1"/>
  <c r="F33" i="9"/>
  <c r="W33" i="9" s="1"/>
  <c r="F32" i="9"/>
  <c r="F31" i="9"/>
  <c r="V31" i="9" s="1"/>
  <c r="F30" i="9"/>
  <c r="R30" i="9" s="1"/>
  <c r="F29" i="9"/>
  <c r="F28" i="9"/>
  <c r="R28" i="9" s="1"/>
  <c r="F27" i="9"/>
  <c r="F26" i="9"/>
  <c r="M26" i="9" s="1"/>
  <c r="F25" i="9"/>
  <c r="F24" i="9"/>
  <c r="W24" i="9" s="1"/>
  <c r="F23" i="9"/>
  <c r="V23" i="9" s="1"/>
  <c r="F22" i="9"/>
  <c r="X22" i="9" s="1"/>
  <c r="F21" i="9"/>
  <c r="F20" i="9"/>
  <c r="W20" i="9" s="1"/>
  <c r="F19" i="9"/>
  <c r="V19" i="9" s="1"/>
  <c r="F18" i="9"/>
  <c r="F17" i="9"/>
  <c r="F16" i="9"/>
  <c r="W16" i="9" s="1"/>
  <c r="F15" i="9"/>
  <c r="F14" i="9"/>
  <c r="F13" i="9"/>
  <c r="W13" i="9" s="1"/>
  <c r="F12" i="9"/>
  <c r="V12" i="9" s="1"/>
  <c r="F11" i="9"/>
  <c r="P11" i="9" s="1"/>
  <c r="F10" i="9"/>
  <c r="O10" i="9" s="1"/>
  <c r="F9" i="9"/>
  <c r="F8" i="9"/>
  <c r="X8" i="9" s="1"/>
  <c r="F7" i="9"/>
  <c r="U7" i="9" s="1"/>
  <c r="F6" i="9"/>
  <c r="V6" i="9" s="1"/>
  <c r="X5" i="9"/>
  <c r="W5" i="9"/>
  <c r="V5" i="9"/>
  <c r="U5" i="9"/>
  <c r="T5" i="9"/>
  <c r="S5" i="9"/>
  <c r="R5" i="9"/>
  <c r="Q5" i="9"/>
  <c r="P5" i="9"/>
  <c r="O5" i="9"/>
  <c r="N5" i="9"/>
  <c r="M5" i="9"/>
  <c r="L5" i="9"/>
  <c r="K5" i="9"/>
  <c r="J5" i="9"/>
  <c r="I5" i="9"/>
  <c r="H5" i="9"/>
  <c r="G5" i="9"/>
  <c r="D1" i="9"/>
  <c r="F95" i="8"/>
  <c r="F94" i="8"/>
  <c r="F93" i="8"/>
  <c r="F92" i="8"/>
  <c r="F91" i="8"/>
  <c r="F90" i="8"/>
  <c r="F89" i="8"/>
  <c r="F88" i="8"/>
  <c r="F87" i="8"/>
  <c r="F86" i="8"/>
  <c r="F85" i="8"/>
  <c r="F84" i="8"/>
  <c r="F83" i="8"/>
  <c r="F82" i="8"/>
  <c r="F81" i="8"/>
  <c r="F80" i="8"/>
  <c r="F79" i="8"/>
  <c r="F78" i="8"/>
  <c r="F77" i="8"/>
  <c r="F76" i="8"/>
  <c r="F75" i="8"/>
  <c r="F74" i="8"/>
  <c r="F73" i="8"/>
  <c r="F72" i="8"/>
  <c r="F71" i="8"/>
  <c r="F70" i="8"/>
  <c r="F69" i="8"/>
  <c r="F68" i="8"/>
  <c r="F67" i="8"/>
  <c r="F66" i="8"/>
  <c r="F65" i="8"/>
  <c r="F64" i="8"/>
  <c r="F63" i="8"/>
  <c r="F62" i="8"/>
  <c r="F61" i="8"/>
  <c r="F60" i="8"/>
  <c r="F59" i="8"/>
  <c r="F58" i="8"/>
  <c r="F57" i="8"/>
  <c r="F56" i="8"/>
  <c r="F55" i="8"/>
  <c r="F54" i="8"/>
  <c r="F53" i="8"/>
  <c r="F52" i="8"/>
  <c r="F51" i="8"/>
  <c r="F50" i="8"/>
  <c r="F49" i="8"/>
  <c r="F48" i="8"/>
  <c r="F47" i="8"/>
  <c r="F46" i="8"/>
  <c r="F45" i="8"/>
  <c r="V45" i="8" s="1"/>
  <c r="F44" i="8"/>
  <c r="V44" i="8" s="1"/>
  <c r="F43" i="8"/>
  <c r="U43" i="8" s="1"/>
  <c r="F42" i="8"/>
  <c r="R42" i="8" s="1"/>
  <c r="F41" i="8"/>
  <c r="V41" i="8" s="1"/>
  <c r="F40" i="8"/>
  <c r="V40" i="8" s="1"/>
  <c r="F39" i="8"/>
  <c r="J39" i="8" s="1"/>
  <c r="F38" i="8"/>
  <c r="V38" i="8" s="1"/>
  <c r="F37" i="8"/>
  <c r="W37" i="8" s="1"/>
  <c r="F36" i="8"/>
  <c r="F35" i="8"/>
  <c r="F34" i="8"/>
  <c r="V34" i="8" s="1"/>
  <c r="F33" i="8"/>
  <c r="F32" i="8"/>
  <c r="Q32" i="8" s="1"/>
  <c r="F31" i="8"/>
  <c r="N31" i="8" s="1"/>
  <c r="F30" i="8"/>
  <c r="V30" i="8" s="1"/>
  <c r="F29" i="8"/>
  <c r="F28" i="8"/>
  <c r="Q28" i="8" s="1"/>
  <c r="F27" i="8"/>
  <c r="R27" i="8" s="1"/>
  <c r="F26" i="8"/>
  <c r="F25" i="8"/>
  <c r="L25" i="8" s="1"/>
  <c r="F24" i="8"/>
  <c r="V24" i="8" s="1"/>
  <c r="F23" i="8"/>
  <c r="T23" i="8" s="1"/>
  <c r="F22" i="8"/>
  <c r="F21" i="8"/>
  <c r="T21" i="8" s="1"/>
  <c r="F20" i="8"/>
  <c r="V20" i="8" s="1"/>
  <c r="F19" i="8"/>
  <c r="U19" i="8" s="1"/>
  <c r="F18" i="8"/>
  <c r="U18" i="8" s="1"/>
  <c r="F17" i="8"/>
  <c r="T17" i="8" s="1"/>
  <c r="F16" i="8"/>
  <c r="V16" i="8" s="1"/>
  <c r="F15" i="8"/>
  <c r="F14" i="8"/>
  <c r="U14" i="8" s="1"/>
  <c r="F13" i="8"/>
  <c r="F12" i="8"/>
  <c r="X12" i="8" s="1"/>
  <c r="F11" i="8"/>
  <c r="U11" i="8" s="1"/>
  <c r="F10" i="8"/>
  <c r="F9" i="8"/>
  <c r="W9" i="8" s="1"/>
  <c r="F8" i="8"/>
  <c r="F7" i="8"/>
  <c r="U7" i="8" s="1"/>
  <c r="F6" i="8"/>
  <c r="V6" i="8" s="1"/>
  <c r="X5" i="8"/>
  <c r="W5" i="8"/>
  <c r="V5" i="8"/>
  <c r="U5" i="8"/>
  <c r="T5" i="8"/>
  <c r="S5" i="8"/>
  <c r="R5" i="8"/>
  <c r="Q5" i="8"/>
  <c r="P5" i="8"/>
  <c r="O5" i="8"/>
  <c r="N5" i="8"/>
  <c r="M5" i="8"/>
  <c r="L5" i="8"/>
  <c r="K5" i="8"/>
  <c r="J5" i="8"/>
  <c r="I5" i="8"/>
  <c r="H5" i="8"/>
  <c r="G5" i="8"/>
  <c r="D1" i="8"/>
  <c r="F95" i="7"/>
  <c r="F94" i="7"/>
  <c r="F93" i="7"/>
  <c r="F92" i="7"/>
  <c r="F91" i="7"/>
  <c r="F90" i="7"/>
  <c r="F89" i="7"/>
  <c r="F88" i="7"/>
  <c r="F87" i="7"/>
  <c r="F86" i="7"/>
  <c r="F85" i="7"/>
  <c r="F84" i="7"/>
  <c r="F83" i="7"/>
  <c r="F82" i="7"/>
  <c r="F81" i="7"/>
  <c r="F80" i="7"/>
  <c r="F79" i="7"/>
  <c r="F78" i="7"/>
  <c r="F77" i="7"/>
  <c r="F76" i="7"/>
  <c r="F75" i="7"/>
  <c r="F74" i="7"/>
  <c r="F73" i="7"/>
  <c r="F72" i="7"/>
  <c r="F71" i="7"/>
  <c r="F70" i="7"/>
  <c r="F69" i="7"/>
  <c r="F68" i="7"/>
  <c r="F67" i="7"/>
  <c r="F66" i="7"/>
  <c r="F65" i="7"/>
  <c r="F64" i="7"/>
  <c r="F63" i="7"/>
  <c r="F62" i="7"/>
  <c r="F61" i="7"/>
  <c r="F60" i="7"/>
  <c r="F59" i="7"/>
  <c r="F58" i="7"/>
  <c r="F57" i="7"/>
  <c r="F56" i="7"/>
  <c r="F55" i="7"/>
  <c r="F54" i="7"/>
  <c r="F53" i="7"/>
  <c r="F52" i="7"/>
  <c r="F51" i="7"/>
  <c r="F50" i="7"/>
  <c r="F49" i="7"/>
  <c r="F48" i="7"/>
  <c r="F47" i="7"/>
  <c r="F46" i="7"/>
  <c r="F45" i="7"/>
  <c r="V45" i="7" s="1"/>
  <c r="F44" i="7"/>
  <c r="V44" i="7" s="1"/>
  <c r="F43" i="7"/>
  <c r="U43" i="7" s="1"/>
  <c r="F42" i="7"/>
  <c r="F41" i="7"/>
  <c r="W41" i="7" s="1"/>
  <c r="F40" i="7"/>
  <c r="V40" i="7" s="1"/>
  <c r="F39" i="7"/>
  <c r="F38" i="7"/>
  <c r="V38" i="7" s="1"/>
  <c r="F37" i="7"/>
  <c r="F36" i="7"/>
  <c r="V36" i="7" s="1"/>
  <c r="F35" i="7"/>
  <c r="V35" i="7" s="1"/>
  <c r="F34" i="7"/>
  <c r="V34" i="7" s="1"/>
  <c r="F33" i="7"/>
  <c r="R33" i="7" s="1"/>
  <c r="F32" i="7"/>
  <c r="V32" i="7" s="1"/>
  <c r="F31" i="7"/>
  <c r="V31" i="7" s="1"/>
  <c r="F30" i="7"/>
  <c r="V30" i="7" s="1"/>
  <c r="F29" i="7"/>
  <c r="R29" i="7" s="1"/>
  <c r="F28" i="7"/>
  <c r="V28" i="7" s="1"/>
  <c r="F27" i="7"/>
  <c r="V27" i="7" s="1"/>
  <c r="F26" i="7"/>
  <c r="V26" i="7" s="1"/>
  <c r="F25" i="7"/>
  <c r="U25" i="7" s="1"/>
  <c r="F24" i="7"/>
  <c r="S24" i="7" s="1"/>
  <c r="F23" i="7"/>
  <c r="V23" i="7" s="1"/>
  <c r="F22" i="7"/>
  <c r="S22" i="7" s="1"/>
  <c r="F21" i="7"/>
  <c r="P21" i="7" s="1"/>
  <c r="F20" i="7"/>
  <c r="J20" i="7" s="1"/>
  <c r="F19" i="7"/>
  <c r="J19" i="7" s="1"/>
  <c r="F18" i="7"/>
  <c r="V18" i="7" s="1"/>
  <c r="F17" i="7"/>
  <c r="P17" i="7" s="1"/>
  <c r="F16" i="7"/>
  <c r="F15" i="7"/>
  <c r="F14" i="7"/>
  <c r="V14" i="7" s="1"/>
  <c r="F13" i="7"/>
  <c r="J13" i="7" s="1"/>
  <c r="F12" i="7"/>
  <c r="J12" i="7" s="1"/>
  <c r="F11" i="7"/>
  <c r="U11" i="7" s="1"/>
  <c r="F10" i="7"/>
  <c r="F9" i="7"/>
  <c r="V9" i="7" s="1"/>
  <c r="F8" i="7"/>
  <c r="F7" i="7"/>
  <c r="U7" i="7" s="1"/>
  <c r="F6" i="7"/>
  <c r="V6" i="7" s="1"/>
  <c r="X5" i="7"/>
  <c r="W5" i="7"/>
  <c r="V5" i="7"/>
  <c r="U5" i="7"/>
  <c r="T5" i="7"/>
  <c r="S5" i="7"/>
  <c r="R5" i="7"/>
  <c r="Q5" i="7"/>
  <c r="P5" i="7"/>
  <c r="O5" i="7"/>
  <c r="N5" i="7"/>
  <c r="M5" i="7"/>
  <c r="L5" i="7"/>
  <c r="K5" i="7"/>
  <c r="J5" i="7"/>
  <c r="I5" i="7"/>
  <c r="H5" i="7"/>
  <c r="G5" i="7"/>
  <c r="D1" i="7"/>
  <c r="F95" i="6"/>
  <c r="T95" i="6" s="1"/>
  <c r="F94" i="6"/>
  <c r="F93" i="6"/>
  <c r="F92" i="6"/>
  <c r="F91" i="6"/>
  <c r="F90" i="6"/>
  <c r="F89" i="6"/>
  <c r="F88" i="6"/>
  <c r="F87" i="6"/>
  <c r="P87" i="6" s="1"/>
  <c r="F86" i="6"/>
  <c r="F85" i="6"/>
  <c r="F84" i="6"/>
  <c r="F83" i="6"/>
  <c r="X83" i="6" s="1"/>
  <c r="F82" i="6"/>
  <c r="F81" i="6"/>
  <c r="F80" i="6"/>
  <c r="F79" i="6"/>
  <c r="F78" i="6"/>
  <c r="F77" i="6"/>
  <c r="F76" i="6"/>
  <c r="F75" i="6"/>
  <c r="F74" i="6"/>
  <c r="G74" i="6" s="1"/>
  <c r="F73" i="6"/>
  <c r="F72" i="6"/>
  <c r="F71" i="6"/>
  <c r="F70" i="6"/>
  <c r="F69" i="6"/>
  <c r="F68" i="6"/>
  <c r="F67" i="6"/>
  <c r="F66" i="6"/>
  <c r="K66" i="6" s="1"/>
  <c r="F65" i="6"/>
  <c r="F64" i="6"/>
  <c r="F63" i="6"/>
  <c r="F62" i="6"/>
  <c r="F61" i="6"/>
  <c r="F60" i="6"/>
  <c r="F59" i="6"/>
  <c r="F58" i="6"/>
  <c r="F57" i="6"/>
  <c r="G57" i="6" s="1"/>
  <c r="F56" i="6"/>
  <c r="F55" i="6"/>
  <c r="F54" i="6"/>
  <c r="F53" i="6"/>
  <c r="G53" i="6" s="1"/>
  <c r="F52" i="6"/>
  <c r="F51" i="6"/>
  <c r="F50" i="6"/>
  <c r="F49" i="6"/>
  <c r="G49" i="6" s="1"/>
  <c r="F48" i="6"/>
  <c r="F47" i="6"/>
  <c r="F46" i="6"/>
  <c r="F45" i="6"/>
  <c r="G45" i="6" s="1"/>
  <c r="F44" i="6"/>
  <c r="V44" i="6" s="1"/>
  <c r="F43" i="6"/>
  <c r="U43" i="6" s="1"/>
  <c r="F42" i="6"/>
  <c r="F41" i="6"/>
  <c r="K41" i="6" s="1"/>
  <c r="F40" i="6"/>
  <c r="V40" i="6" s="1"/>
  <c r="F39" i="6"/>
  <c r="J39" i="6" s="1"/>
  <c r="F38" i="6"/>
  <c r="V38" i="6" s="1"/>
  <c r="F37" i="6"/>
  <c r="F36" i="6"/>
  <c r="V36" i="6" s="1"/>
  <c r="F35" i="6"/>
  <c r="R35" i="6" s="1"/>
  <c r="F34" i="6"/>
  <c r="F33" i="6"/>
  <c r="W33" i="6" s="1"/>
  <c r="F32" i="6"/>
  <c r="V32" i="6" s="1"/>
  <c r="F31" i="6"/>
  <c r="R31" i="6" s="1"/>
  <c r="F30" i="6"/>
  <c r="W30" i="6" s="1"/>
  <c r="F29" i="6"/>
  <c r="V29" i="6" s="1"/>
  <c r="F28" i="6"/>
  <c r="V28" i="6" s="1"/>
  <c r="F27" i="6"/>
  <c r="R27" i="6" s="1"/>
  <c r="F26" i="6"/>
  <c r="S26" i="6" s="1"/>
  <c r="F25" i="6"/>
  <c r="V25" i="6" s="1"/>
  <c r="F24" i="6"/>
  <c r="V24" i="6" s="1"/>
  <c r="F23" i="6"/>
  <c r="U23" i="6" s="1"/>
  <c r="F22" i="6"/>
  <c r="O22" i="6" s="1"/>
  <c r="F21" i="6"/>
  <c r="S21" i="6" s="1"/>
  <c r="F20" i="6"/>
  <c r="V20" i="6" s="1"/>
  <c r="F19" i="6"/>
  <c r="M19" i="6" s="1"/>
  <c r="F18" i="6"/>
  <c r="L18" i="6" s="1"/>
  <c r="F17" i="6"/>
  <c r="U17" i="6" s="1"/>
  <c r="F16" i="6"/>
  <c r="V16" i="6" s="1"/>
  <c r="F15" i="6"/>
  <c r="V15" i="6" s="1"/>
  <c r="F14" i="6"/>
  <c r="F13" i="6"/>
  <c r="U13" i="6" s="1"/>
  <c r="F12" i="6"/>
  <c r="F11" i="6"/>
  <c r="S11" i="6" s="1"/>
  <c r="F10" i="6"/>
  <c r="W10" i="6" s="1"/>
  <c r="F9" i="6"/>
  <c r="U9" i="6" s="1"/>
  <c r="F8" i="6"/>
  <c r="V8" i="6" s="1"/>
  <c r="F7" i="6"/>
  <c r="G7" i="6" s="1"/>
  <c r="F6" i="6"/>
  <c r="X5" i="6"/>
  <c r="W5" i="6"/>
  <c r="V5" i="6"/>
  <c r="U5" i="6"/>
  <c r="T5" i="6"/>
  <c r="S5" i="6"/>
  <c r="R5" i="6"/>
  <c r="Q5" i="6"/>
  <c r="P5" i="6"/>
  <c r="O5" i="6"/>
  <c r="N5" i="6"/>
  <c r="M5" i="6"/>
  <c r="L5" i="6"/>
  <c r="K5" i="6"/>
  <c r="J5" i="6"/>
  <c r="I5" i="6"/>
  <c r="H5" i="6"/>
  <c r="G5" i="6"/>
  <c r="D1" i="6"/>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V44" i="5" s="1"/>
  <c r="F43" i="5"/>
  <c r="U43" i="5" s="1"/>
  <c r="F42" i="5"/>
  <c r="R42" i="5" s="1"/>
  <c r="F41" i="5"/>
  <c r="V41" i="5" s="1"/>
  <c r="F40" i="5"/>
  <c r="V40" i="5" s="1"/>
  <c r="F39" i="5"/>
  <c r="R39" i="5" s="1"/>
  <c r="F38" i="5"/>
  <c r="V38" i="5" s="1"/>
  <c r="F37" i="5"/>
  <c r="W37" i="5" s="1"/>
  <c r="F36" i="5"/>
  <c r="V36" i="5" s="1"/>
  <c r="F35" i="5"/>
  <c r="F34" i="5"/>
  <c r="F33" i="5"/>
  <c r="W33" i="5" s="1"/>
  <c r="F32" i="5"/>
  <c r="F31" i="5"/>
  <c r="R31" i="5" s="1"/>
  <c r="F30" i="5"/>
  <c r="V30" i="5" s="1"/>
  <c r="F29" i="5"/>
  <c r="W29" i="5" s="1"/>
  <c r="F28" i="5"/>
  <c r="V28" i="5" s="1"/>
  <c r="F27" i="5"/>
  <c r="F26" i="5"/>
  <c r="F25" i="5"/>
  <c r="T25" i="5" s="1"/>
  <c r="F24" i="5"/>
  <c r="V24" i="5" s="1"/>
  <c r="F23" i="5"/>
  <c r="T23" i="5" s="1"/>
  <c r="F22" i="5"/>
  <c r="F21" i="5"/>
  <c r="W21" i="5" s="1"/>
  <c r="F20" i="5"/>
  <c r="V20" i="5" s="1"/>
  <c r="F19" i="5"/>
  <c r="F18" i="5"/>
  <c r="W18" i="5" s="1"/>
  <c r="F17" i="5"/>
  <c r="F16" i="5"/>
  <c r="G16" i="5" s="1"/>
  <c r="F15" i="5"/>
  <c r="V15" i="5" s="1"/>
  <c r="F14" i="5"/>
  <c r="F13" i="5"/>
  <c r="V13" i="5" s="1"/>
  <c r="F12" i="5"/>
  <c r="U12" i="5" s="1"/>
  <c r="F11" i="5"/>
  <c r="V11" i="5" s="1"/>
  <c r="F10" i="5"/>
  <c r="G10" i="5" s="1"/>
  <c r="F9" i="5"/>
  <c r="V9" i="5" s="1"/>
  <c r="F8" i="5"/>
  <c r="U8" i="5" s="1"/>
  <c r="F7" i="5"/>
  <c r="F6" i="5"/>
  <c r="S6" i="5" s="1"/>
  <c r="X5" i="5"/>
  <c r="W5" i="5"/>
  <c r="V5" i="5"/>
  <c r="U5" i="5"/>
  <c r="T5" i="5"/>
  <c r="S5" i="5"/>
  <c r="R5" i="5"/>
  <c r="Q5" i="5"/>
  <c r="P5" i="5"/>
  <c r="O5" i="5"/>
  <c r="N5" i="5"/>
  <c r="M5" i="5"/>
  <c r="L5" i="5"/>
  <c r="K5" i="5"/>
  <c r="J5" i="5"/>
  <c r="I5" i="5"/>
  <c r="H5" i="5"/>
  <c r="G5" i="5"/>
  <c r="D1" i="5"/>
  <c r="F95" i="4"/>
  <c r="F94" i="4"/>
  <c r="F93" i="4"/>
  <c r="W93" i="4" s="1"/>
  <c r="F92" i="4"/>
  <c r="F91" i="4"/>
  <c r="F90" i="4"/>
  <c r="F89" i="4"/>
  <c r="F88" i="4"/>
  <c r="F87" i="4"/>
  <c r="F86" i="4"/>
  <c r="F85" i="4"/>
  <c r="G85" i="4" s="1"/>
  <c r="F84" i="4"/>
  <c r="F83" i="4"/>
  <c r="F82" i="4"/>
  <c r="F81" i="4"/>
  <c r="K81" i="4" s="1"/>
  <c r="F80" i="4"/>
  <c r="F79" i="4"/>
  <c r="F78" i="4"/>
  <c r="F77" i="4"/>
  <c r="V77" i="4" s="1"/>
  <c r="F76" i="4"/>
  <c r="F75" i="4"/>
  <c r="F74" i="4"/>
  <c r="F73" i="4"/>
  <c r="F72" i="4"/>
  <c r="F71" i="4"/>
  <c r="F70" i="4"/>
  <c r="F69" i="4"/>
  <c r="F68" i="4"/>
  <c r="F67" i="4"/>
  <c r="F66" i="4"/>
  <c r="F65" i="4"/>
  <c r="K65" i="4" s="1"/>
  <c r="F64" i="4"/>
  <c r="F63" i="4"/>
  <c r="F62" i="4"/>
  <c r="F61" i="4"/>
  <c r="F60" i="4"/>
  <c r="F59" i="4"/>
  <c r="F58" i="4"/>
  <c r="N58" i="4" s="1"/>
  <c r="F57" i="4"/>
  <c r="F56" i="4"/>
  <c r="F55" i="4"/>
  <c r="F54" i="4"/>
  <c r="N54" i="4" s="1"/>
  <c r="F53" i="4"/>
  <c r="F52" i="4"/>
  <c r="F51" i="4"/>
  <c r="F50" i="4"/>
  <c r="N50" i="4" s="1"/>
  <c r="F49" i="4"/>
  <c r="F48" i="4"/>
  <c r="F47" i="4"/>
  <c r="F46" i="4"/>
  <c r="N46" i="4" s="1"/>
  <c r="F45" i="4"/>
  <c r="F44" i="4"/>
  <c r="I44" i="4" s="1"/>
  <c r="F43" i="4"/>
  <c r="U43" i="4" s="1"/>
  <c r="F42" i="4"/>
  <c r="S42" i="4" s="1"/>
  <c r="F41" i="4"/>
  <c r="V41" i="4" s="1"/>
  <c r="F40" i="4"/>
  <c r="W40" i="4" s="1"/>
  <c r="F39" i="4"/>
  <c r="F38" i="4"/>
  <c r="N38" i="4" s="1"/>
  <c r="F37" i="4"/>
  <c r="F36" i="4"/>
  <c r="W36" i="4" s="1"/>
  <c r="F35" i="4"/>
  <c r="V35" i="4" s="1"/>
  <c r="F34" i="4"/>
  <c r="J34" i="4" s="1"/>
  <c r="F33" i="4"/>
  <c r="V33" i="4" s="1"/>
  <c r="F32" i="4"/>
  <c r="V32" i="4" s="1"/>
  <c r="F31" i="4"/>
  <c r="V31" i="4" s="1"/>
  <c r="F30" i="4"/>
  <c r="J30" i="4" s="1"/>
  <c r="F29" i="4"/>
  <c r="V29" i="4" s="1"/>
  <c r="F28" i="4"/>
  <c r="V28" i="4" s="1"/>
  <c r="F27" i="4"/>
  <c r="V27" i="4" s="1"/>
  <c r="F26" i="4"/>
  <c r="R26" i="4" s="1"/>
  <c r="F25" i="4"/>
  <c r="V25" i="4" s="1"/>
  <c r="F24" i="4"/>
  <c r="V24" i="4" s="1"/>
  <c r="F23" i="4"/>
  <c r="V23" i="4" s="1"/>
  <c r="F22" i="4"/>
  <c r="U22" i="4" s="1"/>
  <c r="F21" i="4"/>
  <c r="R21" i="4" s="1"/>
  <c r="F20" i="4"/>
  <c r="V20" i="4" s="1"/>
  <c r="F19" i="4"/>
  <c r="V19" i="4" s="1"/>
  <c r="F18" i="4"/>
  <c r="X18" i="4" s="1"/>
  <c r="F17" i="4"/>
  <c r="F16" i="4"/>
  <c r="X16" i="4" s="1"/>
  <c r="F15" i="4"/>
  <c r="V15" i="4" s="1"/>
  <c r="F14" i="4"/>
  <c r="F13" i="4"/>
  <c r="S13" i="4" s="1"/>
  <c r="F12" i="4"/>
  <c r="W12" i="4" s="1"/>
  <c r="F11" i="4"/>
  <c r="F10" i="4"/>
  <c r="V10" i="4" s="1"/>
  <c r="F9" i="4"/>
  <c r="W9" i="4" s="1"/>
  <c r="F8" i="4"/>
  <c r="V8" i="4" s="1"/>
  <c r="F7" i="4"/>
  <c r="U7" i="4" s="1"/>
  <c r="F6" i="4"/>
  <c r="V6" i="4" s="1"/>
  <c r="X5" i="4"/>
  <c r="W5" i="4"/>
  <c r="V5" i="4"/>
  <c r="U5" i="4"/>
  <c r="T5" i="4"/>
  <c r="S5" i="4"/>
  <c r="R5" i="4"/>
  <c r="Q5" i="4"/>
  <c r="P5" i="4"/>
  <c r="O5" i="4"/>
  <c r="N5" i="4"/>
  <c r="M5" i="4"/>
  <c r="L5" i="4"/>
  <c r="K5" i="4"/>
  <c r="J5" i="4"/>
  <c r="I5" i="4"/>
  <c r="H5" i="4"/>
  <c r="G5" i="4"/>
  <c r="D1" i="4"/>
  <c r="F95" i="3"/>
  <c r="F94" i="3"/>
  <c r="F93" i="3"/>
  <c r="F92" i="3"/>
  <c r="F91" i="3"/>
  <c r="F90" i="3"/>
  <c r="F89" i="3"/>
  <c r="F88" i="3"/>
  <c r="F87" i="3"/>
  <c r="F86" i="3"/>
  <c r="F85" i="3"/>
  <c r="F84" i="3"/>
  <c r="F83" i="3"/>
  <c r="F82" i="3"/>
  <c r="K82" i="3" s="1"/>
  <c r="F81" i="3"/>
  <c r="F80" i="3"/>
  <c r="F79" i="3"/>
  <c r="F78" i="3"/>
  <c r="F77" i="3"/>
  <c r="F76" i="3"/>
  <c r="F75" i="3"/>
  <c r="I75" i="3" s="1"/>
  <c r="F74" i="3"/>
  <c r="F73" i="3"/>
  <c r="F72" i="3"/>
  <c r="F71" i="3"/>
  <c r="F70" i="3"/>
  <c r="F69" i="3"/>
  <c r="F68" i="3"/>
  <c r="F67" i="3"/>
  <c r="F66" i="3"/>
  <c r="F65" i="3"/>
  <c r="F64" i="3"/>
  <c r="F63" i="3"/>
  <c r="F62" i="3"/>
  <c r="F61" i="3"/>
  <c r="F60" i="3"/>
  <c r="F59" i="3"/>
  <c r="F58" i="3"/>
  <c r="O58" i="3" s="1"/>
  <c r="F57" i="3"/>
  <c r="F56" i="3"/>
  <c r="F55" i="3"/>
  <c r="F54" i="3"/>
  <c r="S54" i="3" s="1"/>
  <c r="F53" i="3"/>
  <c r="F52" i="3"/>
  <c r="F51" i="3"/>
  <c r="F50" i="3"/>
  <c r="G50" i="3" s="1"/>
  <c r="F49" i="3"/>
  <c r="F48" i="3"/>
  <c r="F47" i="3"/>
  <c r="F46" i="3"/>
  <c r="K46" i="3" s="1"/>
  <c r="F45" i="3"/>
  <c r="F44" i="3"/>
  <c r="F43" i="3"/>
  <c r="F42" i="3"/>
  <c r="F41" i="3"/>
  <c r="J41" i="3" s="1"/>
  <c r="F40" i="3"/>
  <c r="F39" i="3"/>
  <c r="K39" i="3" s="1"/>
  <c r="F38" i="3"/>
  <c r="F37" i="3"/>
  <c r="H37" i="3" s="1"/>
  <c r="F36" i="3"/>
  <c r="F35" i="3"/>
  <c r="K35" i="3" s="1"/>
  <c r="F34" i="3"/>
  <c r="H34" i="3" s="1"/>
  <c r="F33" i="3"/>
  <c r="H33" i="3" s="1"/>
  <c r="F32" i="3"/>
  <c r="N32" i="3" s="1"/>
  <c r="F31" i="3"/>
  <c r="O31" i="3" s="1"/>
  <c r="F30" i="3"/>
  <c r="F29" i="3"/>
  <c r="I29" i="3" s="1"/>
  <c r="F28" i="3"/>
  <c r="N28" i="3" s="1"/>
  <c r="F27" i="3"/>
  <c r="O27" i="3" s="1"/>
  <c r="F26" i="3"/>
  <c r="F25" i="3"/>
  <c r="V25" i="3" s="1"/>
  <c r="F24" i="3"/>
  <c r="R24" i="3" s="1"/>
  <c r="F23" i="3"/>
  <c r="O23" i="3" s="1"/>
  <c r="F22" i="3"/>
  <c r="O22" i="3" s="1"/>
  <c r="F21" i="3"/>
  <c r="U21" i="3" s="1"/>
  <c r="F20" i="3"/>
  <c r="P20" i="3" s="1"/>
  <c r="F19" i="3"/>
  <c r="O19" i="3" s="1"/>
  <c r="F18" i="3"/>
  <c r="O18" i="3" s="1"/>
  <c r="F17" i="3"/>
  <c r="U17" i="3" s="1"/>
  <c r="F16" i="3"/>
  <c r="V16" i="3" s="1"/>
  <c r="F15" i="3"/>
  <c r="W15" i="3" s="1"/>
  <c r="F14" i="3"/>
  <c r="X14" i="3" s="1"/>
  <c r="F13" i="3"/>
  <c r="U13" i="3" s="1"/>
  <c r="F12" i="3"/>
  <c r="Q12" i="3" s="1"/>
  <c r="F11" i="3"/>
  <c r="W11" i="3" s="1"/>
  <c r="F10" i="3"/>
  <c r="X10" i="3" s="1"/>
  <c r="F9" i="3"/>
  <c r="U9" i="3" s="1"/>
  <c r="F8" i="3"/>
  <c r="V8" i="3" s="1"/>
  <c r="F7" i="3"/>
  <c r="W7" i="3" s="1"/>
  <c r="F6" i="3"/>
  <c r="X6" i="3" s="1"/>
  <c r="X5" i="3"/>
  <c r="W5" i="3"/>
  <c r="V5" i="3"/>
  <c r="U5" i="3"/>
  <c r="T5" i="3"/>
  <c r="S5" i="3"/>
  <c r="R5" i="3"/>
  <c r="Q5" i="3"/>
  <c r="P5" i="3"/>
  <c r="O5" i="3"/>
  <c r="N5" i="3"/>
  <c r="M5" i="3"/>
  <c r="L5" i="3"/>
  <c r="K5" i="3"/>
  <c r="J5" i="3"/>
  <c r="I5" i="3"/>
  <c r="H5" i="3"/>
  <c r="G5" i="3"/>
  <c r="D1" i="3"/>
  <c r="F45" i="1"/>
  <c r="F46" i="1"/>
  <c r="K46" i="1" s="1"/>
  <c r="F47" i="1"/>
  <c r="F48" i="1"/>
  <c r="F49" i="1"/>
  <c r="H49" i="1" s="1"/>
  <c r="F50" i="1"/>
  <c r="G50" i="1" s="1"/>
  <c r="F51" i="1"/>
  <c r="F52" i="1"/>
  <c r="F53" i="1"/>
  <c r="O53" i="1" s="1"/>
  <c r="F54" i="1"/>
  <c r="G54" i="1" s="1"/>
  <c r="F55" i="1"/>
  <c r="F56" i="1"/>
  <c r="F57" i="1"/>
  <c r="M57" i="1" s="1"/>
  <c r="F58" i="1"/>
  <c r="F59" i="1"/>
  <c r="F60" i="1"/>
  <c r="F61" i="1"/>
  <c r="F62" i="1"/>
  <c r="K62" i="1" s="1"/>
  <c r="F63" i="1"/>
  <c r="F64" i="1"/>
  <c r="F65" i="1"/>
  <c r="F66" i="1"/>
  <c r="G66" i="1" s="1"/>
  <c r="F67" i="1"/>
  <c r="F68" i="1"/>
  <c r="F69" i="1"/>
  <c r="F70" i="1"/>
  <c r="G70" i="1" s="1"/>
  <c r="F71" i="1"/>
  <c r="F72" i="1"/>
  <c r="F73" i="1"/>
  <c r="F74" i="1"/>
  <c r="F75" i="1"/>
  <c r="F76" i="1"/>
  <c r="F77" i="1"/>
  <c r="F78" i="1"/>
  <c r="K78" i="1" s="1"/>
  <c r="F79" i="1"/>
  <c r="F80" i="1"/>
  <c r="F81" i="1"/>
  <c r="F82" i="1"/>
  <c r="G82" i="1" s="1"/>
  <c r="F83" i="1"/>
  <c r="F84" i="1"/>
  <c r="F85" i="1"/>
  <c r="F86" i="1"/>
  <c r="G86" i="1" s="1"/>
  <c r="F87" i="1"/>
  <c r="F88" i="1"/>
  <c r="F89" i="1"/>
  <c r="F90" i="1"/>
  <c r="F91" i="1"/>
  <c r="F92" i="1"/>
  <c r="F93" i="1"/>
  <c r="F94" i="1"/>
  <c r="U94" i="1" s="1"/>
  <c r="F95" i="1"/>
  <c r="A42" i="14"/>
  <c r="F7" i="1"/>
  <c r="X7" i="1" s="1"/>
  <c r="F8" i="1"/>
  <c r="X8" i="1" s="1"/>
  <c r="F9" i="1"/>
  <c r="X9" i="1" s="1"/>
  <c r="F10" i="1"/>
  <c r="J10" i="1" s="1"/>
  <c r="F11" i="1"/>
  <c r="X11" i="1" s="1"/>
  <c r="F12" i="1"/>
  <c r="X12" i="1" s="1"/>
  <c r="F13" i="1"/>
  <c r="X13" i="1" s="1"/>
  <c r="F14" i="1"/>
  <c r="X14" i="1" s="1"/>
  <c r="F15" i="1"/>
  <c r="F16" i="1"/>
  <c r="X16" i="1" s="1"/>
  <c r="F17" i="1"/>
  <c r="X17" i="1" s="1"/>
  <c r="F18" i="1"/>
  <c r="X18" i="1" s="1"/>
  <c r="F19" i="1"/>
  <c r="X19" i="1" s="1"/>
  <c r="F20" i="1"/>
  <c r="X20" i="1" s="1"/>
  <c r="F21" i="1"/>
  <c r="X21" i="1" s="1"/>
  <c r="F22" i="1"/>
  <c r="X22" i="1" s="1"/>
  <c r="F23" i="1"/>
  <c r="X23" i="1" s="1"/>
  <c r="F24" i="1"/>
  <c r="X24" i="1" s="1"/>
  <c r="F25" i="1"/>
  <c r="X25" i="1" s="1"/>
  <c r="F26" i="1"/>
  <c r="K26" i="1" s="1"/>
  <c r="F27" i="1"/>
  <c r="X27" i="1" s="1"/>
  <c r="F28" i="1"/>
  <c r="X28" i="1" s="1"/>
  <c r="F29" i="1"/>
  <c r="X29" i="1" s="1"/>
  <c r="F30" i="1"/>
  <c r="V30" i="1" s="1"/>
  <c r="F31" i="1"/>
  <c r="X31" i="1" s="1"/>
  <c r="F32" i="1"/>
  <c r="X32" i="1" s="1"/>
  <c r="F33" i="1"/>
  <c r="F34" i="1"/>
  <c r="W34" i="1" s="1"/>
  <c r="F35" i="1"/>
  <c r="X35" i="1" s="1"/>
  <c r="F36" i="1"/>
  <c r="X36" i="1" s="1"/>
  <c r="F37" i="1"/>
  <c r="X37" i="1" s="1"/>
  <c r="F38" i="1"/>
  <c r="X38" i="1" s="1"/>
  <c r="F39" i="1"/>
  <c r="X39" i="1" s="1"/>
  <c r="F40" i="1"/>
  <c r="X40" i="1" s="1"/>
  <c r="F41" i="1"/>
  <c r="F42" i="1"/>
  <c r="F43" i="1"/>
  <c r="J43" i="1" s="1"/>
  <c r="F44" i="1"/>
  <c r="F6" i="1"/>
  <c r="W6" i="1" s="1"/>
  <c r="X5" i="1"/>
  <c r="W5" i="1"/>
  <c r="V5" i="1"/>
  <c r="U5" i="1"/>
  <c r="T5" i="1"/>
  <c r="K5" i="1"/>
  <c r="J5" i="1"/>
  <c r="A38" i="14"/>
  <c r="A39" i="14"/>
  <c r="A40" i="14"/>
  <c r="A41" i="14"/>
  <c r="A26" i="14"/>
  <c r="A27" i="14"/>
  <c r="G50" i="13" l="1"/>
  <c r="R51" i="13"/>
  <c r="K46" i="13"/>
  <c r="W55" i="13"/>
  <c r="I47" i="13"/>
  <c r="O46" i="13"/>
  <c r="M47" i="13"/>
  <c r="M49" i="13"/>
  <c r="L50" i="13"/>
  <c r="I62" i="13"/>
  <c r="S46" i="13"/>
  <c r="Q47" i="13"/>
  <c r="Q49" i="13"/>
  <c r="T50" i="13"/>
  <c r="I54" i="13"/>
  <c r="Q58" i="13"/>
  <c r="G63" i="13"/>
  <c r="I49" i="13"/>
  <c r="W20" i="1"/>
  <c r="G46" i="13"/>
  <c r="W46" i="13"/>
  <c r="U47" i="13"/>
  <c r="U49" i="13"/>
  <c r="J51" i="13"/>
  <c r="G55" i="13"/>
  <c r="O59" i="13"/>
  <c r="X60" i="13"/>
  <c r="T60" i="13"/>
  <c r="P60" i="13"/>
  <c r="L60" i="13"/>
  <c r="H60" i="13"/>
  <c r="W60" i="13"/>
  <c r="S60" i="13"/>
  <c r="O60" i="13"/>
  <c r="K60" i="13"/>
  <c r="G60" i="13"/>
  <c r="V60" i="13"/>
  <c r="R60" i="13"/>
  <c r="N60" i="13"/>
  <c r="J60" i="13"/>
  <c r="W72" i="13"/>
  <c r="S72" i="13"/>
  <c r="O72" i="13"/>
  <c r="K72" i="13"/>
  <c r="G72" i="13"/>
  <c r="V72" i="13"/>
  <c r="R72" i="13"/>
  <c r="N72" i="13"/>
  <c r="J72" i="13"/>
  <c r="U72" i="13"/>
  <c r="Q72" i="13"/>
  <c r="M72" i="13"/>
  <c r="I72" i="13"/>
  <c r="T72" i="13"/>
  <c r="P72" i="13"/>
  <c r="L72" i="13"/>
  <c r="V84" i="13"/>
  <c r="R84" i="13"/>
  <c r="N84" i="13"/>
  <c r="J84" i="13"/>
  <c r="U84" i="13"/>
  <c r="Q84" i="13"/>
  <c r="M84" i="13"/>
  <c r="I84" i="13"/>
  <c r="X84" i="13"/>
  <c r="T84" i="13"/>
  <c r="P84" i="13"/>
  <c r="L84" i="13"/>
  <c r="H84" i="13"/>
  <c r="K84" i="13"/>
  <c r="W84" i="13"/>
  <c r="G84" i="13"/>
  <c r="S84" i="13"/>
  <c r="O84" i="13"/>
  <c r="S48" i="13"/>
  <c r="X52" i="13"/>
  <c r="V53" i="13"/>
  <c r="R53" i="13"/>
  <c r="U53" i="13"/>
  <c r="Q53" i="13"/>
  <c r="M53" i="13"/>
  <c r="I53" i="13"/>
  <c r="X53" i="13"/>
  <c r="T53" i="13"/>
  <c r="P53" i="13"/>
  <c r="L53" i="13"/>
  <c r="H53" i="13"/>
  <c r="V57" i="13"/>
  <c r="R57" i="13"/>
  <c r="N57" i="13"/>
  <c r="J57" i="13"/>
  <c r="U57" i="13"/>
  <c r="Q57" i="13"/>
  <c r="M57" i="13"/>
  <c r="I57" i="13"/>
  <c r="X57" i="13"/>
  <c r="T57" i="13"/>
  <c r="P57" i="13"/>
  <c r="L57" i="13"/>
  <c r="H57" i="13"/>
  <c r="V61" i="13"/>
  <c r="R61" i="13"/>
  <c r="N61" i="13"/>
  <c r="J61" i="13"/>
  <c r="U61" i="13"/>
  <c r="Q61" i="13"/>
  <c r="M61" i="13"/>
  <c r="I61" i="13"/>
  <c r="X61" i="13"/>
  <c r="T61" i="13"/>
  <c r="P61" i="13"/>
  <c r="L61" i="13"/>
  <c r="H61" i="13"/>
  <c r="U65" i="13"/>
  <c r="Q65" i="13"/>
  <c r="M65" i="13"/>
  <c r="I65" i="13"/>
  <c r="X65" i="13"/>
  <c r="T65" i="13"/>
  <c r="P65" i="13"/>
  <c r="S65" i="13"/>
  <c r="L65" i="13"/>
  <c r="G65" i="13"/>
  <c r="R65" i="13"/>
  <c r="K65" i="13"/>
  <c r="W65" i="13"/>
  <c r="O65" i="13"/>
  <c r="J65" i="13"/>
  <c r="U69" i="13"/>
  <c r="Q69" i="13"/>
  <c r="M69" i="13"/>
  <c r="I69" i="13"/>
  <c r="X69" i="13"/>
  <c r="T69" i="13"/>
  <c r="P69" i="13"/>
  <c r="L69" i="13"/>
  <c r="H69" i="13"/>
  <c r="W69" i="13"/>
  <c r="S69" i="13"/>
  <c r="O69" i="13"/>
  <c r="K69" i="13"/>
  <c r="G69" i="13"/>
  <c r="J69" i="13"/>
  <c r="V69" i="13"/>
  <c r="R69" i="13"/>
  <c r="U73" i="13"/>
  <c r="Q73" i="13"/>
  <c r="M73" i="13"/>
  <c r="I73" i="13"/>
  <c r="X73" i="13"/>
  <c r="T73" i="13"/>
  <c r="P73" i="13"/>
  <c r="L73" i="13"/>
  <c r="H73" i="13"/>
  <c r="W73" i="13"/>
  <c r="S73" i="13"/>
  <c r="O73" i="13"/>
  <c r="K73" i="13"/>
  <c r="G73" i="13"/>
  <c r="R73" i="13"/>
  <c r="N73" i="13"/>
  <c r="J73" i="13"/>
  <c r="X77" i="13"/>
  <c r="T77" i="13"/>
  <c r="P77" i="13"/>
  <c r="L77" i="13"/>
  <c r="W77" i="13"/>
  <c r="S77" i="13"/>
  <c r="O77" i="13"/>
  <c r="K77" i="13"/>
  <c r="V77" i="13"/>
  <c r="R77" i="13"/>
  <c r="N77" i="13"/>
  <c r="J77" i="13"/>
  <c r="I77" i="13"/>
  <c r="U77" i="13"/>
  <c r="H77" i="13"/>
  <c r="Q77" i="13"/>
  <c r="G77" i="13"/>
  <c r="M77" i="13"/>
  <c r="X81" i="13"/>
  <c r="T81" i="13"/>
  <c r="P81" i="13"/>
  <c r="L81" i="13"/>
  <c r="H81" i="13"/>
  <c r="W81" i="13"/>
  <c r="S81" i="13"/>
  <c r="O81" i="13"/>
  <c r="K81" i="13"/>
  <c r="G81" i="13"/>
  <c r="V81" i="13"/>
  <c r="R81" i="13"/>
  <c r="N81" i="13"/>
  <c r="J81" i="13"/>
  <c r="Q81" i="13"/>
  <c r="M81" i="13"/>
  <c r="I81" i="13"/>
  <c r="X85" i="13"/>
  <c r="T85" i="13"/>
  <c r="P85" i="13"/>
  <c r="L85" i="13"/>
  <c r="H85" i="13"/>
  <c r="W85" i="13"/>
  <c r="S85" i="13"/>
  <c r="O85" i="13"/>
  <c r="K85" i="13"/>
  <c r="G85" i="13"/>
  <c r="V85" i="13"/>
  <c r="R85" i="13"/>
  <c r="N85" i="13"/>
  <c r="J85" i="13"/>
  <c r="I85" i="13"/>
  <c r="U85" i="13"/>
  <c r="Q85" i="13"/>
  <c r="X89" i="13"/>
  <c r="T89" i="13"/>
  <c r="P89" i="13"/>
  <c r="L89" i="13"/>
  <c r="H89" i="13"/>
  <c r="W89" i="13"/>
  <c r="S89" i="13"/>
  <c r="O89" i="13"/>
  <c r="K89" i="13"/>
  <c r="G89" i="13"/>
  <c r="V89" i="13"/>
  <c r="R89" i="13"/>
  <c r="N89" i="13"/>
  <c r="J89" i="13"/>
  <c r="Q89" i="13"/>
  <c r="M89" i="13"/>
  <c r="I89" i="13"/>
  <c r="U89" i="13"/>
  <c r="X93" i="13"/>
  <c r="T93" i="13"/>
  <c r="P93" i="13"/>
  <c r="L93" i="13"/>
  <c r="H93" i="13"/>
  <c r="W93" i="13"/>
  <c r="S93" i="13"/>
  <c r="O93" i="13"/>
  <c r="K93" i="13"/>
  <c r="G93" i="13"/>
  <c r="V93" i="13"/>
  <c r="R93" i="13"/>
  <c r="N93" i="13"/>
  <c r="J93" i="13"/>
  <c r="I93" i="13"/>
  <c r="U93" i="13"/>
  <c r="Q93" i="13"/>
  <c r="M93" i="13"/>
  <c r="H46" i="13"/>
  <c r="L46" i="13"/>
  <c r="P46" i="13"/>
  <c r="T46" i="13"/>
  <c r="X46" i="13"/>
  <c r="J47" i="13"/>
  <c r="N47" i="13"/>
  <c r="R47" i="13"/>
  <c r="V47" i="13"/>
  <c r="H48" i="13"/>
  <c r="L48" i="13"/>
  <c r="P48" i="13"/>
  <c r="T48" i="13"/>
  <c r="X48" i="13"/>
  <c r="J49" i="13"/>
  <c r="N49" i="13"/>
  <c r="R49" i="13"/>
  <c r="V49" i="13"/>
  <c r="H50" i="13"/>
  <c r="M50" i="13"/>
  <c r="K51" i="13"/>
  <c r="S51" i="13"/>
  <c r="I52" i="13"/>
  <c r="Q52" i="13"/>
  <c r="G53" i="13"/>
  <c r="O53" i="13"/>
  <c r="K55" i="13"/>
  <c r="G57" i="13"/>
  <c r="W57" i="13"/>
  <c r="S59" i="13"/>
  <c r="Q60" i="13"/>
  <c r="O61" i="13"/>
  <c r="L63" i="13"/>
  <c r="V65" i="13"/>
  <c r="H72" i="13"/>
  <c r="M85" i="13"/>
  <c r="X56" i="13"/>
  <c r="T56" i="13"/>
  <c r="P56" i="13"/>
  <c r="L56" i="13"/>
  <c r="H56" i="13"/>
  <c r="W56" i="13"/>
  <c r="S56" i="13"/>
  <c r="O56" i="13"/>
  <c r="K56" i="13"/>
  <c r="G56" i="13"/>
  <c r="V56" i="13"/>
  <c r="R56" i="13"/>
  <c r="N56" i="13"/>
  <c r="J56" i="13"/>
  <c r="W64" i="13"/>
  <c r="S64" i="13"/>
  <c r="O64" i="13"/>
  <c r="K64" i="13"/>
  <c r="G64" i="13"/>
  <c r="T64" i="13"/>
  <c r="N64" i="13"/>
  <c r="I64" i="13"/>
  <c r="X64" i="13"/>
  <c r="R64" i="13"/>
  <c r="M64" i="13"/>
  <c r="H64" i="13"/>
  <c r="V64" i="13"/>
  <c r="Q64" i="13"/>
  <c r="L64" i="13"/>
  <c r="W76" i="13"/>
  <c r="S76" i="13"/>
  <c r="O76" i="13"/>
  <c r="K76" i="13"/>
  <c r="G76" i="13"/>
  <c r="V76" i="13"/>
  <c r="R76" i="13"/>
  <c r="N76" i="13"/>
  <c r="J76" i="13"/>
  <c r="U76" i="13"/>
  <c r="Q76" i="13"/>
  <c r="M76" i="13"/>
  <c r="I76" i="13"/>
  <c r="L76" i="13"/>
  <c r="X76" i="13"/>
  <c r="H76" i="13"/>
  <c r="T76" i="13"/>
  <c r="V92" i="13"/>
  <c r="R92" i="13"/>
  <c r="N92" i="13"/>
  <c r="J92" i="13"/>
  <c r="U92" i="13"/>
  <c r="Q92" i="13"/>
  <c r="M92" i="13"/>
  <c r="I92" i="13"/>
  <c r="X92" i="13"/>
  <c r="T92" i="13"/>
  <c r="P92" i="13"/>
  <c r="L92" i="13"/>
  <c r="H92" i="13"/>
  <c r="K92" i="13"/>
  <c r="W92" i="13"/>
  <c r="G92" i="13"/>
  <c r="S92" i="13"/>
  <c r="K48" i="13"/>
  <c r="W48" i="13"/>
  <c r="H52" i="13"/>
  <c r="U56" i="13"/>
  <c r="W50" i="13"/>
  <c r="S50" i="13"/>
  <c r="O50" i="13"/>
  <c r="K50" i="13"/>
  <c r="V50" i="13"/>
  <c r="R50" i="13"/>
  <c r="N50" i="13"/>
  <c r="X54" i="13"/>
  <c r="T54" i="13"/>
  <c r="P54" i="13"/>
  <c r="L54" i="13"/>
  <c r="H54" i="13"/>
  <c r="W54" i="13"/>
  <c r="S54" i="13"/>
  <c r="O54" i="13"/>
  <c r="K54" i="13"/>
  <c r="G54" i="13"/>
  <c r="V54" i="13"/>
  <c r="R54" i="13"/>
  <c r="N54" i="13"/>
  <c r="J54" i="13"/>
  <c r="X58" i="13"/>
  <c r="T58" i="13"/>
  <c r="P58" i="13"/>
  <c r="L58" i="13"/>
  <c r="H58" i="13"/>
  <c r="W58" i="13"/>
  <c r="S58" i="13"/>
  <c r="O58" i="13"/>
  <c r="K58" i="13"/>
  <c r="G58" i="13"/>
  <c r="V58" i="13"/>
  <c r="R58" i="13"/>
  <c r="N58" i="13"/>
  <c r="J58" i="13"/>
  <c r="X62" i="13"/>
  <c r="T62" i="13"/>
  <c r="P62" i="13"/>
  <c r="L62" i="13"/>
  <c r="H62" i="13"/>
  <c r="W62" i="13"/>
  <c r="S62" i="13"/>
  <c r="O62" i="13"/>
  <c r="K62" i="13"/>
  <c r="G62" i="13"/>
  <c r="V62" i="13"/>
  <c r="R62" i="13"/>
  <c r="N62" i="13"/>
  <c r="J62" i="13"/>
  <c r="W66" i="13"/>
  <c r="S66" i="13"/>
  <c r="O66" i="13"/>
  <c r="K66" i="13"/>
  <c r="G66" i="13"/>
  <c r="V66" i="13"/>
  <c r="R66" i="13"/>
  <c r="N66" i="13"/>
  <c r="J66" i="13"/>
  <c r="U66" i="13"/>
  <c r="Q66" i="13"/>
  <c r="I66" i="13"/>
  <c r="P66" i="13"/>
  <c r="H66" i="13"/>
  <c r="X66" i="13"/>
  <c r="M66" i="13"/>
  <c r="W70" i="13"/>
  <c r="S70" i="13"/>
  <c r="O70" i="13"/>
  <c r="K70" i="13"/>
  <c r="G70" i="13"/>
  <c r="V70" i="13"/>
  <c r="R70" i="13"/>
  <c r="N70" i="13"/>
  <c r="J70" i="13"/>
  <c r="U70" i="13"/>
  <c r="Q70" i="13"/>
  <c r="M70" i="13"/>
  <c r="I70" i="13"/>
  <c r="X70" i="13"/>
  <c r="H70" i="13"/>
  <c r="T70" i="13"/>
  <c r="P70" i="13"/>
  <c r="W74" i="13"/>
  <c r="S74" i="13"/>
  <c r="O74" i="13"/>
  <c r="K74" i="13"/>
  <c r="G74" i="13"/>
  <c r="V74" i="13"/>
  <c r="R74" i="13"/>
  <c r="N74" i="13"/>
  <c r="J74" i="13"/>
  <c r="U74" i="13"/>
  <c r="Q74" i="13"/>
  <c r="M74" i="13"/>
  <c r="I74" i="13"/>
  <c r="P74" i="13"/>
  <c r="L74" i="13"/>
  <c r="X74" i="13"/>
  <c r="H74" i="13"/>
  <c r="V78" i="13"/>
  <c r="R78" i="13"/>
  <c r="N78" i="13"/>
  <c r="J78" i="13"/>
  <c r="U78" i="13"/>
  <c r="Q78" i="13"/>
  <c r="M78" i="13"/>
  <c r="I78" i="13"/>
  <c r="X78" i="13"/>
  <c r="T78" i="13"/>
  <c r="P78" i="13"/>
  <c r="L78" i="13"/>
  <c r="H78" i="13"/>
  <c r="W78" i="13"/>
  <c r="G78" i="13"/>
  <c r="S78" i="13"/>
  <c r="O78" i="13"/>
  <c r="V82" i="13"/>
  <c r="R82" i="13"/>
  <c r="N82" i="13"/>
  <c r="J82" i="13"/>
  <c r="U82" i="13"/>
  <c r="Q82" i="13"/>
  <c r="M82" i="13"/>
  <c r="I82" i="13"/>
  <c r="X82" i="13"/>
  <c r="T82" i="13"/>
  <c r="P82" i="13"/>
  <c r="L82" i="13"/>
  <c r="H82" i="13"/>
  <c r="O82" i="13"/>
  <c r="K82" i="13"/>
  <c r="W82" i="13"/>
  <c r="G82" i="13"/>
  <c r="S82" i="13"/>
  <c r="V86" i="13"/>
  <c r="R86" i="13"/>
  <c r="N86" i="13"/>
  <c r="J86" i="13"/>
  <c r="U86" i="13"/>
  <c r="Q86" i="13"/>
  <c r="M86" i="13"/>
  <c r="I86" i="13"/>
  <c r="X86" i="13"/>
  <c r="T86" i="13"/>
  <c r="P86" i="13"/>
  <c r="L86" i="13"/>
  <c r="H86" i="13"/>
  <c r="W86" i="13"/>
  <c r="G86" i="13"/>
  <c r="S86" i="13"/>
  <c r="O86" i="13"/>
  <c r="K86" i="13"/>
  <c r="V90" i="13"/>
  <c r="R90" i="13"/>
  <c r="N90" i="13"/>
  <c r="J90" i="13"/>
  <c r="U90" i="13"/>
  <c r="Q90" i="13"/>
  <c r="M90" i="13"/>
  <c r="I90" i="13"/>
  <c r="X90" i="13"/>
  <c r="T90" i="13"/>
  <c r="P90" i="13"/>
  <c r="L90" i="13"/>
  <c r="H90" i="13"/>
  <c r="O90" i="13"/>
  <c r="K90" i="13"/>
  <c r="W90" i="13"/>
  <c r="G90" i="13"/>
  <c r="S90" i="13"/>
  <c r="V94" i="13"/>
  <c r="R94" i="13"/>
  <c r="N94" i="13"/>
  <c r="J94" i="13"/>
  <c r="U94" i="13"/>
  <c r="Q94" i="13"/>
  <c r="M94" i="13"/>
  <c r="I94" i="13"/>
  <c r="X94" i="13"/>
  <c r="T94" i="13"/>
  <c r="P94" i="13"/>
  <c r="L94" i="13"/>
  <c r="H94" i="13"/>
  <c r="W94" i="13"/>
  <c r="G94" i="13"/>
  <c r="S94" i="13"/>
  <c r="O94" i="13"/>
  <c r="K94" i="13"/>
  <c r="I46" i="13"/>
  <c r="M46" i="13"/>
  <c r="Q46" i="13"/>
  <c r="U46" i="13"/>
  <c r="G47" i="13"/>
  <c r="K47" i="13"/>
  <c r="O47" i="13"/>
  <c r="S47" i="13"/>
  <c r="W47" i="13"/>
  <c r="I48" i="13"/>
  <c r="M48" i="13"/>
  <c r="Q48" i="13"/>
  <c r="U48" i="13"/>
  <c r="G49" i="13"/>
  <c r="K49" i="13"/>
  <c r="O49" i="13"/>
  <c r="S49" i="13"/>
  <c r="W49" i="13"/>
  <c r="I50" i="13"/>
  <c r="P50" i="13"/>
  <c r="X50" i="13"/>
  <c r="N51" i="13"/>
  <c r="L52" i="13"/>
  <c r="J53" i="13"/>
  <c r="S53" i="13"/>
  <c r="Q54" i="13"/>
  <c r="M56" i="13"/>
  <c r="K57" i="13"/>
  <c r="I58" i="13"/>
  <c r="G59" i="13"/>
  <c r="U60" i="13"/>
  <c r="S61" i="13"/>
  <c r="Q62" i="13"/>
  <c r="U64" i="13"/>
  <c r="L66" i="13"/>
  <c r="N69" i="13"/>
  <c r="X72" i="13"/>
  <c r="P76" i="13"/>
  <c r="W52" i="13"/>
  <c r="S52" i="13"/>
  <c r="O52" i="13"/>
  <c r="K52" i="13"/>
  <c r="G52" i="13"/>
  <c r="V52" i="13"/>
  <c r="R52" i="13"/>
  <c r="N52" i="13"/>
  <c r="J52" i="13"/>
  <c r="W68" i="13"/>
  <c r="S68" i="13"/>
  <c r="O68" i="13"/>
  <c r="K68" i="13"/>
  <c r="G68" i="13"/>
  <c r="V68" i="13"/>
  <c r="R68" i="13"/>
  <c r="N68" i="13"/>
  <c r="J68" i="13"/>
  <c r="U68" i="13"/>
  <c r="Q68" i="13"/>
  <c r="M68" i="13"/>
  <c r="I68" i="13"/>
  <c r="L68" i="13"/>
  <c r="X68" i="13"/>
  <c r="H68" i="13"/>
  <c r="T68" i="13"/>
  <c r="V80" i="13"/>
  <c r="R80" i="13"/>
  <c r="N80" i="13"/>
  <c r="J80" i="13"/>
  <c r="U80" i="13"/>
  <c r="Q80" i="13"/>
  <c r="M80" i="13"/>
  <c r="I80" i="13"/>
  <c r="X80" i="13"/>
  <c r="T80" i="13"/>
  <c r="P80" i="13"/>
  <c r="L80" i="13"/>
  <c r="H80" i="13"/>
  <c r="S80" i="13"/>
  <c r="O80" i="13"/>
  <c r="K80" i="13"/>
  <c r="W80" i="13"/>
  <c r="G80" i="13"/>
  <c r="V88" i="13"/>
  <c r="R88" i="13"/>
  <c r="N88" i="13"/>
  <c r="J88" i="13"/>
  <c r="U88" i="13"/>
  <c r="Q88" i="13"/>
  <c r="M88" i="13"/>
  <c r="I88" i="13"/>
  <c r="X88" i="13"/>
  <c r="T88" i="13"/>
  <c r="P88" i="13"/>
  <c r="L88" i="13"/>
  <c r="H88" i="13"/>
  <c r="S88" i="13"/>
  <c r="O88" i="13"/>
  <c r="K88" i="13"/>
  <c r="G88" i="13"/>
  <c r="G48" i="13"/>
  <c r="O48" i="13"/>
  <c r="P52" i="13"/>
  <c r="M60" i="13"/>
  <c r="J64" i="13"/>
  <c r="U51" i="13"/>
  <c r="Q51" i="13"/>
  <c r="M51" i="13"/>
  <c r="I51" i="13"/>
  <c r="X51" i="13"/>
  <c r="T51" i="13"/>
  <c r="P51" i="13"/>
  <c r="L51" i="13"/>
  <c r="H51" i="13"/>
  <c r="V55" i="13"/>
  <c r="R55" i="13"/>
  <c r="N55" i="13"/>
  <c r="J55" i="13"/>
  <c r="U55" i="13"/>
  <c r="Q55" i="13"/>
  <c r="M55" i="13"/>
  <c r="I55" i="13"/>
  <c r="X55" i="13"/>
  <c r="T55" i="13"/>
  <c r="P55" i="13"/>
  <c r="L55" i="13"/>
  <c r="H55" i="13"/>
  <c r="V59" i="13"/>
  <c r="R59" i="13"/>
  <c r="N59" i="13"/>
  <c r="J59" i="13"/>
  <c r="U59" i="13"/>
  <c r="Q59" i="13"/>
  <c r="M59" i="13"/>
  <c r="I59" i="13"/>
  <c r="X59" i="13"/>
  <c r="T59" i="13"/>
  <c r="P59" i="13"/>
  <c r="L59" i="13"/>
  <c r="H59" i="13"/>
  <c r="U63" i="13"/>
  <c r="Q63" i="13"/>
  <c r="M63" i="13"/>
  <c r="I63" i="13"/>
  <c r="V63" i="13"/>
  <c r="P63" i="13"/>
  <c r="K63" i="13"/>
  <c r="T63" i="13"/>
  <c r="O63" i="13"/>
  <c r="J63" i="13"/>
  <c r="X63" i="13"/>
  <c r="S63" i="13"/>
  <c r="N63" i="13"/>
  <c r="H63" i="13"/>
  <c r="U67" i="13"/>
  <c r="Q67" i="13"/>
  <c r="M67" i="13"/>
  <c r="I67" i="13"/>
  <c r="X67" i="13"/>
  <c r="T67" i="13"/>
  <c r="P67" i="13"/>
  <c r="L67" i="13"/>
  <c r="H67" i="13"/>
  <c r="W67" i="13"/>
  <c r="S67" i="13"/>
  <c r="O67" i="13"/>
  <c r="K67" i="13"/>
  <c r="G67" i="13"/>
  <c r="N67" i="13"/>
  <c r="J67" i="13"/>
  <c r="V67" i="13"/>
  <c r="U71" i="13"/>
  <c r="Q71" i="13"/>
  <c r="M71" i="13"/>
  <c r="I71" i="13"/>
  <c r="X71" i="13"/>
  <c r="T71" i="13"/>
  <c r="P71" i="13"/>
  <c r="L71" i="13"/>
  <c r="H71" i="13"/>
  <c r="W71" i="13"/>
  <c r="S71" i="13"/>
  <c r="O71" i="13"/>
  <c r="K71" i="13"/>
  <c r="G71" i="13"/>
  <c r="V71" i="13"/>
  <c r="R71" i="13"/>
  <c r="N71" i="13"/>
  <c r="U75" i="13"/>
  <c r="Q75" i="13"/>
  <c r="M75" i="13"/>
  <c r="I75" i="13"/>
  <c r="X75" i="13"/>
  <c r="T75" i="13"/>
  <c r="P75" i="13"/>
  <c r="L75" i="13"/>
  <c r="H75" i="13"/>
  <c r="W75" i="13"/>
  <c r="S75" i="13"/>
  <c r="O75" i="13"/>
  <c r="K75" i="13"/>
  <c r="G75" i="13"/>
  <c r="N75" i="13"/>
  <c r="J75" i="13"/>
  <c r="V75" i="13"/>
  <c r="X79" i="13"/>
  <c r="T79" i="13"/>
  <c r="P79" i="13"/>
  <c r="L79" i="13"/>
  <c r="H79" i="13"/>
  <c r="W79" i="13"/>
  <c r="S79" i="13"/>
  <c r="O79" i="13"/>
  <c r="K79" i="13"/>
  <c r="G79" i="13"/>
  <c r="V79" i="13"/>
  <c r="R79" i="13"/>
  <c r="N79" i="13"/>
  <c r="J79" i="13"/>
  <c r="U79" i="13"/>
  <c r="Q79" i="13"/>
  <c r="M79" i="13"/>
  <c r="I79" i="13"/>
  <c r="X83" i="13"/>
  <c r="T83" i="13"/>
  <c r="P83" i="13"/>
  <c r="L83" i="13"/>
  <c r="H83" i="13"/>
  <c r="W83" i="13"/>
  <c r="S83" i="13"/>
  <c r="O83" i="13"/>
  <c r="K83" i="13"/>
  <c r="G83" i="13"/>
  <c r="V83" i="13"/>
  <c r="R83" i="13"/>
  <c r="N83" i="13"/>
  <c r="J83" i="13"/>
  <c r="M83" i="13"/>
  <c r="I83" i="13"/>
  <c r="U83" i="13"/>
  <c r="Q83" i="13"/>
  <c r="X87" i="13"/>
  <c r="T87" i="13"/>
  <c r="P87" i="13"/>
  <c r="L87" i="13"/>
  <c r="H87" i="13"/>
  <c r="W87" i="13"/>
  <c r="S87" i="13"/>
  <c r="O87" i="13"/>
  <c r="K87" i="13"/>
  <c r="G87" i="13"/>
  <c r="V87" i="13"/>
  <c r="R87" i="13"/>
  <c r="N87" i="13"/>
  <c r="J87" i="13"/>
  <c r="U87" i="13"/>
  <c r="Q87" i="13"/>
  <c r="M87" i="13"/>
  <c r="I87" i="13"/>
  <c r="X91" i="13"/>
  <c r="T91" i="13"/>
  <c r="P91" i="13"/>
  <c r="L91" i="13"/>
  <c r="H91" i="13"/>
  <c r="W91" i="13"/>
  <c r="S91" i="13"/>
  <c r="O91" i="13"/>
  <c r="K91" i="13"/>
  <c r="G91" i="13"/>
  <c r="V91" i="13"/>
  <c r="R91" i="13"/>
  <c r="N91" i="13"/>
  <c r="J91" i="13"/>
  <c r="M91" i="13"/>
  <c r="I91" i="13"/>
  <c r="U91" i="13"/>
  <c r="Q91" i="13"/>
  <c r="X95" i="13"/>
  <c r="T95" i="13"/>
  <c r="P95" i="13"/>
  <c r="L95" i="13"/>
  <c r="H95" i="13"/>
  <c r="W95" i="13"/>
  <c r="S95" i="13"/>
  <c r="O95" i="13"/>
  <c r="K95" i="13"/>
  <c r="G95" i="13"/>
  <c r="V95" i="13"/>
  <c r="R95" i="13"/>
  <c r="N95" i="13"/>
  <c r="J95" i="13"/>
  <c r="U95" i="13"/>
  <c r="Q95" i="13"/>
  <c r="M95" i="13"/>
  <c r="I95" i="13"/>
  <c r="J46" i="13"/>
  <c r="N46" i="13"/>
  <c r="R46" i="13"/>
  <c r="H47" i="13"/>
  <c r="L47" i="13"/>
  <c r="P47" i="13"/>
  <c r="T47" i="13"/>
  <c r="J48" i="13"/>
  <c r="N48" i="13"/>
  <c r="R48" i="13"/>
  <c r="H49" i="13"/>
  <c r="L49" i="13"/>
  <c r="P49" i="13"/>
  <c r="T49" i="13"/>
  <c r="J50" i="13"/>
  <c r="Q50" i="13"/>
  <c r="G51" i="13"/>
  <c r="O51" i="13"/>
  <c r="W51" i="13"/>
  <c r="M52" i="13"/>
  <c r="U52" i="13"/>
  <c r="K53" i="13"/>
  <c r="W53" i="13"/>
  <c r="U54" i="13"/>
  <c r="S55" i="13"/>
  <c r="Q56" i="13"/>
  <c r="O57" i="13"/>
  <c r="M58" i="13"/>
  <c r="K59" i="13"/>
  <c r="I60" i="13"/>
  <c r="G61" i="13"/>
  <c r="W61" i="13"/>
  <c r="U62" i="13"/>
  <c r="W63" i="13"/>
  <c r="H65" i="13"/>
  <c r="T66" i="13"/>
  <c r="L70" i="13"/>
  <c r="V73" i="13"/>
  <c r="K78" i="13"/>
  <c r="O92" i="13"/>
  <c r="J22" i="6"/>
  <c r="U18" i="7"/>
  <c r="Q28" i="10"/>
  <c r="S28" i="4"/>
  <c r="M31" i="4"/>
  <c r="Q45" i="9"/>
  <c r="Q13" i="13"/>
  <c r="H18" i="12"/>
  <c r="G7" i="13"/>
  <c r="G21" i="6"/>
  <c r="H14" i="7"/>
  <c r="J43" i="11"/>
  <c r="M17" i="13"/>
  <c r="G23" i="3"/>
  <c r="M23" i="3"/>
  <c r="S6" i="7"/>
  <c r="I14" i="7"/>
  <c r="H24" i="8"/>
  <c r="Q8" i="9"/>
  <c r="S37" i="11"/>
  <c r="P12" i="13"/>
  <c r="W36" i="1"/>
  <c r="G22" i="6"/>
  <c r="P14" i="7"/>
  <c r="L28" i="10"/>
  <c r="W35" i="1"/>
  <c r="G8" i="3"/>
  <c r="S44" i="5"/>
  <c r="I20" i="6"/>
  <c r="O21" i="6"/>
  <c r="U17" i="7"/>
  <c r="K37" i="13"/>
  <c r="W28" i="1"/>
  <c r="K8" i="3"/>
  <c r="T8" i="4"/>
  <c r="H23" i="4"/>
  <c r="G44" i="4"/>
  <c r="O38" i="5"/>
  <c r="P18" i="6"/>
  <c r="T20" i="6"/>
  <c r="W21" i="6"/>
  <c r="K22" i="6"/>
  <c r="G44" i="7"/>
  <c r="G16" i="8"/>
  <c r="H41" i="9"/>
  <c r="G12" i="10"/>
  <c r="I14" i="10"/>
  <c r="I16" i="10"/>
  <c r="H21" i="11"/>
  <c r="H10" i="12"/>
  <c r="G13" i="13"/>
  <c r="G17" i="13"/>
  <c r="U8" i="3"/>
  <c r="H44" i="4"/>
  <c r="S16" i="8"/>
  <c r="P12" i="10"/>
  <c r="K14" i="10"/>
  <c r="K21" i="11"/>
  <c r="P10" i="12"/>
  <c r="I9" i="13"/>
  <c r="H12" i="13"/>
  <c r="I13" i="13"/>
  <c r="G15" i="13"/>
  <c r="J17" i="13"/>
  <c r="M27" i="4"/>
  <c r="G32" i="12"/>
  <c r="H7" i="3"/>
  <c r="K12" i="3"/>
  <c r="I14" i="3"/>
  <c r="K11" i="5"/>
  <c r="T28" i="5"/>
  <c r="L10" i="6"/>
  <c r="I28" i="6"/>
  <c r="W6" i="7"/>
  <c r="S14" i="8"/>
  <c r="N18" i="8"/>
  <c r="O42" i="8"/>
  <c r="I44" i="9"/>
  <c r="I6" i="3"/>
  <c r="T7" i="3"/>
  <c r="W12" i="3"/>
  <c r="M14" i="3"/>
  <c r="S27" i="4"/>
  <c r="P32" i="4"/>
  <c r="O11" i="5"/>
  <c r="P10" i="6"/>
  <c r="X20" i="6"/>
  <c r="T44" i="6"/>
  <c r="G6" i="7"/>
  <c r="U13" i="7"/>
  <c r="I18" i="7"/>
  <c r="O19" i="7"/>
  <c r="W23" i="7"/>
  <c r="H26" i="7"/>
  <c r="N29" i="7"/>
  <c r="K32" i="7"/>
  <c r="G35" i="7"/>
  <c r="S45" i="7"/>
  <c r="K6" i="8"/>
  <c r="R25" i="8"/>
  <c r="K36" i="9"/>
  <c r="I20" i="10"/>
  <c r="Q20" i="11"/>
  <c r="W21" i="11"/>
  <c r="O24" i="11"/>
  <c r="O34" i="11"/>
  <c r="W36" i="11"/>
  <c r="H45" i="11"/>
  <c r="G14" i="12"/>
  <c r="H24" i="12"/>
  <c r="I26" i="12"/>
  <c r="X32" i="12"/>
  <c r="L8" i="13"/>
  <c r="G21" i="13"/>
  <c r="L39" i="13"/>
  <c r="G42" i="13"/>
  <c r="W42" i="4"/>
  <c r="P13" i="7"/>
  <c r="U21" i="7"/>
  <c r="G23" i="7"/>
  <c r="I6" i="8"/>
  <c r="G10" i="10"/>
  <c r="G22" i="10"/>
  <c r="K30" i="11"/>
  <c r="H36" i="11"/>
  <c r="V22" i="1"/>
  <c r="X8" i="3"/>
  <c r="M11" i="3"/>
  <c r="O6" i="4"/>
  <c r="G15" i="5"/>
  <c r="H44" i="5"/>
  <c r="G20" i="6"/>
  <c r="H6" i="7"/>
  <c r="I9" i="7"/>
  <c r="O12" i="7"/>
  <c r="X14" i="7"/>
  <c r="J17" i="7"/>
  <c r="L18" i="7"/>
  <c r="L22" i="7"/>
  <c r="H17" i="8"/>
  <c r="J43" i="8"/>
  <c r="H22" i="9"/>
  <c r="G43" i="9"/>
  <c r="G45" i="9"/>
  <c r="G18" i="10"/>
  <c r="K45" i="11"/>
  <c r="W24" i="12"/>
  <c r="V37" i="1"/>
  <c r="W39" i="7"/>
  <c r="H39" i="7"/>
  <c r="W36" i="10"/>
  <c r="I36" i="10"/>
  <c r="X6" i="12"/>
  <c r="O6" i="12"/>
  <c r="K6" i="12"/>
  <c r="H6" i="12"/>
  <c r="W13" i="12"/>
  <c r="Q13" i="12"/>
  <c r="H13" i="12"/>
  <c r="U16" i="12"/>
  <c r="M16" i="12"/>
  <c r="V35" i="13"/>
  <c r="O35" i="13"/>
  <c r="W14" i="6"/>
  <c r="Q14" i="6"/>
  <c r="W32" i="9"/>
  <c r="G32" i="9"/>
  <c r="W17" i="10"/>
  <c r="P17" i="10"/>
  <c r="L17" i="10"/>
  <c r="T13" i="8"/>
  <c r="X13" i="8"/>
  <c r="H13" i="8"/>
  <c r="V15" i="9"/>
  <c r="M15" i="9"/>
  <c r="I15" i="9"/>
  <c r="U15" i="9"/>
  <c r="G15" i="9"/>
  <c r="M18" i="9"/>
  <c r="X18" i="9"/>
  <c r="V6" i="10"/>
  <c r="Q6" i="10"/>
  <c r="W13" i="10"/>
  <c r="P13" i="10"/>
  <c r="V29" i="10"/>
  <c r="S29" i="10"/>
  <c r="U6" i="12"/>
  <c r="O16" i="13"/>
  <c r="W16" i="13"/>
  <c r="G16" i="13"/>
  <c r="V45" i="13"/>
  <c r="G45" i="13"/>
  <c r="I44" i="3"/>
  <c r="H44" i="3"/>
  <c r="G44" i="3"/>
  <c r="V10" i="7"/>
  <c r="S10" i="7"/>
  <c r="V10" i="8"/>
  <c r="S10" i="8"/>
  <c r="S15" i="9"/>
  <c r="V24" i="10"/>
  <c r="Q24" i="10"/>
  <c r="V40" i="12"/>
  <c r="I40" i="12"/>
  <c r="X11" i="13"/>
  <c r="W11" i="13"/>
  <c r="G11" i="13"/>
  <c r="R18" i="13"/>
  <c r="J18" i="13"/>
  <c r="L45" i="5"/>
  <c r="P45" i="5"/>
  <c r="O45" i="5"/>
  <c r="X8" i="7"/>
  <c r="U8" i="7"/>
  <c r="M8" i="7"/>
  <c r="O16" i="7"/>
  <c r="J16" i="7"/>
  <c r="S42" i="7"/>
  <c r="W42" i="7"/>
  <c r="Q22" i="8"/>
  <c r="I22" i="8"/>
  <c r="U9" i="9"/>
  <c r="S9" i="9"/>
  <c r="H9" i="9"/>
  <c r="O15" i="12"/>
  <c r="S15" i="12"/>
  <c r="K15" i="12"/>
  <c r="G15" i="12"/>
  <c r="T22" i="13"/>
  <c r="J22" i="13"/>
  <c r="T43" i="13"/>
  <c r="R43" i="13"/>
  <c r="H43" i="13"/>
  <c r="J14" i="1"/>
  <c r="Q6" i="3"/>
  <c r="I7" i="3"/>
  <c r="X7" i="3"/>
  <c r="M8" i="3"/>
  <c r="Q11" i="3"/>
  <c r="Q14" i="3"/>
  <c r="R23" i="3"/>
  <c r="M23" i="4"/>
  <c r="K15" i="5"/>
  <c r="L20" i="6"/>
  <c r="S22" i="6"/>
  <c r="M28" i="6"/>
  <c r="K6" i="7"/>
  <c r="L9" i="7"/>
  <c r="U12" i="7"/>
  <c r="S14" i="7"/>
  <c r="X18" i="7"/>
  <c r="O44" i="7"/>
  <c r="S6" i="8"/>
  <c r="M24" i="8"/>
  <c r="S41" i="9"/>
  <c r="N43" i="9"/>
  <c r="P44" i="9"/>
  <c r="H45" i="9"/>
  <c r="T45" i="9"/>
  <c r="Q10" i="10"/>
  <c r="H12" i="10"/>
  <c r="S12" i="10"/>
  <c r="U14" i="10"/>
  <c r="L16" i="10"/>
  <c r="K18" i="10"/>
  <c r="Q20" i="10"/>
  <c r="K22" i="10"/>
  <c r="T20" i="11"/>
  <c r="S45" i="11"/>
  <c r="X10" i="12"/>
  <c r="L14" i="12"/>
  <c r="I32" i="12"/>
  <c r="W7" i="13"/>
  <c r="P8" i="13"/>
  <c r="Q9" i="13"/>
  <c r="L12" i="13"/>
  <c r="L7" i="3"/>
  <c r="S8" i="3"/>
  <c r="S23" i="4"/>
  <c r="O15" i="5"/>
  <c r="Q20" i="6"/>
  <c r="X28" i="6"/>
  <c r="P6" i="7"/>
  <c r="T9" i="7"/>
  <c r="X44" i="7"/>
  <c r="W6" i="8"/>
  <c r="S24" i="8"/>
  <c r="U43" i="9"/>
  <c r="X44" i="9"/>
  <c r="I45" i="9"/>
  <c r="X45" i="9"/>
  <c r="I12" i="10"/>
  <c r="U12" i="10"/>
  <c r="U16" i="10"/>
  <c r="O22" i="10"/>
  <c r="G20" i="11"/>
  <c r="P21" i="11"/>
  <c r="H37" i="11"/>
  <c r="I43" i="11"/>
  <c r="G45" i="11"/>
  <c r="W45" i="11"/>
  <c r="S14" i="12"/>
  <c r="T25" i="12"/>
  <c r="L31" i="12"/>
  <c r="M32" i="12"/>
  <c r="L44" i="12"/>
  <c r="T9" i="13"/>
  <c r="Q7" i="3"/>
  <c r="I8" i="7"/>
  <c r="W9" i="7"/>
  <c r="O45" i="9"/>
  <c r="O12" i="10"/>
  <c r="X12" i="10"/>
  <c r="X16" i="10"/>
  <c r="I20" i="11"/>
  <c r="G21" i="11"/>
  <c r="S21" i="11"/>
  <c r="X14" i="12"/>
  <c r="T32" i="12"/>
  <c r="H8" i="13"/>
  <c r="G9" i="13"/>
  <c r="T13" i="13"/>
  <c r="S15" i="13"/>
  <c r="W17" i="13"/>
  <c r="M19" i="13"/>
  <c r="Q21" i="13"/>
  <c r="P23" i="13"/>
  <c r="J30" i="13"/>
  <c r="L21" i="3"/>
  <c r="S21" i="3"/>
  <c r="W21" i="4"/>
  <c r="W39" i="4"/>
  <c r="G39" i="4"/>
  <c r="G21" i="3"/>
  <c r="M21" i="3"/>
  <c r="T21" i="3"/>
  <c r="J22" i="3"/>
  <c r="H25" i="3"/>
  <c r="I33" i="3"/>
  <c r="W6" i="4"/>
  <c r="G15" i="4"/>
  <c r="S15" i="4"/>
  <c r="H20" i="4"/>
  <c r="G21" i="4"/>
  <c r="W32" i="4"/>
  <c r="L35" i="4"/>
  <c r="V37" i="4"/>
  <c r="K37" i="4"/>
  <c r="L39" i="4"/>
  <c r="V14" i="5"/>
  <c r="K14" i="5"/>
  <c r="X14" i="5"/>
  <c r="G14" i="5"/>
  <c r="V26" i="5"/>
  <c r="K26" i="5"/>
  <c r="I26" i="5"/>
  <c r="V32" i="5"/>
  <c r="M32" i="5"/>
  <c r="H32" i="5"/>
  <c r="V34" i="5"/>
  <c r="W34" i="5"/>
  <c r="M36" i="5"/>
  <c r="W6" i="6"/>
  <c r="Q6" i="6"/>
  <c r="V11" i="6"/>
  <c r="X11" i="6"/>
  <c r="M11" i="6"/>
  <c r="U11" i="6"/>
  <c r="I11" i="6"/>
  <c r="V12" i="6"/>
  <c r="O12" i="6"/>
  <c r="K12" i="6"/>
  <c r="V19" i="6"/>
  <c r="Q19" i="6"/>
  <c r="I19" i="6"/>
  <c r="X19" i="6"/>
  <c r="O19" i="6"/>
  <c r="H19" i="6"/>
  <c r="S19" i="6"/>
  <c r="V37" i="6"/>
  <c r="W37" i="6"/>
  <c r="H37" i="6"/>
  <c r="S37" i="6"/>
  <c r="G37" i="6"/>
  <c r="U15" i="8"/>
  <c r="T15" i="8"/>
  <c r="I15" i="8"/>
  <c r="V8" i="10"/>
  <c r="X8" i="10"/>
  <c r="M8" i="10"/>
  <c r="U8" i="10"/>
  <c r="K8" i="10"/>
  <c r="S8" i="10"/>
  <c r="G8" i="10"/>
  <c r="P8" i="10"/>
  <c r="V16" i="11"/>
  <c r="T16" i="11"/>
  <c r="M16" i="11"/>
  <c r="H16" i="11"/>
  <c r="O15" i="4"/>
  <c r="V10" i="5"/>
  <c r="P10" i="5"/>
  <c r="L10" i="5"/>
  <c r="V16" i="5"/>
  <c r="X16" i="5"/>
  <c r="L16" i="5"/>
  <c r="U16" i="5"/>
  <c r="I16" i="5"/>
  <c r="V7" i="6"/>
  <c r="W7" i="6"/>
  <c r="L7" i="6"/>
  <c r="T7" i="6"/>
  <c r="I7" i="6"/>
  <c r="V36" i="12"/>
  <c r="T36" i="12"/>
  <c r="I36" i="12"/>
  <c r="M10" i="3"/>
  <c r="G16" i="3"/>
  <c r="W32" i="1"/>
  <c r="U11" i="3"/>
  <c r="I16" i="3"/>
  <c r="U16" i="3"/>
  <c r="H21" i="3"/>
  <c r="O21" i="3"/>
  <c r="W21" i="3"/>
  <c r="T22" i="3"/>
  <c r="O25" i="3"/>
  <c r="G6" i="4"/>
  <c r="H8" i="4"/>
  <c r="I15" i="4"/>
  <c r="U15" i="4"/>
  <c r="P20" i="4"/>
  <c r="K21" i="4"/>
  <c r="J22" i="4"/>
  <c r="G32" i="4"/>
  <c r="V36" i="4"/>
  <c r="G36" i="4"/>
  <c r="Q39" i="4"/>
  <c r="H41" i="4"/>
  <c r="V6" i="5"/>
  <c r="K6" i="5"/>
  <c r="W6" i="5"/>
  <c r="G6" i="5"/>
  <c r="V7" i="5"/>
  <c r="W7" i="5"/>
  <c r="O7" i="5"/>
  <c r="T10" i="5"/>
  <c r="P14" i="5"/>
  <c r="O16" i="5"/>
  <c r="Q26" i="5"/>
  <c r="S32" i="5"/>
  <c r="G34" i="5"/>
  <c r="I6" i="6"/>
  <c r="O7" i="6"/>
  <c r="G11" i="6"/>
  <c r="G12" i="6"/>
  <c r="X18" i="6"/>
  <c r="U18" i="6"/>
  <c r="I18" i="6"/>
  <c r="Q18" i="6"/>
  <c r="H18" i="6"/>
  <c r="G19" i="6"/>
  <c r="U19" i="6"/>
  <c r="V34" i="6"/>
  <c r="K34" i="6"/>
  <c r="K37" i="6"/>
  <c r="V8" i="8"/>
  <c r="T8" i="8"/>
  <c r="O8" i="8"/>
  <c r="H8" i="8"/>
  <c r="V9" i="11"/>
  <c r="W9" i="11"/>
  <c r="L9" i="11"/>
  <c r="T9" i="11"/>
  <c r="I9" i="11"/>
  <c r="Q9" i="11"/>
  <c r="G9" i="11"/>
  <c r="O9" i="11"/>
  <c r="O16" i="3"/>
  <c r="V33" i="6"/>
  <c r="O33" i="6"/>
  <c r="G33" i="6"/>
  <c r="W9" i="1"/>
  <c r="U25" i="1"/>
  <c r="S16" i="3"/>
  <c r="W8" i="1"/>
  <c r="W24" i="1"/>
  <c r="T35" i="1"/>
  <c r="W40" i="1"/>
  <c r="K31" i="1"/>
  <c r="P7" i="3"/>
  <c r="P8" i="3"/>
  <c r="H11" i="3"/>
  <c r="L16" i="3"/>
  <c r="X16" i="3"/>
  <c r="I21" i="3"/>
  <c r="Q21" i="3"/>
  <c r="X21" i="3"/>
  <c r="W25" i="3"/>
  <c r="K6" i="4"/>
  <c r="O8" i="4"/>
  <c r="O10" i="4"/>
  <c r="L15" i="4"/>
  <c r="X15" i="4"/>
  <c r="X20" i="4"/>
  <c r="O21" i="4"/>
  <c r="H27" i="4"/>
  <c r="H28" i="4"/>
  <c r="K32" i="4"/>
  <c r="O36" i="4"/>
  <c r="J38" i="4"/>
  <c r="X39" i="4"/>
  <c r="X41" i="4"/>
  <c r="Q43" i="4"/>
  <c r="O6" i="5"/>
  <c r="G7" i="5"/>
  <c r="X10" i="5"/>
  <c r="T14" i="5"/>
  <c r="S16" i="5"/>
  <c r="X32" i="5"/>
  <c r="Q7" i="6"/>
  <c r="P11" i="6"/>
  <c r="W12" i="6"/>
  <c r="L19" i="6"/>
  <c r="P37" i="6"/>
  <c r="O15" i="7"/>
  <c r="T15" i="7"/>
  <c r="J15" i="7"/>
  <c r="V22" i="7"/>
  <c r="Q22" i="7"/>
  <c r="I22" i="7"/>
  <c r="X22" i="7"/>
  <c r="O22" i="7"/>
  <c r="H22" i="7"/>
  <c r="T22" i="7"/>
  <c r="M22" i="7"/>
  <c r="G22" i="7"/>
  <c r="V28" i="8"/>
  <c r="X28" i="8"/>
  <c r="O28" i="8"/>
  <c r="G28" i="8"/>
  <c r="T28" i="8"/>
  <c r="M28" i="8"/>
  <c r="I28" i="8"/>
  <c r="W28" i="8"/>
  <c r="H28" i="8"/>
  <c r="W11" i="5"/>
  <c r="X45" i="5"/>
  <c r="T10" i="6"/>
  <c r="Q28" i="6"/>
  <c r="O9" i="7"/>
  <c r="L14" i="7"/>
  <c r="T14" i="7"/>
  <c r="U16" i="7"/>
  <c r="O18" i="7"/>
  <c r="K23" i="7"/>
  <c r="M26" i="7"/>
  <c r="K35" i="7"/>
  <c r="H44" i="7"/>
  <c r="Q44" i="7"/>
  <c r="O6" i="8"/>
  <c r="I16" i="8"/>
  <c r="U16" i="8"/>
  <c r="N17" i="8"/>
  <c r="V26" i="8"/>
  <c r="I26" i="8"/>
  <c r="V32" i="8"/>
  <c r="T32" i="8"/>
  <c r="I32" i="8"/>
  <c r="X32" i="8"/>
  <c r="O32" i="8"/>
  <c r="G32" i="8"/>
  <c r="W32" i="8"/>
  <c r="R35" i="8"/>
  <c r="N35" i="8"/>
  <c r="R14" i="9"/>
  <c r="X14" i="9"/>
  <c r="L14" i="9"/>
  <c r="M17" i="9"/>
  <c r="W17" i="9"/>
  <c r="V27" i="9"/>
  <c r="M27" i="9"/>
  <c r="X27" i="9"/>
  <c r="I27" i="9"/>
  <c r="T27" i="9"/>
  <c r="G27" i="9"/>
  <c r="T40" i="9"/>
  <c r="U40" i="9"/>
  <c r="H40" i="9"/>
  <c r="T27" i="10"/>
  <c r="R27" i="10"/>
  <c r="V40" i="11"/>
  <c r="T40" i="11"/>
  <c r="I40" i="11"/>
  <c r="O7" i="12"/>
  <c r="S7" i="12"/>
  <c r="K7" i="12"/>
  <c r="S20" i="12"/>
  <c r="M20" i="12"/>
  <c r="H20" i="12"/>
  <c r="V28" i="12"/>
  <c r="Q28" i="12"/>
  <c r="L28" i="12"/>
  <c r="G28" i="12"/>
  <c r="V25" i="13"/>
  <c r="W25" i="13"/>
  <c r="O25" i="13"/>
  <c r="G25" i="13"/>
  <c r="G11" i="5"/>
  <c r="W15" i="5"/>
  <c r="I28" i="5"/>
  <c r="K30" i="5"/>
  <c r="P33" i="5"/>
  <c r="L37" i="5"/>
  <c r="H10" i="6"/>
  <c r="X10" i="6"/>
  <c r="I14" i="6"/>
  <c r="K16" i="6"/>
  <c r="O20" i="6"/>
  <c r="R22" i="6"/>
  <c r="G28" i="6"/>
  <c r="T28" i="6"/>
  <c r="I44" i="6"/>
  <c r="O6" i="7"/>
  <c r="X6" i="7"/>
  <c r="G9" i="7"/>
  <c r="Q9" i="7"/>
  <c r="H10" i="7"/>
  <c r="G14" i="7"/>
  <c r="M14" i="7"/>
  <c r="U14" i="7"/>
  <c r="G18" i="7"/>
  <c r="Q18" i="7"/>
  <c r="J21" i="7"/>
  <c r="O23" i="7"/>
  <c r="S26" i="7"/>
  <c r="O31" i="7"/>
  <c r="P35" i="7"/>
  <c r="Q43" i="7"/>
  <c r="I44" i="7"/>
  <c r="T44" i="7"/>
  <c r="K45" i="7"/>
  <c r="G6" i="8"/>
  <c r="Q6" i="8"/>
  <c r="I10" i="8"/>
  <c r="I14" i="8"/>
  <c r="L16" i="8"/>
  <c r="X16" i="8"/>
  <c r="S17" i="8"/>
  <c r="I19" i="8"/>
  <c r="N21" i="8"/>
  <c r="R23" i="8"/>
  <c r="Q26" i="8"/>
  <c r="W29" i="8"/>
  <c r="L29" i="8"/>
  <c r="H32" i="8"/>
  <c r="W33" i="8"/>
  <c r="L33" i="8"/>
  <c r="V36" i="8"/>
  <c r="I36" i="8"/>
  <c r="W21" i="9"/>
  <c r="R21" i="9"/>
  <c r="G21" i="9"/>
  <c r="Q27" i="9"/>
  <c r="W9" i="10"/>
  <c r="P9" i="10"/>
  <c r="L9" i="10"/>
  <c r="H9" i="10"/>
  <c r="V44" i="10"/>
  <c r="K44" i="10"/>
  <c r="W44" i="10"/>
  <c r="H44" i="10"/>
  <c r="S44" i="10"/>
  <c r="G44" i="10"/>
  <c r="V10" i="11"/>
  <c r="S10" i="11"/>
  <c r="H10" i="11"/>
  <c r="W28" i="12"/>
  <c r="V38" i="12"/>
  <c r="Q38" i="12"/>
  <c r="S23" i="7"/>
  <c r="X26" i="7"/>
  <c r="W35" i="7"/>
  <c r="M44" i="7"/>
  <c r="W44" i="7"/>
  <c r="O16" i="8"/>
  <c r="N19" i="8"/>
  <c r="M32" i="8"/>
  <c r="P33" i="8"/>
  <c r="T36" i="8"/>
  <c r="W25" i="9"/>
  <c r="M25" i="9"/>
  <c r="V35" i="9"/>
  <c r="M35" i="9"/>
  <c r="R38" i="9"/>
  <c r="U38" i="9"/>
  <c r="J38" i="9"/>
  <c r="X9" i="10"/>
  <c r="X21" i="10"/>
  <c r="P21" i="10"/>
  <c r="H21" i="10"/>
  <c r="P44" i="10"/>
  <c r="V28" i="11"/>
  <c r="T28" i="11"/>
  <c r="O28" i="11"/>
  <c r="I28" i="11"/>
  <c r="V38" i="11"/>
  <c r="O38" i="11"/>
  <c r="R42" i="12"/>
  <c r="K42" i="12"/>
  <c r="R43" i="8"/>
  <c r="M9" i="9"/>
  <c r="H15" i="9"/>
  <c r="O15" i="9"/>
  <c r="X15" i="9"/>
  <c r="R22" i="9"/>
  <c r="P36" i="9"/>
  <c r="U10" i="10"/>
  <c r="X13" i="10"/>
  <c r="L20" i="10"/>
  <c r="S20" i="10"/>
  <c r="L36" i="11"/>
  <c r="P45" i="11"/>
  <c r="S6" i="12"/>
  <c r="I10" i="12"/>
  <c r="S10" i="12"/>
  <c r="I13" i="12"/>
  <c r="T13" i="12"/>
  <c r="I14" i="12"/>
  <c r="U14" i="12"/>
  <c r="J15" i="12"/>
  <c r="W15" i="12"/>
  <c r="R16" i="12"/>
  <c r="M18" i="12"/>
  <c r="O24" i="12"/>
  <c r="Q32" i="12"/>
  <c r="T40" i="12"/>
  <c r="K7" i="13"/>
  <c r="X8" i="13"/>
  <c r="L9" i="13"/>
  <c r="W9" i="13"/>
  <c r="K11" i="13"/>
  <c r="X12" i="13"/>
  <c r="L13" i="13"/>
  <c r="W13" i="13"/>
  <c r="I15" i="13"/>
  <c r="U15" i="13"/>
  <c r="J16" i="13"/>
  <c r="U17" i="13"/>
  <c r="U18" i="13"/>
  <c r="S19" i="13"/>
  <c r="I21" i="13"/>
  <c r="S21" i="13"/>
  <c r="Q37" i="13"/>
  <c r="N42" i="13"/>
  <c r="I43" i="13"/>
  <c r="U43" i="13"/>
  <c r="W45" i="13"/>
  <c r="W36" i="9"/>
  <c r="Q14" i="10"/>
  <c r="O16" i="10"/>
  <c r="X17" i="10"/>
  <c r="O18" i="10"/>
  <c r="G20" i="10"/>
  <c r="M20" i="10"/>
  <c r="T20" i="10"/>
  <c r="G24" i="10"/>
  <c r="N8" i="11"/>
  <c r="L20" i="11"/>
  <c r="X20" i="11"/>
  <c r="J23" i="11"/>
  <c r="Q36" i="11"/>
  <c r="M10" i="12"/>
  <c r="T10" i="12"/>
  <c r="L13" i="12"/>
  <c r="X13" i="12"/>
  <c r="T18" i="12"/>
  <c r="O7" i="13"/>
  <c r="O9" i="13"/>
  <c r="O11" i="13"/>
  <c r="O13" i="13"/>
  <c r="L15" i="13"/>
  <c r="X15" i="13"/>
  <c r="L16" i="13"/>
  <c r="K21" i="13"/>
  <c r="W21" i="13"/>
  <c r="W42" i="13"/>
  <c r="J43" i="13"/>
  <c r="O40" i="8"/>
  <c r="Q13" i="9"/>
  <c r="L15" i="9"/>
  <c r="T15" i="9"/>
  <c r="L16" i="9"/>
  <c r="K20" i="9"/>
  <c r="X26" i="9"/>
  <c r="H34" i="9"/>
  <c r="G36" i="9"/>
  <c r="M45" i="9"/>
  <c r="W45" i="9"/>
  <c r="I6" i="10"/>
  <c r="I8" i="10"/>
  <c r="M10" i="10"/>
  <c r="L12" i="10"/>
  <c r="T12" i="10"/>
  <c r="H13" i="10"/>
  <c r="G14" i="10"/>
  <c r="S14" i="10"/>
  <c r="G16" i="10"/>
  <c r="S16" i="10"/>
  <c r="H17" i="10"/>
  <c r="U18" i="10"/>
  <c r="H20" i="10"/>
  <c r="O20" i="10"/>
  <c r="X20" i="10"/>
  <c r="S22" i="10"/>
  <c r="L24" i="10"/>
  <c r="G26" i="10"/>
  <c r="G28" i="10"/>
  <c r="H29" i="10"/>
  <c r="O20" i="11"/>
  <c r="O21" i="11"/>
  <c r="X21" i="11"/>
  <c r="G34" i="11"/>
  <c r="G36" i="11"/>
  <c r="S36" i="11"/>
  <c r="G10" i="12"/>
  <c r="O10" i="12"/>
  <c r="U10" i="12"/>
  <c r="P13" i="12"/>
  <c r="P14" i="12"/>
  <c r="R15" i="12"/>
  <c r="J16" i="12"/>
  <c r="R35" i="12"/>
  <c r="S41" i="12"/>
  <c r="P45" i="12"/>
  <c r="S7" i="13"/>
  <c r="S11" i="13"/>
  <c r="O15" i="13"/>
  <c r="R16" i="13"/>
  <c r="H19" i="13"/>
  <c r="O21" i="13"/>
  <c r="H28" i="13"/>
  <c r="I37" i="13"/>
  <c r="P43" i="13"/>
  <c r="M41" i="1"/>
  <c r="Q41" i="1"/>
  <c r="U41" i="1"/>
  <c r="O41" i="1"/>
  <c r="T41" i="1"/>
  <c r="P41" i="1"/>
  <c r="V41" i="1"/>
  <c r="R41" i="1"/>
  <c r="W41" i="1"/>
  <c r="S41" i="1"/>
  <c r="X41" i="1"/>
  <c r="N41" i="1"/>
  <c r="X33" i="1"/>
  <c r="K33" i="1"/>
  <c r="Q95" i="1"/>
  <c r="U95" i="1"/>
  <c r="S95" i="1"/>
  <c r="W95" i="1"/>
  <c r="V95" i="1"/>
  <c r="O95" i="1"/>
  <c r="G95" i="1"/>
  <c r="K95" i="1"/>
  <c r="P95" i="1"/>
  <c r="X95" i="1"/>
  <c r="H95" i="1"/>
  <c r="R95" i="1"/>
  <c r="M95" i="1"/>
  <c r="L95" i="1"/>
  <c r="I95" i="1"/>
  <c r="N95" i="1"/>
  <c r="T95" i="1"/>
  <c r="J95" i="1"/>
  <c r="Q87" i="1"/>
  <c r="U87" i="1"/>
  <c r="S87" i="1"/>
  <c r="W87" i="1"/>
  <c r="V87" i="1"/>
  <c r="O87" i="1"/>
  <c r="G87" i="1"/>
  <c r="K87" i="1"/>
  <c r="P87" i="1"/>
  <c r="X87" i="1"/>
  <c r="L87" i="1"/>
  <c r="H87" i="1"/>
  <c r="R87" i="1"/>
  <c r="M87" i="1"/>
  <c r="I87" i="1"/>
  <c r="T87" i="1"/>
  <c r="N87" i="1"/>
  <c r="J87" i="1"/>
  <c r="Q75" i="1"/>
  <c r="U75" i="1"/>
  <c r="S75" i="1"/>
  <c r="W75" i="1"/>
  <c r="R75" i="1"/>
  <c r="M75" i="1"/>
  <c r="G75" i="1"/>
  <c r="K75" i="1"/>
  <c r="T75" i="1"/>
  <c r="N75" i="1"/>
  <c r="H75" i="1"/>
  <c r="V75" i="1"/>
  <c r="O75" i="1"/>
  <c r="I75" i="1"/>
  <c r="P75" i="1"/>
  <c r="X75" i="1"/>
  <c r="L75" i="1"/>
  <c r="J75" i="1"/>
  <c r="Q67" i="1"/>
  <c r="U67" i="1"/>
  <c r="S67" i="1"/>
  <c r="W67" i="1"/>
  <c r="R67" i="1"/>
  <c r="M67" i="1"/>
  <c r="G67" i="1"/>
  <c r="K67" i="1"/>
  <c r="T67" i="1"/>
  <c r="N67" i="1"/>
  <c r="H67" i="1"/>
  <c r="V67" i="1"/>
  <c r="O67" i="1"/>
  <c r="I67" i="1"/>
  <c r="P67" i="1"/>
  <c r="X67" i="1"/>
  <c r="J67" i="1"/>
  <c r="L67" i="1"/>
  <c r="Q63" i="1"/>
  <c r="U63" i="1"/>
  <c r="S63" i="1"/>
  <c r="W63" i="1"/>
  <c r="V63" i="1"/>
  <c r="O63" i="1"/>
  <c r="G63" i="1"/>
  <c r="K63" i="1"/>
  <c r="P63" i="1"/>
  <c r="X63" i="1"/>
  <c r="L63" i="1"/>
  <c r="H63" i="1"/>
  <c r="R63" i="1"/>
  <c r="M63" i="1"/>
  <c r="I63" i="1"/>
  <c r="T63" i="1"/>
  <c r="N63" i="1"/>
  <c r="J63" i="1"/>
  <c r="Q55" i="1"/>
  <c r="U55" i="1"/>
  <c r="R55" i="1"/>
  <c r="V55" i="1"/>
  <c r="S55" i="1"/>
  <c r="W55" i="1"/>
  <c r="T55" i="1"/>
  <c r="O55" i="1"/>
  <c r="G55" i="1"/>
  <c r="K55" i="1"/>
  <c r="X55" i="1"/>
  <c r="L55" i="1"/>
  <c r="H55" i="1"/>
  <c r="M55" i="1"/>
  <c r="I55" i="1"/>
  <c r="P55" i="1"/>
  <c r="N55" i="1"/>
  <c r="J55" i="1"/>
  <c r="Q47" i="1"/>
  <c r="U47" i="1"/>
  <c r="R47" i="1"/>
  <c r="V47" i="1"/>
  <c r="S47" i="1"/>
  <c r="W47" i="1"/>
  <c r="O47" i="1"/>
  <c r="G47" i="1"/>
  <c r="K47" i="1"/>
  <c r="P47" i="1"/>
  <c r="L47" i="1"/>
  <c r="H47" i="1"/>
  <c r="T47" i="1"/>
  <c r="M47" i="1"/>
  <c r="I47" i="1"/>
  <c r="X47" i="1"/>
  <c r="N47" i="1"/>
  <c r="J47" i="1"/>
  <c r="J31" i="1"/>
  <c r="W27" i="1"/>
  <c r="V39" i="1"/>
  <c r="T27" i="1"/>
  <c r="T21" i="1"/>
  <c r="T13" i="1"/>
  <c r="P44" i="1"/>
  <c r="T44" i="1"/>
  <c r="X44" i="1"/>
  <c r="N44" i="1"/>
  <c r="L44" i="1"/>
  <c r="Q44" i="1"/>
  <c r="U44" i="1"/>
  <c r="R44" i="1"/>
  <c r="V44" i="1"/>
  <c r="O44" i="1"/>
  <c r="M44" i="1"/>
  <c r="W44" i="1"/>
  <c r="S44" i="1"/>
  <c r="Q43" i="1"/>
  <c r="U43" i="1"/>
  <c r="R43" i="1"/>
  <c r="V43" i="1"/>
  <c r="S43" i="1"/>
  <c r="W43" i="1"/>
  <c r="P43" i="1"/>
  <c r="M43" i="1"/>
  <c r="T43" i="1"/>
  <c r="N43" i="1"/>
  <c r="X43" i="1"/>
  <c r="O43" i="1"/>
  <c r="L43" i="1"/>
  <c r="S93" i="1"/>
  <c r="W93" i="1"/>
  <c r="Q93" i="1"/>
  <c r="U93" i="1"/>
  <c r="P93" i="1"/>
  <c r="X93" i="1"/>
  <c r="L93" i="1"/>
  <c r="I93" i="1"/>
  <c r="R93" i="1"/>
  <c r="M93" i="1"/>
  <c r="J93" i="1"/>
  <c r="T93" i="1"/>
  <c r="N93" i="1"/>
  <c r="G93" i="1"/>
  <c r="K93" i="1"/>
  <c r="H93" i="1"/>
  <c r="V93" i="1"/>
  <c r="O93" i="1"/>
  <c r="S85" i="1"/>
  <c r="W85" i="1"/>
  <c r="Q85" i="1"/>
  <c r="U85" i="1"/>
  <c r="P85" i="1"/>
  <c r="X85" i="1"/>
  <c r="L85" i="1"/>
  <c r="I85" i="1"/>
  <c r="R85" i="1"/>
  <c r="M85" i="1"/>
  <c r="J85" i="1"/>
  <c r="T85" i="1"/>
  <c r="N85" i="1"/>
  <c r="G85" i="1"/>
  <c r="K85" i="1"/>
  <c r="V85" i="1"/>
  <c r="O85" i="1"/>
  <c r="H85" i="1"/>
  <c r="S81" i="1"/>
  <c r="W81" i="1"/>
  <c r="Q81" i="1"/>
  <c r="U81" i="1"/>
  <c r="T81" i="1"/>
  <c r="N81" i="1"/>
  <c r="I81" i="1"/>
  <c r="V81" i="1"/>
  <c r="O81" i="1"/>
  <c r="J81" i="1"/>
  <c r="P81" i="1"/>
  <c r="X81" i="1"/>
  <c r="L81" i="1"/>
  <c r="G81" i="1"/>
  <c r="K81" i="1"/>
  <c r="R81" i="1"/>
  <c r="H81" i="1"/>
  <c r="M81" i="1"/>
  <c r="S73" i="1"/>
  <c r="W73" i="1"/>
  <c r="Q73" i="1"/>
  <c r="U73" i="1"/>
  <c r="T73" i="1"/>
  <c r="N73" i="1"/>
  <c r="I73" i="1"/>
  <c r="V73" i="1"/>
  <c r="O73" i="1"/>
  <c r="J73" i="1"/>
  <c r="P73" i="1"/>
  <c r="X73" i="1"/>
  <c r="L73" i="1"/>
  <c r="G73" i="1"/>
  <c r="K73" i="1"/>
  <c r="R73" i="1"/>
  <c r="M73" i="1"/>
  <c r="H73" i="1"/>
  <c r="S61" i="1"/>
  <c r="W61" i="1"/>
  <c r="Q61" i="1"/>
  <c r="U61" i="1"/>
  <c r="P61" i="1"/>
  <c r="X61" i="1"/>
  <c r="L61" i="1"/>
  <c r="I61" i="1"/>
  <c r="R61" i="1"/>
  <c r="M61" i="1"/>
  <c r="J61" i="1"/>
  <c r="T61" i="1"/>
  <c r="N61" i="1"/>
  <c r="G61" i="1"/>
  <c r="K61" i="1"/>
  <c r="V61" i="1"/>
  <c r="H61" i="1"/>
  <c r="O61" i="1"/>
  <c r="W37" i="1"/>
  <c r="X15" i="1"/>
  <c r="W15" i="1"/>
  <c r="S89" i="1"/>
  <c r="W89" i="1"/>
  <c r="Q89" i="1"/>
  <c r="U89" i="1"/>
  <c r="T89" i="1"/>
  <c r="N89" i="1"/>
  <c r="I89" i="1"/>
  <c r="V89" i="1"/>
  <c r="O89" i="1"/>
  <c r="J89" i="1"/>
  <c r="P89" i="1"/>
  <c r="X89" i="1"/>
  <c r="L89" i="1"/>
  <c r="G89" i="1"/>
  <c r="K89" i="1"/>
  <c r="R89" i="1"/>
  <c r="M89" i="1"/>
  <c r="H89" i="1"/>
  <c r="S77" i="1"/>
  <c r="W77" i="1"/>
  <c r="Q77" i="1"/>
  <c r="U77" i="1"/>
  <c r="P77" i="1"/>
  <c r="X77" i="1"/>
  <c r="L77" i="1"/>
  <c r="I77" i="1"/>
  <c r="R77" i="1"/>
  <c r="M77" i="1"/>
  <c r="J77" i="1"/>
  <c r="T77" i="1"/>
  <c r="N77" i="1"/>
  <c r="G77" i="1"/>
  <c r="K77" i="1"/>
  <c r="V77" i="1"/>
  <c r="O77" i="1"/>
  <c r="H77" i="1"/>
  <c r="S69" i="1"/>
  <c r="W69" i="1"/>
  <c r="Q69" i="1"/>
  <c r="U69" i="1"/>
  <c r="P69" i="1"/>
  <c r="X69" i="1"/>
  <c r="L69" i="1"/>
  <c r="I69" i="1"/>
  <c r="R69" i="1"/>
  <c r="M69" i="1"/>
  <c r="J69" i="1"/>
  <c r="T69" i="1"/>
  <c r="N69" i="1"/>
  <c r="G69" i="1"/>
  <c r="K69" i="1"/>
  <c r="V69" i="1"/>
  <c r="H69" i="1"/>
  <c r="O69" i="1"/>
  <c r="S65" i="1"/>
  <c r="W65" i="1"/>
  <c r="Q65" i="1"/>
  <c r="U65" i="1"/>
  <c r="T65" i="1"/>
  <c r="N65" i="1"/>
  <c r="I65" i="1"/>
  <c r="V65" i="1"/>
  <c r="O65" i="1"/>
  <c r="J65" i="1"/>
  <c r="P65" i="1"/>
  <c r="X65" i="1"/>
  <c r="L65" i="1"/>
  <c r="G65" i="1"/>
  <c r="K65" i="1"/>
  <c r="R65" i="1"/>
  <c r="M65" i="1"/>
  <c r="H65" i="1"/>
  <c r="U35" i="1"/>
  <c r="V29" i="1"/>
  <c r="V17" i="1"/>
  <c r="V12" i="3"/>
  <c r="T12" i="3"/>
  <c r="O12" i="3"/>
  <c r="H12" i="3"/>
  <c r="X12" i="3"/>
  <c r="S12" i="3"/>
  <c r="L12" i="3"/>
  <c r="G12" i="3"/>
  <c r="U12" i="3"/>
  <c r="P12" i="3"/>
  <c r="I12" i="3"/>
  <c r="Q91" i="1"/>
  <c r="U91" i="1"/>
  <c r="S91" i="1"/>
  <c r="W91" i="1"/>
  <c r="R91" i="1"/>
  <c r="M91" i="1"/>
  <c r="G91" i="1"/>
  <c r="K91" i="1"/>
  <c r="T91" i="1"/>
  <c r="N91" i="1"/>
  <c r="H91" i="1"/>
  <c r="V91" i="1"/>
  <c r="O91" i="1"/>
  <c r="I91" i="1"/>
  <c r="P91" i="1"/>
  <c r="L91" i="1"/>
  <c r="J91" i="1"/>
  <c r="X91" i="1"/>
  <c r="Q83" i="1"/>
  <c r="U83" i="1"/>
  <c r="S83" i="1"/>
  <c r="W83" i="1"/>
  <c r="R83" i="1"/>
  <c r="M83" i="1"/>
  <c r="G83" i="1"/>
  <c r="K83" i="1"/>
  <c r="T83" i="1"/>
  <c r="N83" i="1"/>
  <c r="H83" i="1"/>
  <c r="V83" i="1"/>
  <c r="O83" i="1"/>
  <c r="I83" i="1"/>
  <c r="P83" i="1"/>
  <c r="X83" i="1"/>
  <c r="J83" i="1"/>
  <c r="L83" i="1"/>
  <c r="Q79" i="1"/>
  <c r="U79" i="1"/>
  <c r="S79" i="1"/>
  <c r="W79" i="1"/>
  <c r="V79" i="1"/>
  <c r="O79" i="1"/>
  <c r="G79" i="1"/>
  <c r="K79" i="1"/>
  <c r="P79" i="1"/>
  <c r="X79" i="1"/>
  <c r="L79" i="1"/>
  <c r="H79" i="1"/>
  <c r="R79" i="1"/>
  <c r="M79" i="1"/>
  <c r="I79" i="1"/>
  <c r="T79" i="1"/>
  <c r="N79" i="1"/>
  <c r="J79" i="1"/>
  <c r="Q71" i="1"/>
  <c r="U71" i="1"/>
  <c r="S71" i="1"/>
  <c r="W71" i="1"/>
  <c r="V71" i="1"/>
  <c r="O71" i="1"/>
  <c r="G71" i="1"/>
  <c r="K71" i="1"/>
  <c r="P71" i="1"/>
  <c r="X71" i="1"/>
  <c r="L71" i="1"/>
  <c r="H71" i="1"/>
  <c r="R71" i="1"/>
  <c r="M71" i="1"/>
  <c r="I71" i="1"/>
  <c r="T71" i="1"/>
  <c r="J71" i="1"/>
  <c r="N71" i="1"/>
  <c r="Q59" i="1"/>
  <c r="U59" i="1"/>
  <c r="S59" i="1"/>
  <c r="W59" i="1"/>
  <c r="R59" i="1"/>
  <c r="M59" i="1"/>
  <c r="G59" i="1"/>
  <c r="K59" i="1"/>
  <c r="T59" i="1"/>
  <c r="N59" i="1"/>
  <c r="H59" i="1"/>
  <c r="V59" i="1"/>
  <c r="O59" i="1"/>
  <c r="I59" i="1"/>
  <c r="P59" i="1"/>
  <c r="X59" i="1"/>
  <c r="L59" i="1"/>
  <c r="J59" i="1"/>
  <c r="Q51" i="1"/>
  <c r="U51" i="1"/>
  <c r="R51" i="1"/>
  <c r="V51" i="1"/>
  <c r="S51" i="1"/>
  <c r="W51" i="1"/>
  <c r="X51" i="1"/>
  <c r="M51" i="1"/>
  <c r="G51" i="1"/>
  <c r="K51" i="1"/>
  <c r="N51" i="1"/>
  <c r="H51" i="1"/>
  <c r="P51" i="1"/>
  <c r="O51" i="1"/>
  <c r="I51" i="1"/>
  <c r="T51" i="1"/>
  <c r="J51" i="1"/>
  <c r="L51" i="1"/>
  <c r="K42" i="1"/>
  <c r="R42" i="1"/>
  <c r="V42" i="1"/>
  <c r="O42" i="1"/>
  <c r="M42" i="1"/>
  <c r="S42" i="1"/>
  <c r="W42" i="1"/>
  <c r="P42" i="1"/>
  <c r="T42" i="1"/>
  <c r="X42" i="1"/>
  <c r="N42" i="1"/>
  <c r="L42" i="1"/>
  <c r="Q42" i="1"/>
  <c r="U42" i="1"/>
  <c r="P92" i="1"/>
  <c r="T92" i="1"/>
  <c r="X92" i="1"/>
  <c r="N92" i="1"/>
  <c r="L92" i="1"/>
  <c r="R92" i="1"/>
  <c r="V92" i="1"/>
  <c r="O92" i="1"/>
  <c r="M92" i="1"/>
  <c r="Q92" i="1"/>
  <c r="J92" i="1"/>
  <c r="S92" i="1"/>
  <c r="G92" i="1"/>
  <c r="K92" i="1"/>
  <c r="U92" i="1"/>
  <c r="H92" i="1"/>
  <c r="P88" i="1"/>
  <c r="T88" i="1"/>
  <c r="X88" i="1"/>
  <c r="N88" i="1"/>
  <c r="L88" i="1"/>
  <c r="R88" i="1"/>
  <c r="V88" i="1"/>
  <c r="O88" i="1"/>
  <c r="M88" i="1"/>
  <c r="U88" i="1"/>
  <c r="J88" i="1"/>
  <c r="W88" i="1"/>
  <c r="G88" i="1"/>
  <c r="K88" i="1"/>
  <c r="Q88" i="1"/>
  <c r="H88" i="1"/>
  <c r="S88" i="1"/>
  <c r="P84" i="1"/>
  <c r="T84" i="1"/>
  <c r="X84" i="1"/>
  <c r="N84" i="1"/>
  <c r="L84" i="1"/>
  <c r="R84" i="1"/>
  <c r="V84" i="1"/>
  <c r="O84" i="1"/>
  <c r="M84" i="1"/>
  <c r="Q84" i="1"/>
  <c r="J84" i="1"/>
  <c r="S84" i="1"/>
  <c r="G84" i="1"/>
  <c r="K84" i="1"/>
  <c r="U84" i="1"/>
  <c r="H84" i="1"/>
  <c r="W84" i="1"/>
  <c r="P80" i="1"/>
  <c r="T80" i="1"/>
  <c r="X80" i="1"/>
  <c r="N80" i="1"/>
  <c r="L80" i="1"/>
  <c r="R80" i="1"/>
  <c r="V80" i="1"/>
  <c r="O80" i="1"/>
  <c r="M80" i="1"/>
  <c r="U80" i="1"/>
  <c r="J80" i="1"/>
  <c r="W80" i="1"/>
  <c r="G80" i="1"/>
  <c r="K80" i="1"/>
  <c r="Q80" i="1"/>
  <c r="H80" i="1"/>
  <c r="S80" i="1"/>
  <c r="P76" i="1"/>
  <c r="T76" i="1"/>
  <c r="X76" i="1"/>
  <c r="N76" i="1"/>
  <c r="L76" i="1"/>
  <c r="R76" i="1"/>
  <c r="V76" i="1"/>
  <c r="O76" i="1"/>
  <c r="M76" i="1"/>
  <c r="Q76" i="1"/>
  <c r="J76" i="1"/>
  <c r="S76" i="1"/>
  <c r="G76" i="1"/>
  <c r="K76" i="1"/>
  <c r="U76" i="1"/>
  <c r="H76" i="1"/>
  <c r="W76" i="1"/>
  <c r="P72" i="1"/>
  <c r="T72" i="1"/>
  <c r="X72" i="1"/>
  <c r="N72" i="1"/>
  <c r="L72" i="1"/>
  <c r="R72" i="1"/>
  <c r="V72" i="1"/>
  <c r="O72" i="1"/>
  <c r="M72" i="1"/>
  <c r="U72" i="1"/>
  <c r="J72" i="1"/>
  <c r="W72" i="1"/>
  <c r="G72" i="1"/>
  <c r="K72" i="1"/>
  <c r="Q72" i="1"/>
  <c r="H72" i="1"/>
  <c r="S72" i="1"/>
  <c r="P68" i="1"/>
  <c r="T68" i="1"/>
  <c r="X68" i="1"/>
  <c r="N68" i="1"/>
  <c r="L68" i="1"/>
  <c r="R68" i="1"/>
  <c r="V68" i="1"/>
  <c r="O68" i="1"/>
  <c r="M68" i="1"/>
  <c r="Q68" i="1"/>
  <c r="J68" i="1"/>
  <c r="S68" i="1"/>
  <c r="G68" i="1"/>
  <c r="K68" i="1"/>
  <c r="U68" i="1"/>
  <c r="H68" i="1"/>
  <c r="W68" i="1"/>
  <c r="P64" i="1"/>
  <c r="T64" i="1"/>
  <c r="X64" i="1"/>
  <c r="N64" i="1"/>
  <c r="L64" i="1"/>
  <c r="R64" i="1"/>
  <c r="V64" i="1"/>
  <c r="O64" i="1"/>
  <c r="M64" i="1"/>
  <c r="U64" i="1"/>
  <c r="J64" i="1"/>
  <c r="W64" i="1"/>
  <c r="G64" i="1"/>
  <c r="K64" i="1"/>
  <c r="Q64" i="1"/>
  <c r="H64" i="1"/>
  <c r="S64" i="1"/>
  <c r="P60" i="1"/>
  <c r="T60" i="1"/>
  <c r="X60" i="1"/>
  <c r="N60" i="1"/>
  <c r="L60" i="1"/>
  <c r="R60" i="1"/>
  <c r="V60" i="1"/>
  <c r="O60" i="1"/>
  <c r="M60" i="1"/>
  <c r="Q60" i="1"/>
  <c r="J60" i="1"/>
  <c r="S60" i="1"/>
  <c r="G60" i="1"/>
  <c r="K60" i="1"/>
  <c r="U60" i="1"/>
  <c r="H60" i="1"/>
  <c r="W60" i="1"/>
  <c r="P56" i="1"/>
  <c r="T56" i="1"/>
  <c r="X56" i="1"/>
  <c r="N56" i="1"/>
  <c r="L56" i="1"/>
  <c r="R56" i="1"/>
  <c r="V56" i="1"/>
  <c r="O56" i="1"/>
  <c r="M56" i="1"/>
  <c r="U56" i="1"/>
  <c r="J56" i="1"/>
  <c r="W56" i="1"/>
  <c r="G56" i="1"/>
  <c r="K56" i="1"/>
  <c r="Q56" i="1"/>
  <c r="H56" i="1"/>
  <c r="S56" i="1"/>
  <c r="P52" i="1"/>
  <c r="T52" i="1"/>
  <c r="X52" i="1"/>
  <c r="N52" i="1"/>
  <c r="L52" i="1"/>
  <c r="Q52" i="1"/>
  <c r="U52" i="1"/>
  <c r="R52" i="1"/>
  <c r="V52" i="1"/>
  <c r="O52" i="1"/>
  <c r="M52" i="1"/>
  <c r="J52" i="1"/>
  <c r="S52" i="1"/>
  <c r="G52" i="1"/>
  <c r="K52" i="1"/>
  <c r="W52" i="1"/>
  <c r="H52" i="1"/>
  <c r="P48" i="1"/>
  <c r="T48" i="1"/>
  <c r="X48" i="1"/>
  <c r="N48" i="1"/>
  <c r="L48" i="1"/>
  <c r="Q48" i="1"/>
  <c r="U48" i="1"/>
  <c r="R48" i="1"/>
  <c r="V48" i="1"/>
  <c r="O48" i="1"/>
  <c r="M48" i="1"/>
  <c r="S48" i="1"/>
  <c r="J48" i="1"/>
  <c r="W48" i="1"/>
  <c r="G48" i="1"/>
  <c r="K48" i="1"/>
  <c r="H48" i="1"/>
  <c r="U6" i="3"/>
  <c r="L8" i="3"/>
  <c r="Q8" i="3"/>
  <c r="W8" i="3"/>
  <c r="I10" i="3"/>
  <c r="P11" i="3"/>
  <c r="X11" i="3"/>
  <c r="U14" i="3"/>
  <c r="L15" i="3"/>
  <c r="U15" i="3"/>
  <c r="H16" i="3"/>
  <c r="M16" i="3"/>
  <c r="T16" i="3"/>
  <c r="T18" i="3"/>
  <c r="U19" i="3"/>
  <c r="K21" i="3"/>
  <c r="P21" i="3"/>
  <c r="G22" i="3"/>
  <c r="R22" i="3"/>
  <c r="J23" i="3"/>
  <c r="U23" i="3"/>
  <c r="G25" i="3"/>
  <c r="M25" i="3"/>
  <c r="T25" i="3"/>
  <c r="L30" i="3"/>
  <c r="O30" i="3"/>
  <c r="S30" i="3"/>
  <c r="W30" i="3"/>
  <c r="O35" i="3"/>
  <c r="R35" i="3"/>
  <c r="V35" i="3"/>
  <c r="N35" i="3"/>
  <c r="M41" i="3"/>
  <c r="T41" i="3"/>
  <c r="X41" i="3"/>
  <c r="L41" i="3"/>
  <c r="P41" i="3"/>
  <c r="N44" i="3"/>
  <c r="M44" i="3"/>
  <c r="Q44" i="3"/>
  <c r="U44" i="3"/>
  <c r="M45" i="3"/>
  <c r="L45" i="3"/>
  <c r="P45" i="3"/>
  <c r="T45" i="3"/>
  <c r="H45" i="3"/>
  <c r="X45" i="3"/>
  <c r="M49" i="3"/>
  <c r="T49" i="3"/>
  <c r="X49" i="3"/>
  <c r="L49" i="3"/>
  <c r="H49" i="3"/>
  <c r="P49" i="3"/>
  <c r="M53" i="3"/>
  <c r="L53" i="3"/>
  <c r="P53" i="3"/>
  <c r="T53" i="3"/>
  <c r="H53" i="3"/>
  <c r="X53" i="3"/>
  <c r="M57" i="3"/>
  <c r="P57" i="3"/>
  <c r="T57" i="3"/>
  <c r="H57" i="3"/>
  <c r="X57" i="3"/>
  <c r="L57" i="3"/>
  <c r="N61" i="3"/>
  <c r="U61" i="3"/>
  <c r="G61" i="3"/>
  <c r="K61" i="3"/>
  <c r="M61" i="3"/>
  <c r="Q61" i="3"/>
  <c r="N65" i="3"/>
  <c r="M65" i="3"/>
  <c r="G65" i="3"/>
  <c r="Q65" i="3"/>
  <c r="K65" i="3"/>
  <c r="U65" i="3"/>
  <c r="N69" i="3"/>
  <c r="U69" i="3"/>
  <c r="G69" i="3"/>
  <c r="K69" i="3"/>
  <c r="M69" i="3"/>
  <c r="Q69" i="3"/>
  <c r="N73" i="3"/>
  <c r="G73" i="3"/>
  <c r="M73" i="3"/>
  <c r="K73" i="3"/>
  <c r="Q73" i="3"/>
  <c r="U73" i="3"/>
  <c r="N77" i="3"/>
  <c r="Q77" i="3"/>
  <c r="U77" i="3"/>
  <c r="G77" i="3"/>
  <c r="K77" i="3"/>
  <c r="M77" i="3"/>
  <c r="M81" i="3"/>
  <c r="L81" i="3"/>
  <c r="P81" i="3"/>
  <c r="H81" i="3"/>
  <c r="T81" i="3"/>
  <c r="X81" i="3"/>
  <c r="M85" i="3"/>
  <c r="T85" i="3"/>
  <c r="H85" i="3"/>
  <c r="X85" i="3"/>
  <c r="L85" i="3"/>
  <c r="P85" i="3"/>
  <c r="M89" i="3"/>
  <c r="L89" i="3"/>
  <c r="H89" i="3"/>
  <c r="P89" i="3"/>
  <c r="T89" i="3"/>
  <c r="X89" i="3"/>
  <c r="M93" i="3"/>
  <c r="T93" i="3"/>
  <c r="H93" i="3"/>
  <c r="X93" i="3"/>
  <c r="L93" i="3"/>
  <c r="P93" i="3"/>
  <c r="G8" i="4"/>
  <c r="M8" i="4"/>
  <c r="S8" i="4"/>
  <c r="X8" i="4"/>
  <c r="P9" i="4"/>
  <c r="G10" i="4"/>
  <c r="K15" i="4"/>
  <c r="Q15" i="4"/>
  <c r="W15" i="4"/>
  <c r="I19" i="4"/>
  <c r="O19" i="4"/>
  <c r="U19" i="4"/>
  <c r="G20" i="4"/>
  <c r="O20" i="4"/>
  <c r="W20" i="4"/>
  <c r="G23" i="4"/>
  <c r="L23" i="4"/>
  <c r="Q23" i="4"/>
  <c r="W23" i="4"/>
  <c r="O24" i="4"/>
  <c r="K25" i="4"/>
  <c r="G28" i="4"/>
  <c r="P28" i="4"/>
  <c r="H31" i="4"/>
  <c r="O32" i="4"/>
  <c r="X32" i="4"/>
  <c r="G35" i="4"/>
  <c r="P36" i="4"/>
  <c r="G37" i="4"/>
  <c r="H39" i="4"/>
  <c r="S39" i="4"/>
  <c r="G41" i="4"/>
  <c r="W41" i="4"/>
  <c r="M47" i="4"/>
  <c r="P47" i="4"/>
  <c r="T47" i="4"/>
  <c r="X47" i="4"/>
  <c r="H47" i="4"/>
  <c r="L47" i="4"/>
  <c r="M51" i="4"/>
  <c r="X51" i="4"/>
  <c r="L51" i="4"/>
  <c r="P51" i="4"/>
  <c r="H51" i="4"/>
  <c r="T51" i="4"/>
  <c r="M55" i="4"/>
  <c r="P55" i="4"/>
  <c r="T55" i="4"/>
  <c r="X55" i="4"/>
  <c r="H55" i="4"/>
  <c r="L55" i="4"/>
  <c r="M59" i="4"/>
  <c r="X59" i="4"/>
  <c r="L59" i="4"/>
  <c r="P59" i="4"/>
  <c r="H59" i="4"/>
  <c r="T59" i="4"/>
  <c r="M63" i="4"/>
  <c r="P63" i="4"/>
  <c r="T63" i="4"/>
  <c r="I63" i="4"/>
  <c r="X63" i="4"/>
  <c r="L63" i="4"/>
  <c r="M67" i="4"/>
  <c r="X67" i="4"/>
  <c r="I67" i="4"/>
  <c r="L67" i="4"/>
  <c r="P67" i="4"/>
  <c r="T67" i="4"/>
  <c r="M71" i="4"/>
  <c r="L71" i="4"/>
  <c r="I71" i="4"/>
  <c r="P71" i="4"/>
  <c r="T71" i="4"/>
  <c r="X71" i="4"/>
  <c r="M75" i="4"/>
  <c r="P75" i="4"/>
  <c r="I75" i="4"/>
  <c r="T75" i="4"/>
  <c r="X75" i="4"/>
  <c r="L75" i="4"/>
  <c r="N79" i="4"/>
  <c r="M79" i="4"/>
  <c r="Q79" i="4"/>
  <c r="U79" i="4"/>
  <c r="I79" i="4"/>
  <c r="N83" i="4"/>
  <c r="Q83" i="4"/>
  <c r="U83" i="4"/>
  <c r="M83" i="4"/>
  <c r="I83" i="4"/>
  <c r="N87" i="4"/>
  <c r="M87" i="4"/>
  <c r="Q87" i="4"/>
  <c r="I87" i="4"/>
  <c r="U87" i="4"/>
  <c r="N91" i="4"/>
  <c r="Q91" i="4"/>
  <c r="U91" i="4"/>
  <c r="I91" i="4"/>
  <c r="M91" i="4"/>
  <c r="N95" i="4"/>
  <c r="U95" i="4"/>
  <c r="I95" i="4"/>
  <c r="M95" i="4"/>
  <c r="Q95" i="4"/>
  <c r="L6" i="5"/>
  <c r="T6" i="5"/>
  <c r="S7" i="5"/>
  <c r="I9" i="5"/>
  <c r="O9" i="5"/>
  <c r="T9" i="5"/>
  <c r="O10" i="5"/>
  <c r="W10" i="5"/>
  <c r="I13" i="5"/>
  <c r="O13" i="5"/>
  <c r="T13" i="5"/>
  <c r="L14" i="5"/>
  <c r="W14" i="5"/>
  <c r="K16" i="5"/>
  <c r="P16" i="5"/>
  <c r="W16" i="5"/>
  <c r="I20" i="5"/>
  <c r="O20" i="5"/>
  <c r="T20" i="5"/>
  <c r="S26" i="5"/>
  <c r="O28" i="5"/>
  <c r="I30" i="5"/>
  <c r="O32" i="5"/>
  <c r="O34" i="5"/>
  <c r="H36" i="5"/>
  <c r="G38" i="5"/>
  <c r="N39" i="5"/>
  <c r="L40" i="5"/>
  <c r="W40" i="5"/>
  <c r="X41" i="5"/>
  <c r="O42" i="5"/>
  <c r="G44" i="5"/>
  <c r="Q44" i="5"/>
  <c r="V45" i="5"/>
  <c r="I45" i="5"/>
  <c r="J45" i="5"/>
  <c r="W45" i="5"/>
  <c r="M48" i="5"/>
  <c r="Q48" i="5"/>
  <c r="U48" i="5"/>
  <c r="N48" i="5"/>
  <c r="R48" i="5"/>
  <c r="V48" i="5"/>
  <c r="O48" i="5"/>
  <c r="S48" i="5"/>
  <c r="W48" i="5"/>
  <c r="T48" i="5"/>
  <c r="X48" i="5"/>
  <c r="L48" i="5"/>
  <c r="P48" i="5"/>
  <c r="M52" i="5"/>
  <c r="Q52" i="5"/>
  <c r="U52" i="5"/>
  <c r="N52" i="5"/>
  <c r="R52" i="5"/>
  <c r="V52" i="5"/>
  <c r="O52" i="5"/>
  <c r="S52" i="5"/>
  <c r="W52" i="5"/>
  <c r="P52" i="5"/>
  <c r="T52" i="5"/>
  <c r="X52" i="5"/>
  <c r="L52" i="5"/>
  <c r="M56" i="5"/>
  <c r="Q56" i="5"/>
  <c r="U56" i="5"/>
  <c r="N56" i="5"/>
  <c r="R56" i="5"/>
  <c r="V56" i="5"/>
  <c r="O56" i="5"/>
  <c r="S56" i="5"/>
  <c r="W56" i="5"/>
  <c r="L56" i="5"/>
  <c r="P56" i="5"/>
  <c r="T56" i="5"/>
  <c r="X56" i="5"/>
  <c r="M60" i="5"/>
  <c r="Q60" i="5"/>
  <c r="U60" i="5"/>
  <c r="I60" i="5"/>
  <c r="N60" i="5"/>
  <c r="R60" i="5"/>
  <c r="V60" i="5"/>
  <c r="O60" i="5"/>
  <c r="S60" i="5"/>
  <c r="W60" i="5"/>
  <c r="X60" i="5"/>
  <c r="L60" i="5"/>
  <c r="H60" i="5"/>
  <c r="P60" i="5"/>
  <c r="T60" i="5"/>
  <c r="M64" i="5"/>
  <c r="Q64" i="5"/>
  <c r="U64" i="5"/>
  <c r="N64" i="5"/>
  <c r="R64" i="5"/>
  <c r="V64" i="5"/>
  <c r="O64" i="5"/>
  <c r="S64" i="5"/>
  <c r="W64" i="5"/>
  <c r="T64" i="5"/>
  <c r="X64" i="5"/>
  <c r="L64" i="5"/>
  <c r="P64" i="5"/>
  <c r="M68" i="5"/>
  <c r="Q68" i="5"/>
  <c r="U68" i="5"/>
  <c r="H68" i="5"/>
  <c r="N68" i="5"/>
  <c r="R68" i="5"/>
  <c r="V68" i="5"/>
  <c r="I68" i="5"/>
  <c r="O68" i="5"/>
  <c r="S68" i="5"/>
  <c r="W68" i="5"/>
  <c r="P68" i="5"/>
  <c r="T68" i="5"/>
  <c r="X68" i="5"/>
  <c r="L68" i="5"/>
  <c r="M72" i="5"/>
  <c r="Q72" i="5"/>
  <c r="U72" i="5"/>
  <c r="N72" i="5"/>
  <c r="R72" i="5"/>
  <c r="V72" i="5"/>
  <c r="O72" i="5"/>
  <c r="S72" i="5"/>
  <c r="W72" i="5"/>
  <c r="L72" i="5"/>
  <c r="P72" i="5"/>
  <c r="T72" i="5"/>
  <c r="X72" i="5"/>
  <c r="M76" i="5"/>
  <c r="Q76" i="5"/>
  <c r="U76" i="5"/>
  <c r="N76" i="5"/>
  <c r="R76" i="5"/>
  <c r="V76" i="5"/>
  <c r="H76" i="5"/>
  <c r="O76" i="5"/>
  <c r="S76" i="5"/>
  <c r="W76" i="5"/>
  <c r="I76" i="5"/>
  <c r="X76" i="5"/>
  <c r="L76" i="5"/>
  <c r="P76" i="5"/>
  <c r="T76" i="5"/>
  <c r="M80" i="5"/>
  <c r="Q80" i="5"/>
  <c r="U80" i="5"/>
  <c r="N80" i="5"/>
  <c r="R80" i="5"/>
  <c r="V80" i="5"/>
  <c r="O80" i="5"/>
  <c r="S80" i="5"/>
  <c r="W80" i="5"/>
  <c r="T80" i="5"/>
  <c r="X80" i="5"/>
  <c r="H80" i="5"/>
  <c r="L80" i="5"/>
  <c r="P80" i="5"/>
  <c r="I84" i="5"/>
  <c r="M84" i="5"/>
  <c r="Q84" i="5"/>
  <c r="U84" i="5"/>
  <c r="N84" i="5"/>
  <c r="R84" i="5"/>
  <c r="V84" i="5"/>
  <c r="O84" i="5"/>
  <c r="S84" i="5"/>
  <c r="W84" i="5"/>
  <c r="H84" i="5"/>
  <c r="P84" i="5"/>
  <c r="T84" i="5"/>
  <c r="X84" i="5"/>
  <c r="L84" i="5"/>
  <c r="I88" i="5"/>
  <c r="M88" i="5"/>
  <c r="Q88" i="5"/>
  <c r="U88" i="5"/>
  <c r="N88" i="5"/>
  <c r="R88" i="5"/>
  <c r="V88" i="5"/>
  <c r="O88" i="5"/>
  <c r="S88" i="5"/>
  <c r="W88" i="5"/>
  <c r="L88" i="5"/>
  <c r="P88" i="5"/>
  <c r="T88" i="5"/>
  <c r="X88" i="5"/>
  <c r="H88" i="5"/>
  <c r="I92" i="5"/>
  <c r="M92" i="5"/>
  <c r="Q92" i="5"/>
  <c r="U92" i="5"/>
  <c r="H92" i="5"/>
  <c r="N92" i="5"/>
  <c r="R92" i="5"/>
  <c r="V92" i="5"/>
  <c r="O92" i="5"/>
  <c r="S92" i="5"/>
  <c r="W92" i="5"/>
  <c r="X92" i="5"/>
  <c r="L92" i="5"/>
  <c r="P92" i="5"/>
  <c r="T92" i="5"/>
  <c r="H6" i="6"/>
  <c r="P6" i="6"/>
  <c r="X6" i="6"/>
  <c r="H7" i="6"/>
  <c r="M7" i="6"/>
  <c r="S7" i="6"/>
  <c r="X7" i="6"/>
  <c r="O8" i="6"/>
  <c r="M10" i="6"/>
  <c r="U10" i="6"/>
  <c r="H11" i="6"/>
  <c r="O11" i="6"/>
  <c r="T11" i="6"/>
  <c r="S12" i="6"/>
  <c r="H14" i="6"/>
  <c r="P14" i="6"/>
  <c r="X14" i="6"/>
  <c r="I15" i="6"/>
  <c r="O15" i="6"/>
  <c r="U15" i="6"/>
  <c r="G16" i="6"/>
  <c r="W16" i="6"/>
  <c r="K20" i="6"/>
  <c r="P20" i="6"/>
  <c r="W20" i="6"/>
  <c r="O25" i="6"/>
  <c r="O26" i="6"/>
  <c r="L28" i="6"/>
  <c r="S28" i="6"/>
  <c r="S33" i="6"/>
  <c r="S36" i="6"/>
  <c r="L40" i="6"/>
  <c r="W40" i="6"/>
  <c r="J61" i="6"/>
  <c r="U61" i="6"/>
  <c r="I61" i="6"/>
  <c r="M61" i="6"/>
  <c r="Q61" i="6"/>
  <c r="J65" i="6"/>
  <c r="Q65" i="6"/>
  <c r="U65" i="6"/>
  <c r="I65" i="6"/>
  <c r="M65" i="6"/>
  <c r="J69" i="6"/>
  <c r="M69" i="6"/>
  <c r="Q69" i="6"/>
  <c r="U69" i="6"/>
  <c r="I69" i="6"/>
  <c r="J73" i="6"/>
  <c r="I73" i="6"/>
  <c r="M73" i="6"/>
  <c r="Q73" i="6"/>
  <c r="U73" i="6"/>
  <c r="J77" i="6"/>
  <c r="U77" i="6"/>
  <c r="I77" i="6"/>
  <c r="M77" i="6"/>
  <c r="Q77" i="6"/>
  <c r="I81" i="6"/>
  <c r="T81" i="6"/>
  <c r="H81" i="6"/>
  <c r="X81" i="6"/>
  <c r="L81" i="6"/>
  <c r="P81" i="6"/>
  <c r="I85" i="6"/>
  <c r="P85" i="6"/>
  <c r="T85" i="6"/>
  <c r="H85" i="6"/>
  <c r="X85" i="6"/>
  <c r="L85" i="6"/>
  <c r="I89" i="6"/>
  <c r="L89" i="6"/>
  <c r="P89" i="6"/>
  <c r="T89" i="6"/>
  <c r="H89" i="6"/>
  <c r="X89" i="6"/>
  <c r="I93" i="6"/>
  <c r="H93" i="6"/>
  <c r="X93" i="6"/>
  <c r="L93" i="6"/>
  <c r="P93" i="6"/>
  <c r="T93" i="6"/>
  <c r="K9" i="7"/>
  <c r="P9" i="7"/>
  <c r="U9" i="7"/>
  <c r="G10" i="7"/>
  <c r="P10" i="7"/>
  <c r="X10" i="7"/>
  <c r="K18" i="7"/>
  <c r="P18" i="7"/>
  <c r="W18" i="7"/>
  <c r="N20" i="7"/>
  <c r="I21" i="7"/>
  <c r="T21" i="7"/>
  <c r="L23" i="7"/>
  <c r="T23" i="7"/>
  <c r="O26" i="7"/>
  <c r="G31" i="7"/>
  <c r="G32" i="7"/>
  <c r="Q34" i="7"/>
  <c r="H35" i="7"/>
  <c r="S35" i="7"/>
  <c r="O36" i="7"/>
  <c r="G39" i="7"/>
  <c r="X39" i="7"/>
  <c r="T40" i="7"/>
  <c r="I49" i="7"/>
  <c r="M49" i="7"/>
  <c r="Q49" i="7"/>
  <c r="U49" i="7"/>
  <c r="J49" i="7"/>
  <c r="N49" i="7"/>
  <c r="R49" i="7"/>
  <c r="V49" i="7"/>
  <c r="G49" i="7"/>
  <c r="K49" i="7"/>
  <c r="O49" i="7"/>
  <c r="S49" i="7"/>
  <c r="W49" i="7"/>
  <c r="T49" i="7"/>
  <c r="H49" i="7"/>
  <c r="X49" i="7"/>
  <c r="L49" i="7"/>
  <c r="P49" i="7"/>
  <c r="I53" i="7"/>
  <c r="M53" i="7"/>
  <c r="Q53" i="7"/>
  <c r="U53" i="7"/>
  <c r="J53" i="7"/>
  <c r="N53" i="7"/>
  <c r="R53" i="7"/>
  <c r="V53" i="7"/>
  <c r="G53" i="7"/>
  <c r="K53" i="7"/>
  <c r="O53" i="7"/>
  <c r="S53" i="7"/>
  <c r="W53" i="7"/>
  <c r="L53" i="7"/>
  <c r="P53" i="7"/>
  <c r="T53" i="7"/>
  <c r="H53" i="7"/>
  <c r="X53" i="7"/>
  <c r="I57" i="7"/>
  <c r="M57" i="7"/>
  <c r="Q57" i="7"/>
  <c r="U57" i="7"/>
  <c r="J57" i="7"/>
  <c r="N57" i="7"/>
  <c r="R57" i="7"/>
  <c r="V57" i="7"/>
  <c r="G57" i="7"/>
  <c r="K57" i="7"/>
  <c r="O57" i="7"/>
  <c r="S57" i="7"/>
  <c r="W57" i="7"/>
  <c r="T57" i="7"/>
  <c r="H57" i="7"/>
  <c r="X57" i="7"/>
  <c r="L57" i="7"/>
  <c r="P57" i="7"/>
  <c r="I61" i="7"/>
  <c r="M61" i="7"/>
  <c r="Q61" i="7"/>
  <c r="U61" i="7"/>
  <c r="J61" i="7"/>
  <c r="N61" i="7"/>
  <c r="R61" i="7"/>
  <c r="V61" i="7"/>
  <c r="G61" i="7"/>
  <c r="K61" i="7"/>
  <c r="O61" i="7"/>
  <c r="S61" i="7"/>
  <c r="W61" i="7"/>
  <c r="L61" i="7"/>
  <c r="P61" i="7"/>
  <c r="T61" i="7"/>
  <c r="H61" i="7"/>
  <c r="X61" i="7"/>
  <c r="I65" i="7"/>
  <c r="M65" i="7"/>
  <c r="Q65" i="7"/>
  <c r="U65" i="7"/>
  <c r="G65" i="7"/>
  <c r="K65" i="7"/>
  <c r="O65" i="7"/>
  <c r="S65" i="7"/>
  <c r="W65" i="7"/>
  <c r="L65" i="7"/>
  <c r="T65" i="7"/>
  <c r="N65" i="7"/>
  <c r="V65" i="7"/>
  <c r="H65" i="7"/>
  <c r="P65" i="7"/>
  <c r="X65" i="7"/>
  <c r="J65" i="7"/>
  <c r="R65" i="7"/>
  <c r="I69" i="7"/>
  <c r="M69" i="7"/>
  <c r="Q69" i="7"/>
  <c r="U69" i="7"/>
  <c r="G69" i="7"/>
  <c r="K69" i="7"/>
  <c r="O69" i="7"/>
  <c r="S69" i="7"/>
  <c r="W69" i="7"/>
  <c r="L69" i="7"/>
  <c r="T69" i="7"/>
  <c r="N69" i="7"/>
  <c r="V69" i="7"/>
  <c r="H69" i="7"/>
  <c r="P69" i="7"/>
  <c r="X69" i="7"/>
  <c r="J69" i="7"/>
  <c r="R69" i="7"/>
  <c r="I73" i="7"/>
  <c r="M73" i="7"/>
  <c r="Q73" i="7"/>
  <c r="U73" i="7"/>
  <c r="G73" i="7"/>
  <c r="K73" i="7"/>
  <c r="O73" i="7"/>
  <c r="S73" i="7"/>
  <c r="W73" i="7"/>
  <c r="L73" i="7"/>
  <c r="T73" i="7"/>
  <c r="N73" i="7"/>
  <c r="V73" i="7"/>
  <c r="H73" i="7"/>
  <c r="P73" i="7"/>
  <c r="X73" i="7"/>
  <c r="R73" i="7"/>
  <c r="J73" i="7"/>
  <c r="I77" i="7"/>
  <c r="M77" i="7"/>
  <c r="Q77" i="7"/>
  <c r="U77" i="7"/>
  <c r="G77" i="7"/>
  <c r="K77" i="7"/>
  <c r="O77" i="7"/>
  <c r="S77" i="7"/>
  <c r="W77" i="7"/>
  <c r="L77" i="7"/>
  <c r="T77" i="7"/>
  <c r="N77" i="7"/>
  <c r="V77" i="7"/>
  <c r="H77" i="7"/>
  <c r="P77" i="7"/>
  <c r="X77" i="7"/>
  <c r="J77" i="7"/>
  <c r="R77" i="7"/>
  <c r="I81" i="7"/>
  <c r="M81" i="7"/>
  <c r="Q81" i="7"/>
  <c r="U81" i="7"/>
  <c r="G81" i="7"/>
  <c r="K81" i="7"/>
  <c r="O81" i="7"/>
  <c r="S81" i="7"/>
  <c r="W81" i="7"/>
  <c r="L81" i="7"/>
  <c r="T81" i="7"/>
  <c r="N81" i="7"/>
  <c r="V81" i="7"/>
  <c r="H81" i="7"/>
  <c r="P81" i="7"/>
  <c r="X81" i="7"/>
  <c r="J81" i="7"/>
  <c r="R81" i="7"/>
  <c r="I85" i="7"/>
  <c r="M85" i="7"/>
  <c r="Q85" i="7"/>
  <c r="U85" i="7"/>
  <c r="G85" i="7"/>
  <c r="K85" i="7"/>
  <c r="P85" i="7"/>
  <c r="V85" i="7"/>
  <c r="L85" i="7"/>
  <c r="R85" i="7"/>
  <c r="W85" i="7"/>
  <c r="H85" i="7"/>
  <c r="N85" i="7"/>
  <c r="S85" i="7"/>
  <c r="X85" i="7"/>
  <c r="T85" i="7"/>
  <c r="J85" i="7"/>
  <c r="O85" i="7"/>
  <c r="I89" i="7"/>
  <c r="M89" i="7"/>
  <c r="Q89" i="7"/>
  <c r="U89" i="7"/>
  <c r="H89" i="7"/>
  <c r="N89" i="7"/>
  <c r="S89" i="7"/>
  <c r="X89" i="7"/>
  <c r="J89" i="7"/>
  <c r="O89" i="7"/>
  <c r="T89" i="7"/>
  <c r="K89" i="7"/>
  <c r="P89" i="7"/>
  <c r="V89" i="7"/>
  <c r="L89" i="7"/>
  <c r="R89" i="7"/>
  <c r="W89" i="7"/>
  <c r="G89" i="7"/>
  <c r="H93" i="7"/>
  <c r="L93" i="7"/>
  <c r="P93" i="7"/>
  <c r="T93" i="7"/>
  <c r="X93" i="7"/>
  <c r="I93" i="7"/>
  <c r="M93" i="7"/>
  <c r="Q93" i="7"/>
  <c r="U93" i="7"/>
  <c r="J93" i="7"/>
  <c r="N93" i="7"/>
  <c r="R93" i="7"/>
  <c r="V93" i="7"/>
  <c r="G93" i="7"/>
  <c r="W93" i="7"/>
  <c r="K93" i="7"/>
  <c r="O93" i="7"/>
  <c r="S93" i="7"/>
  <c r="G8" i="8"/>
  <c r="M8" i="8"/>
  <c r="S8" i="8"/>
  <c r="X8" i="8"/>
  <c r="P9" i="8"/>
  <c r="G10" i="8"/>
  <c r="Q10" i="8"/>
  <c r="I12" i="8"/>
  <c r="Q12" i="8"/>
  <c r="K16" i="8"/>
  <c r="P16" i="8"/>
  <c r="W16" i="8"/>
  <c r="I18" i="8"/>
  <c r="I20" i="8"/>
  <c r="O20" i="8"/>
  <c r="T20" i="8"/>
  <c r="H21" i="8"/>
  <c r="J23" i="8"/>
  <c r="J25" i="8"/>
  <c r="Q38" i="8"/>
  <c r="I40" i="8"/>
  <c r="M44" i="8"/>
  <c r="X44" i="8"/>
  <c r="H46" i="8"/>
  <c r="L46" i="8"/>
  <c r="P46" i="8"/>
  <c r="T46" i="8"/>
  <c r="X46" i="8"/>
  <c r="J46" i="8"/>
  <c r="N46" i="8"/>
  <c r="R46" i="8"/>
  <c r="V46" i="8"/>
  <c r="M46" i="8"/>
  <c r="U46" i="8"/>
  <c r="G46" i="8"/>
  <c r="O46" i="8"/>
  <c r="W46" i="8"/>
  <c r="I46" i="8"/>
  <c r="Q46" i="8"/>
  <c r="K46" i="8"/>
  <c r="S46" i="8"/>
  <c r="H50" i="8"/>
  <c r="L50" i="8"/>
  <c r="P50" i="8"/>
  <c r="T50" i="8"/>
  <c r="X50" i="8"/>
  <c r="J50" i="8"/>
  <c r="N50" i="8"/>
  <c r="R50" i="8"/>
  <c r="V50" i="8"/>
  <c r="M50" i="8"/>
  <c r="U50" i="8"/>
  <c r="G50" i="8"/>
  <c r="O50" i="8"/>
  <c r="W50" i="8"/>
  <c r="I50" i="8"/>
  <c r="Q50" i="8"/>
  <c r="S50" i="8"/>
  <c r="K50" i="8"/>
  <c r="H54" i="8"/>
  <c r="L54" i="8"/>
  <c r="P54" i="8"/>
  <c r="T54" i="8"/>
  <c r="X54" i="8"/>
  <c r="J54" i="8"/>
  <c r="N54" i="8"/>
  <c r="R54" i="8"/>
  <c r="V54" i="8"/>
  <c r="M54" i="8"/>
  <c r="U54" i="8"/>
  <c r="G54" i="8"/>
  <c r="O54" i="8"/>
  <c r="W54" i="8"/>
  <c r="I54" i="8"/>
  <c r="Q54" i="8"/>
  <c r="K54" i="8"/>
  <c r="S54" i="8"/>
  <c r="H58" i="8"/>
  <c r="L58" i="8"/>
  <c r="P58" i="8"/>
  <c r="T58" i="8"/>
  <c r="X58" i="8"/>
  <c r="J58" i="8"/>
  <c r="N58" i="8"/>
  <c r="R58" i="8"/>
  <c r="V58" i="8"/>
  <c r="M58" i="8"/>
  <c r="U58" i="8"/>
  <c r="G58" i="8"/>
  <c r="O58" i="8"/>
  <c r="W58" i="8"/>
  <c r="I58" i="8"/>
  <c r="Q58" i="8"/>
  <c r="K58" i="8"/>
  <c r="S58" i="8"/>
  <c r="H62" i="8"/>
  <c r="L62" i="8"/>
  <c r="P62" i="8"/>
  <c r="T62" i="8"/>
  <c r="X62" i="8"/>
  <c r="I62" i="8"/>
  <c r="N62" i="8"/>
  <c r="S62" i="8"/>
  <c r="J62" i="8"/>
  <c r="O62" i="8"/>
  <c r="U62" i="8"/>
  <c r="K62" i="8"/>
  <c r="Q62" i="8"/>
  <c r="V62" i="8"/>
  <c r="G62" i="8"/>
  <c r="M62" i="8"/>
  <c r="R62" i="8"/>
  <c r="W62" i="8"/>
  <c r="G66" i="8"/>
  <c r="K66" i="8"/>
  <c r="O66" i="8"/>
  <c r="S66" i="8"/>
  <c r="W66" i="8"/>
  <c r="H66" i="8"/>
  <c r="L66" i="8"/>
  <c r="P66" i="8"/>
  <c r="T66" i="8"/>
  <c r="X66" i="8"/>
  <c r="I66" i="8"/>
  <c r="M66" i="8"/>
  <c r="Q66" i="8"/>
  <c r="U66" i="8"/>
  <c r="V66" i="8"/>
  <c r="J66" i="8"/>
  <c r="N66" i="8"/>
  <c r="R66" i="8"/>
  <c r="G70" i="8"/>
  <c r="K70" i="8"/>
  <c r="O70" i="8"/>
  <c r="S70" i="8"/>
  <c r="W70" i="8"/>
  <c r="H70" i="8"/>
  <c r="L70" i="8"/>
  <c r="P70" i="8"/>
  <c r="T70" i="8"/>
  <c r="X70" i="8"/>
  <c r="I70" i="8"/>
  <c r="M70" i="8"/>
  <c r="Q70" i="8"/>
  <c r="U70" i="8"/>
  <c r="N70" i="8"/>
  <c r="R70" i="8"/>
  <c r="V70" i="8"/>
  <c r="J70" i="8"/>
  <c r="G74" i="8"/>
  <c r="K74" i="8"/>
  <c r="O74" i="8"/>
  <c r="S74" i="8"/>
  <c r="W74" i="8"/>
  <c r="H74" i="8"/>
  <c r="L74" i="8"/>
  <c r="P74" i="8"/>
  <c r="T74" i="8"/>
  <c r="X74" i="8"/>
  <c r="I74" i="8"/>
  <c r="M74" i="8"/>
  <c r="Q74" i="8"/>
  <c r="U74" i="8"/>
  <c r="V74" i="8"/>
  <c r="J74" i="8"/>
  <c r="N74" i="8"/>
  <c r="R74" i="8"/>
  <c r="G78" i="8"/>
  <c r="K78" i="8"/>
  <c r="O78" i="8"/>
  <c r="S78" i="8"/>
  <c r="W78" i="8"/>
  <c r="H78" i="8"/>
  <c r="L78" i="8"/>
  <c r="P78" i="8"/>
  <c r="T78" i="8"/>
  <c r="X78" i="8"/>
  <c r="I78" i="8"/>
  <c r="M78" i="8"/>
  <c r="Q78" i="8"/>
  <c r="U78" i="8"/>
  <c r="N78" i="8"/>
  <c r="R78" i="8"/>
  <c r="V78" i="8"/>
  <c r="J78" i="8"/>
  <c r="G82" i="8"/>
  <c r="K82" i="8"/>
  <c r="O82" i="8"/>
  <c r="S82" i="8"/>
  <c r="W82" i="8"/>
  <c r="H82" i="8"/>
  <c r="L82" i="8"/>
  <c r="P82" i="8"/>
  <c r="T82" i="8"/>
  <c r="X82" i="8"/>
  <c r="I82" i="8"/>
  <c r="M82" i="8"/>
  <c r="Q82" i="8"/>
  <c r="U82" i="8"/>
  <c r="V82" i="8"/>
  <c r="J82" i="8"/>
  <c r="N82" i="8"/>
  <c r="R82" i="8"/>
  <c r="G86" i="8"/>
  <c r="K86" i="8"/>
  <c r="O86" i="8"/>
  <c r="S86" i="8"/>
  <c r="W86" i="8"/>
  <c r="H86" i="8"/>
  <c r="L86" i="8"/>
  <c r="P86" i="8"/>
  <c r="T86" i="8"/>
  <c r="X86" i="8"/>
  <c r="I86" i="8"/>
  <c r="M86" i="8"/>
  <c r="Q86" i="8"/>
  <c r="U86" i="8"/>
  <c r="N86" i="8"/>
  <c r="R86" i="8"/>
  <c r="V86" i="8"/>
  <c r="J86" i="8"/>
  <c r="G90" i="8"/>
  <c r="K90" i="8"/>
  <c r="O90" i="8"/>
  <c r="S90" i="8"/>
  <c r="W90" i="8"/>
  <c r="H90" i="8"/>
  <c r="L90" i="8"/>
  <c r="P90" i="8"/>
  <c r="T90" i="8"/>
  <c r="X90" i="8"/>
  <c r="I90" i="8"/>
  <c r="M90" i="8"/>
  <c r="Q90" i="8"/>
  <c r="U90" i="8"/>
  <c r="V90" i="8"/>
  <c r="J90" i="8"/>
  <c r="N90" i="8"/>
  <c r="R90" i="8"/>
  <c r="G94" i="8"/>
  <c r="K94" i="8"/>
  <c r="O94" i="8"/>
  <c r="S94" i="8"/>
  <c r="W94" i="8"/>
  <c r="H94" i="8"/>
  <c r="L94" i="8"/>
  <c r="P94" i="8"/>
  <c r="T94" i="8"/>
  <c r="X94" i="8"/>
  <c r="I94" i="8"/>
  <c r="M94" i="8"/>
  <c r="Q94" i="8"/>
  <c r="U94" i="8"/>
  <c r="N94" i="8"/>
  <c r="R94" i="8"/>
  <c r="V94" i="8"/>
  <c r="J94" i="8"/>
  <c r="K6" i="9"/>
  <c r="S6" i="9"/>
  <c r="M8" i="9"/>
  <c r="G9" i="9"/>
  <c r="L9" i="9"/>
  <c r="Q9" i="9"/>
  <c r="X9" i="9"/>
  <c r="U10" i="9"/>
  <c r="U11" i="9"/>
  <c r="I12" i="9"/>
  <c r="P12" i="9"/>
  <c r="U12" i="9"/>
  <c r="J13" i="9"/>
  <c r="H14" i="9"/>
  <c r="V14" i="9"/>
  <c r="I19" i="9"/>
  <c r="O19" i="9"/>
  <c r="U19" i="9"/>
  <c r="G20" i="9"/>
  <c r="V22" i="9"/>
  <c r="I23" i="9"/>
  <c r="O23" i="9"/>
  <c r="T23" i="9"/>
  <c r="L27" i="9"/>
  <c r="S27" i="9"/>
  <c r="H35" i="9"/>
  <c r="O36" i="9"/>
  <c r="X36" i="9"/>
  <c r="I39" i="9"/>
  <c r="Q39" i="9"/>
  <c r="X41" i="9"/>
  <c r="N42" i="9"/>
  <c r="R43" i="9"/>
  <c r="J48" i="9"/>
  <c r="N48" i="9"/>
  <c r="R48" i="9"/>
  <c r="V48" i="9"/>
  <c r="H48" i="9"/>
  <c r="L48" i="9"/>
  <c r="P48" i="9"/>
  <c r="T48" i="9"/>
  <c r="X48" i="9"/>
  <c r="I48" i="9"/>
  <c r="Q48" i="9"/>
  <c r="K48" i="9"/>
  <c r="S48" i="9"/>
  <c r="M48" i="9"/>
  <c r="U48" i="9"/>
  <c r="O48" i="9"/>
  <c r="W48" i="9"/>
  <c r="G48" i="9"/>
  <c r="J52" i="9"/>
  <c r="N52" i="9"/>
  <c r="R52" i="9"/>
  <c r="V52" i="9"/>
  <c r="H52" i="9"/>
  <c r="L52" i="9"/>
  <c r="P52" i="9"/>
  <c r="T52" i="9"/>
  <c r="X52" i="9"/>
  <c r="I52" i="9"/>
  <c r="Q52" i="9"/>
  <c r="K52" i="9"/>
  <c r="S52" i="9"/>
  <c r="M52" i="9"/>
  <c r="U52" i="9"/>
  <c r="G52" i="9"/>
  <c r="O52" i="9"/>
  <c r="W52" i="9"/>
  <c r="J56" i="9"/>
  <c r="N56" i="9"/>
  <c r="R56" i="9"/>
  <c r="V56" i="9"/>
  <c r="H56" i="9"/>
  <c r="L56" i="9"/>
  <c r="P56" i="9"/>
  <c r="I56" i="9"/>
  <c r="Q56" i="9"/>
  <c r="W56" i="9"/>
  <c r="K56" i="9"/>
  <c r="S56" i="9"/>
  <c r="X56" i="9"/>
  <c r="M56" i="9"/>
  <c r="T56" i="9"/>
  <c r="G56" i="9"/>
  <c r="O56" i="9"/>
  <c r="U56" i="9"/>
  <c r="H60" i="9"/>
  <c r="L60" i="9"/>
  <c r="P60" i="9"/>
  <c r="T60" i="9"/>
  <c r="X60" i="9"/>
  <c r="I60" i="9"/>
  <c r="M60" i="9"/>
  <c r="Q60" i="9"/>
  <c r="U60" i="9"/>
  <c r="J60" i="9"/>
  <c r="N60" i="9"/>
  <c r="R60" i="9"/>
  <c r="V60" i="9"/>
  <c r="G60" i="9"/>
  <c r="W60" i="9"/>
  <c r="K60" i="9"/>
  <c r="O60" i="9"/>
  <c r="S60" i="9"/>
  <c r="H64" i="9"/>
  <c r="L64" i="9"/>
  <c r="P64" i="9"/>
  <c r="T64" i="9"/>
  <c r="X64" i="9"/>
  <c r="I64" i="9"/>
  <c r="M64" i="9"/>
  <c r="Q64" i="9"/>
  <c r="U64" i="9"/>
  <c r="J64" i="9"/>
  <c r="N64" i="9"/>
  <c r="R64" i="9"/>
  <c r="V64" i="9"/>
  <c r="O64" i="9"/>
  <c r="S64" i="9"/>
  <c r="G64" i="9"/>
  <c r="W64" i="9"/>
  <c r="K64" i="9"/>
  <c r="H68" i="9"/>
  <c r="L68" i="9"/>
  <c r="P68" i="9"/>
  <c r="T68" i="9"/>
  <c r="X68" i="9"/>
  <c r="I68" i="9"/>
  <c r="M68" i="9"/>
  <c r="Q68" i="9"/>
  <c r="U68" i="9"/>
  <c r="J68" i="9"/>
  <c r="N68" i="9"/>
  <c r="R68" i="9"/>
  <c r="V68" i="9"/>
  <c r="G68" i="9"/>
  <c r="W68" i="9"/>
  <c r="K68" i="9"/>
  <c r="O68" i="9"/>
  <c r="S68" i="9"/>
  <c r="H72" i="9"/>
  <c r="L72" i="9"/>
  <c r="P72" i="9"/>
  <c r="T72" i="9"/>
  <c r="X72" i="9"/>
  <c r="I72" i="9"/>
  <c r="M72" i="9"/>
  <c r="Q72" i="9"/>
  <c r="U72" i="9"/>
  <c r="J72" i="9"/>
  <c r="N72" i="9"/>
  <c r="R72" i="9"/>
  <c r="V72" i="9"/>
  <c r="O72" i="9"/>
  <c r="S72" i="9"/>
  <c r="G72" i="9"/>
  <c r="W72" i="9"/>
  <c r="K72" i="9"/>
  <c r="H76" i="9"/>
  <c r="L76" i="9"/>
  <c r="P76" i="9"/>
  <c r="T76" i="9"/>
  <c r="X76" i="9"/>
  <c r="I76" i="9"/>
  <c r="M76" i="9"/>
  <c r="Q76" i="9"/>
  <c r="U76" i="9"/>
  <c r="J76" i="9"/>
  <c r="N76" i="9"/>
  <c r="R76" i="9"/>
  <c r="V76" i="9"/>
  <c r="G76" i="9"/>
  <c r="W76" i="9"/>
  <c r="K76" i="9"/>
  <c r="O76" i="9"/>
  <c r="S76" i="9"/>
  <c r="H80" i="9"/>
  <c r="L80" i="9"/>
  <c r="P80" i="9"/>
  <c r="T80" i="9"/>
  <c r="X80" i="9"/>
  <c r="I80" i="9"/>
  <c r="M80" i="9"/>
  <c r="Q80" i="9"/>
  <c r="U80" i="9"/>
  <c r="J80" i="9"/>
  <c r="N80" i="9"/>
  <c r="R80" i="9"/>
  <c r="V80" i="9"/>
  <c r="O80" i="9"/>
  <c r="S80" i="9"/>
  <c r="G80" i="9"/>
  <c r="W80" i="9"/>
  <c r="K80" i="9"/>
  <c r="H84" i="9"/>
  <c r="L84" i="9"/>
  <c r="P84" i="9"/>
  <c r="T84" i="9"/>
  <c r="X84" i="9"/>
  <c r="I84" i="9"/>
  <c r="M84" i="9"/>
  <c r="Q84" i="9"/>
  <c r="U84" i="9"/>
  <c r="J84" i="9"/>
  <c r="N84" i="9"/>
  <c r="R84" i="9"/>
  <c r="V84" i="9"/>
  <c r="G84" i="9"/>
  <c r="W84" i="9"/>
  <c r="K84" i="9"/>
  <c r="O84" i="9"/>
  <c r="S84" i="9"/>
  <c r="H88" i="9"/>
  <c r="L88" i="9"/>
  <c r="P88" i="9"/>
  <c r="T88" i="9"/>
  <c r="X88" i="9"/>
  <c r="I88" i="9"/>
  <c r="M88" i="9"/>
  <c r="Q88" i="9"/>
  <c r="U88" i="9"/>
  <c r="J88" i="9"/>
  <c r="N88" i="9"/>
  <c r="R88" i="9"/>
  <c r="V88" i="9"/>
  <c r="O88" i="9"/>
  <c r="S88" i="9"/>
  <c r="G88" i="9"/>
  <c r="W88" i="9"/>
  <c r="K88" i="9"/>
  <c r="H92" i="9"/>
  <c r="L92" i="9"/>
  <c r="P92" i="9"/>
  <c r="T92" i="9"/>
  <c r="X92" i="9"/>
  <c r="J92" i="9"/>
  <c r="N92" i="9"/>
  <c r="R92" i="9"/>
  <c r="V92" i="9"/>
  <c r="M92" i="9"/>
  <c r="U92" i="9"/>
  <c r="G92" i="9"/>
  <c r="O92" i="9"/>
  <c r="W92" i="9"/>
  <c r="I92" i="9"/>
  <c r="Q92" i="9"/>
  <c r="K92" i="9"/>
  <c r="S92" i="9"/>
  <c r="G6" i="10"/>
  <c r="O6" i="10"/>
  <c r="W6" i="10"/>
  <c r="L8" i="10"/>
  <c r="Q8" i="10"/>
  <c r="W8" i="10"/>
  <c r="O10" i="10"/>
  <c r="W10" i="10"/>
  <c r="T13" i="10"/>
  <c r="K16" i="10"/>
  <c r="P16" i="10"/>
  <c r="W16" i="10"/>
  <c r="M18" i="10"/>
  <c r="W18" i="10"/>
  <c r="M22" i="10"/>
  <c r="U22" i="10"/>
  <c r="H27" i="10"/>
  <c r="G29" i="10"/>
  <c r="P29" i="10"/>
  <c r="Q31" i="10"/>
  <c r="Q32" i="10"/>
  <c r="S43" i="10"/>
  <c r="J46" i="10"/>
  <c r="N46" i="10"/>
  <c r="R46" i="10"/>
  <c r="V46" i="10"/>
  <c r="G46" i="10"/>
  <c r="K46" i="10"/>
  <c r="O46" i="10"/>
  <c r="S46" i="10"/>
  <c r="W46" i="10"/>
  <c r="H46" i="10"/>
  <c r="L46" i="10"/>
  <c r="P46" i="10"/>
  <c r="T46" i="10"/>
  <c r="X46" i="10"/>
  <c r="U46" i="10"/>
  <c r="I46" i="10"/>
  <c r="M46" i="10"/>
  <c r="Q46" i="10"/>
  <c r="J50" i="10"/>
  <c r="N50" i="10"/>
  <c r="R50" i="10"/>
  <c r="V50" i="10"/>
  <c r="G50" i="10"/>
  <c r="K50" i="10"/>
  <c r="O50" i="10"/>
  <c r="S50" i="10"/>
  <c r="W50" i="10"/>
  <c r="H50" i="10"/>
  <c r="L50" i="10"/>
  <c r="P50" i="10"/>
  <c r="T50" i="10"/>
  <c r="X50" i="10"/>
  <c r="M50" i="10"/>
  <c r="Q50" i="10"/>
  <c r="U50" i="10"/>
  <c r="I50" i="10"/>
  <c r="J54" i="10"/>
  <c r="N54" i="10"/>
  <c r="R54" i="10"/>
  <c r="V54" i="10"/>
  <c r="G54" i="10"/>
  <c r="K54" i="10"/>
  <c r="O54" i="10"/>
  <c r="S54" i="10"/>
  <c r="W54" i="10"/>
  <c r="H54" i="10"/>
  <c r="L54" i="10"/>
  <c r="P54" i="10"/>
  <c r="T54" i="10"/>
  <c r="X54" i="10"/>
  <c r="U54" i="10"/>
  <c r="I54" i="10"/>
  <c r="M54" i="10"/>
  <c r="Q54" i="10"/>
  <c r="J58" i="10"/>
  <c r="N58" i="10"/>
  <c r="R58" i="10"/>
  <c r="V58" i="10"/>
  <c r="G58" i="10"/>
  <c r="K58" i="10"/>
  <c r="O58" i="10"/>
  <c r="S58" i="10"/>
  <c r="W58" i="10"/>
  <c r="H58" i="10"/>
  <c r="L58" i="10"/>
  <c r="P58" i="10"/>
  <c r="T58" i="10"/>
  <c r="X58" i="10"/>
  <c r="M58" i="10"/>
  <c r="Q58" i="10"/>
  <c r="U58" i="10"/>
  <c r="I58" i="10"/>
  <c r="J62" i="10"/>
  <c r="N62" i="10"/>
  <c r="R62" i="10"/>
  <c r="V62" i="10"/>
  <c r="G62" i="10"/>
  <c r="K62" i="10"/>
  <c r="O62" i="10"/>
  <c r="S62" i="10"/>
  <c r="W62" i="10"/>
  <c r="H62" i="10"/>
  <c r="L62" i="10"/>
  <c r="P62" i="10"/>
  <c r="T62" i="10"/>
  <c r="X62" i="10"/>
  <c r="U62" i="10"/>
  <c r="I62" i="10"/>
  <c r="M62" i="10"/>
  <c r="Q62" i="10"/>
  <c r="J66" i="10"/>
  <c r="N66" i="10"/>
  <c r="R66" i="10"/>
  <c r="V66" i="10"/>
  <c r="G66" i="10"/>
  <c r="K66" i="10"/>
  <c r="O66" i="10"/>
  <c r="S66" i="10"/>
  <c r="W66" i="10"/>
  <c r="H66" i="10"/>
  <c r="L66" i="10"/>
  <c r="P66" i="10"/>
  <c r="T66" i="10"/>
  <c r="X66" i="10"/>
  <c r="M66" i="10"/>
  <c r="Q66" i="10"/>
  <c r="U66" i="10"/>
  <c r="I66" i="10"/>
  <c r="J70" i="10"/>
  <c r="N70" i="10"/>
  <c r="R70" i="10"/>
  <c r="V70" i="10"/>
  <c r="G70" i="10"/>
  <c r="K70" i="10"/>
  <c r="O70" i="10"/>
  <c r="S70" i="10"/>
  <c r="W70" i="10"/>
  <c r="H70" i="10"/>
  <c r="L70" i="10"/>
  <c r="P70" i="10"/>
  <c r="T70" i="10"/>
  <c r="X70" i="10"/>
  <c r="U70" i="10"/>
  <c r="I70" i="10"/>
  <c r="M70" i="10"/>
  <c r="Q70" i="10"/>
  <c r="J74" i="10"/>
  <c r="N74" i="10"/>
  <c r="R74" i="10"/>
  <c r="V74" i="10"/>
  <c r="G74" i="10"/>
  <c r="K74" i="10"/>
  <c r="O74" i="10"/>
  <c r="S74" i="10"/>
  <c r="W74" i="10"/>
  <c r="H74" i="10"/>
  <c r="L74" i="10"/>
  <c r="P74" i="10"/>
  <c r="T74" i="10"/>
  <c r="X74" i="10"/>
  <c r="M74" i="10"/>
  <c r="Q74" i="10"/>
  <c r="U74" i="10"/>
  <c r="I74" i="10"/>
  <c r="J78" i="10"/>
  <c r="N78" i="10"/>
  <c r="R78" i="10"/>
  <c r="V78" i="10"/>
  <c r="G78" i="10"/>
  <c r="K78" i="10"/>
  <c r="O78" i="10"/>
  <c r="S78" i="10"/>
  <c r="W78" i="10"/>
  <c r="H78" i="10"/>
  <c r="L78" i="10"/>
  <c r="P78" i="10"/>
  <c r="T78" i="10"/>
  <c r="X78" i="10"/>
  <c r="U78" i="10"/>
  <c r="I78" i="10"/>
  <c r="M78" i="10"/>
  <c r="Q78" i="10"/>
  <c r="J82" i="10"/>
  <c r="N82" i="10"/>
  <c r="R82" i="10"/>
  <c r="V82" i="10"/>
  <c r="G82" i="10"/>
  <c r="K82" i="10"/>
  <c r="O82" i="10"/>
  <c r="S82" i="10"/>
  <c r="W82" i="10"/>
  <c r="H82" i="10"/>
  <c r="L82" i="10"/>
  <c r="P82" i="10"/>
  <c r="T82" i="10"/>
  <c r="X82" i="10"/>
  <c r="M82" i="10"/>
  <c r="Q82" i="10"/>
  <c r="U82" i="10"/>
  <c r="I82" i="10"/>
  <c r="J86" i="10"/>
  <c r="N86" i="10"/>
  <c r="R86" i="10"/>
  <c r="V86" i="10"/>
  <c r="G86" i="10"/>
  <c r="K86" i="10"/>
  <c r="O86" i="10"/>
  <c r="S86" i="10"/>
  <c r="W86" i="10"/>
  <c r="H86" i="10"/>
  <c r="L86" i="10"/>
  <c r="P86" i="10"/>
  <c r="T86" i="10"/>
  <c r="X86" i="10"/>
  <c r="U86" i="10"/>
  <c r="I86" i="10"/>
  <c r="M86" i="10"/>
  <c r="Q86" i="10"/>
  <c r="J90" i="10"/>
  <c r="N90" i="10"/>
  <c r="R90" i="10"/>
  <c r="V90" i="10"/>
  <c r="H90" i="10"/>
  <c r="L90" i="10"/>
  <c r="P90" i="10"/>
  <c r="T90" i="10"/>
  <c r="X90" i="10"/>
  <c r="I90" i="10"/>
  <c r="Q90" i="10"/>
  <c r="K90" i="10"/>
  <c r="S90" i="10"/>
  <c r="M90" i="10"/>
  <c r="U90" i="10"/>
  <c r="G90" i="10"/>
  <c r="O90" i="10"/>
  <c r="W90" i="10"/>
  <c r="J94" i="10"/>
  <c r="N94" i="10"/>
  <c r="R94" i="10"/>
  <c r="V94" i="10"/>
  <c r="H94" i="10"/>
  <c r="L94" i="10"/>
  <c r="P94" i="10"/>
  <c r="T94" i="10"/>
  <c r="X94" i="10"/>
  <c r="I94" i="10"/>
  <c r="Q94" i="10"/>
  <c r="K94" i="10"/>
  <c r="S94" i="10"/>
  <c r="M94" i="10"/>
  <c r="U94" i="10"/>
  <c r="W94" i="10"/>
  <c r="G94" i="10"/>
  <c r="O94" i="10"/>
  <c r="K6" i="11"/>
  <c r="S6" i="11"/>
  <c r="O7" i="11"/>
  <c r="K9" i="11"/>
  <c r="P9" i="11"/>
  <c r="U9" i="11"/>
  <c r="G10" i="11"/>
  <c r="P10" i="11"/>
  <c r="X10" i="11"/>
  <c r="O11" i="11"/>
  <c r="G16" i="11"/>
  <c r="L16" i="11"/>
  <c r="S16" i="11"/>
  <c r="X16" i="11"/>
  <c r="K20" i="11"/>
  <c r="P20" i="11"/>
  <c r="W20" i="11"/>
  <c r="I24" i="11"/>
  <c r="G30" i="11"/>
  <c r="O33" i="11"/>
  <c r="W34" i="11"/>
  <c r="G37" i="11"/>
  <c r="P37" i="11"/>
  <c r="O45" i="11"/>
  <c r="X45" i="11"/>
  <c r="I49" i="11"/>
  <c r="M49" i="11"/>
  <c r="Q49" i="11"/>
  <c r="U49" i="11"/>
  <c r="J49" i="11"/>
  <c r="N49" i="11"/>
  <c r="R49" i="11"/>
  <c r="V49" i="11"/>
  <c r="G49" i="11"/>
  <c r="K49" i="11"/>
  <c r="O49" i="11"/>
  <c r="S49" i="11"/>
  <c r="W49" i="11"/>
  <c r="T49" i="11"/>
  <c r="H49" i="11"/>
  <c r="X49" i="11"/>
  <c r="L49" i="11"/>
  <c r="P49" i="11"/>
  <c r="I53" i="11"/>
  <c r="M53" i="11"/>
  <c r="Q53" i="11"/>
  <c r="U53" i="11"/>
  <c r="J53" i="11"/>
  <c r="N53" i="11"/>
  <c r="R53" i="11"/>
  <c r="V53" i="11"/>
  <c r="G53" i="11"/>
  <c r="K53" i="11"/>
  <c r="O53" i="11"/>
  <c r="S53" i="11"/>
  <c r="W53" i="11"/>
  <c r="L53" i="11"/>
  <c r="P53" i="11"/>
  <c r="T53" i="11"/>
  <c r="H53" i="11"/>
  <c r="X53" i="11"/>
  <c r="I57" i="11"/>
  <c r="M57" i="11"/>
  <c r="Q57" i="11"/>
  <c r="U57" i="11"/>
  <c r="J57" i="11"/>
  <c r="N57" i="11"/>
  <c r="R57" i="11"/>
  <c r="V57" i="11"/>
  <c r="G57" i="11"/>
  <c r="K57" i="11"/>
  <c r="O57" i="11"/>
  <c r="S57" i="11"/>
  <c r="W57" i="11"/>
  <c r="T57" i="11"/>
  <c r="H57" i="11"/>
  <c r="X57" i="11"/>
  <c r="L57" i="11"/>
  <c r="P57" i="11"/>
  <c r="I61" i="11"/>
  <c r="M61" i="11"/>
  <c r="Q61" i="11"/>
  <c r="U61" i="11"/>
  <c r="J61" i="11"/>
  <c r="N61" i="11"/>
  <c r="R61" i="11"/>
  <c r="V61" i="11"/>
  <c r="G61" i="11"/>
  <c r="K61" i="11"/>
  <c r="O61" i="11"/>
  <c r="S61" i="11"/>
  <c r="W61" i="11"/>
  <c r="L61" i="11"/>
  <c r="P61" i="11"/>
  <c r="T61" i="11"/>
  <c r="X61" i="11"/>
  <c r="H61" i="11"/>
  <c r="I65" i="11"/>
  <c r="M65" i="11"/>
  <c r="Q65" i="11"/>
  <c r="J65" i="11"/>
  <c r="N65" i="11"/>
  <c r="R65" i="11"/>
  <c r="V65" i="11"/>
  <c r="G65" i="11"/>
  <c r="K65" i="11"/>
  <c r="O65" i="11"/>
  <c r="S65" i="11"/>
  <c r="W65" i="11"/>
  <c r="T65" i="11"/>
  <c r="H65" i="11"/>
  <c r="U65" i="11"/>
  <c r="L65" i="11"/>
  <c r="X65" i="11"/>
  <c r="P65" i="11"/>
  <c r="J69" i="11"/>
  <c r="N69" i="11"/>
  <c r="R69" i="11"/>
  <c r="V69" i="11"/>
  <c r="G69" i="11"/>
  <c r="K69" i="11"/>
  <c r="O69" i="11"/>
  <c r="S69" i="11"/>
  <c r="W69" i="11"/>
  <c r="H69" i="11"/>
  <c r="L69" i="11"/>
  <c r="P69" i="11"/>
  <c r="T69" i="11"/>
  <c r="X69" i="11"/>
  <c r="U69" i="11"/>
  <c r="I69" i="11"/>
  <c r="M69" i="11"/>
  <c r="Q69" i="11"/>
  <c r="J73" i="11"/>
  <c r="N73" i="11"/>
  <c r="R73" i="11"/>
  <c r="V73" i="11"/>
  <c r="G73" i="11"/>
  <c r="K73" i="11"/>
  <c r="O73" i="11"/>
  <c r="S73" i="11"/>
  <c r="W73" i="11"/>
  <c r="H73" i="11"/>
  <c r="L73" i="11"/>
  <c r="P73" i="11"/>
  <c r="T73" i="11"/>
  <c r="X73" i="11"/>
  <c r="M73" i="11"/>
  <c r="Q73" i="11"/>
  <c r="U73" i="11"/>
  <c r="I73" i="11"/>
  <c r="J77" i="11"/>
  <c r="N77" i="11"/>
  <c r="R77" i="11"/>
  <c r="V77" i="11"/>
  <c r="G77" i="11"/>
  <c r="K77" i="11"/>
  <c r="O77" i="11"/>
  <c r="S77" i="11"/>
  <c r="W77" i="11"/>
  <c r="H77" i="11"/>
  <c r="L77" i="11"/>
  <c r="P77" i="11"/>
  <c r="T77" i="11"/>
  <c r="X77" i="11"/>
  <c r="U77" i="11"/>
  <c r="I77" i="11"/>
  <c r="M77" i="11"/>
  <c r="Q77" i="11"/>
  <c r="J81" i="11"/>
  <c r="N81" i="11"/>
  <c r="R81" i="11"/>
  <c r="V81" i="11"/>
  <c r="G81" i="11"/>
  <c r="K81" i="11"/>
  <c r="O81" i="11"/>
  <c r="S81" i="11"/>
  <c r="W81" i="11"/>
  <c r="H81" i="11"/>
  <c r="L81" i="11"/>
  <c r="P81" i="11"/>
  <c r="T81" i="11"/>
  <c r="X81" i="11"/>
  <c r="M81" i="11"/>
  <c r="Q81" i="11"/>
  <c r="U81" i="11"/>
  <c r="I81" i="11"/>
  <c r="J85" i="11"/>
  <c r="N85" i="11"/>
  <c r="R85" i="11"/>
  <c r="V85" i="11"/>
  <c r="H85" i="11"/>
  <c r="L85" i="11"/>
  <c r="P85" i="11"/>
  <c r="T85" i="11"/>
  <c r="X85" i="11"/>
  <c r="I85" i="11"/>
  <c r="Q85" i="11"/>
  <c r="K85" i="11"/>
  <c r="S85" i="11"/>
  <c r="M85" i="11"/>
  <c r="U85" i="11"/>
  <c r="G85" i="11"/>
  <c r="O85" i="11"/>
  <c r="W85" i="11"/>
  <c r="J89" i="11"/>
  <c r="N89" i="11"/>
  <c r="R89" i="11"/>
  <c r="V89" i="11"/>
  <c r="H89" i="11"/>
  <c r="L89" i="11"/>
  <c r="P89" i="11"/>
  <c r="T89" i="11"/>
  <c r="X89" i="11"/>
  <c r="I89" i="11"/>
  <c r="Q89" i="11"/>
  <c r="K89" i="11"/>
  <c r="S89" i="11"/>
  <c r="M89" i="11"/>
  <c r="U89" i="11"/>
  <c r="W89" i="11"/>
  <c r="G89" i="11"/>
  <c r="O89" i="11"/>
  <c r="J93" i="11"/>
  <c r="N93" i="11"/>
  <c r="R93" i="11"/>
  <c r="V93" i="11"/>
  <c r="H93" i="11"/>
  <c r="L93" i="11"/>
  <c r="P93" i="11"/>
  <c r="T93" i="11"/>
  <c r="X93" i="11"/>
  <c r="I93" i="11"/>
  <c r="Q93" i="11"/>
  <c r="K93" i="11"/>
  <c r="S93" i="11"/>
  <c r="M93" i="11"/>
  <c r="U93" i="11"/>
  <c r="O93" i="11"/>
  <c r="W93" i="11"/>
  <c r="G93" i="11"/>
  <c r="I6" i="12"/>
  <c r="P6" i="12"/>
  <c r="K18" i="12"/>
  <c r="V20" i="12"/>
  <c r="X20" i="12"/>
  <c r="Q20" i="12"/>
  <c r="L20" i="12"/>
  <c r="G20" i="12"/>
  <c r="T20" i="12"/>
  <c r="O20" i="12"/>
  <c r="I20" i="12"/>
  <c r="P20" i="12"/>
  <c r="V22" i="12"/>
  <c r="K22" i="12"/>
  <c r="V44" i="12"/>
  <c r="Q44" i="12"/>
  <c r="I44" i="12"/>
  <c r="O44" i="12"/>
  <c r="H44" i="12"/>
  <c r="W44" i="12"/>
  <c r="M44" i="12"/>
  <c r="G44" i="12"/>
  <c r="K23" i="13"/>
  <c r="V29" i="13"/>
  <c r="S29" i="13"/>
  <c r="K29" i="13"/>
  <c r="I92" i="1"/>
  <c r="K82" i="1"/>
  <c r="I76" i="1"/>
  <c r="K66" i="1"/>
  <c r="I60" i="1"/>
  <c r="H57" i="1"/>
  <c r="K50" i="1"/>
  <c r="M15" i="3"/>
  <c r="X15" i="3"/>
  <c r="L38" i="3"/>
  <c r="O38" i="3"/>
  <c r="S38" i="3"/>
  <c r="W38" i="3"/>
  <c r="N40" i="3"/>
  <c r="Q40" i="3"/>
  <c r="U40" i="3"/>
  <c r="M40" i="3"/>
  <c r="M62" i="3"/>
  <c r="X62" i="3"/>
  <c r="L62" i="3"/>
  <c r="P62" i="3"/>
  <c r="J62" i="3"/>
  <c r="T62" i="3"/>
  <c r="M66" i="3"/>
  <c r="P66" i="3"/>
  <c r="T66" i="3"/>
  <c r="X66" i="3"/>
  <c r="J66" i="3"/>
  <c r="L66" i="3"/>
  <c r="M70" i="3"/>
  <c r="X70" i="3"/>
  <c r="L70" i="3"/>
  <c r="P70" i="3"/>
  <c r="J70" i="3"/>
  <c r="T70" i="3"/>
  <c r="M74" i="3"/>
  <c r="L74" i="3"/>
  <c r="P74" i="3"/>
  <c r="T74" i="3"/>
  <c r="J74" i="3"/>
  <c r="X74" i="3"/>
  <c r="G86" i="3"/>
  <c r="K86" i="3"/>
  <c r="S90" i="3"/>
  <c r="G90" i="3"/>
  <c r="S94" i="3"/>
  <c r="W94" i="3"/>
  <c r="T9" i="4"/>
  <c r="K19" i="4"/>
  <c r="P19" i="4"/>
  <c r="W19" i="4"/>
  <c r="S24" i="4"/>
  <c r="L48" i="4"/>
  <c r="S48" i="4"/>
  <c r="K48" i="4"/>
  <c r="W48" i="4"/>
  <c r="O48" i="4"/>
  <c r="G48" i="4"/>
  <c r="L52" i="4"/>
  <c r="K52" i="4"/>
  <c r="O52" i="4"/>
  <c r="S52" i="4"/>
  <c r="G52" i="4"/>
  <c r="W52" i="4"/>
  <c r="L56" i="4"/>
  <c r="S56" i="4"/>
  <c r="K56" i="4"/>
  <c r="W56" i="4"/>
  <c r="O56" i="4"/>
  <c r="G56" i="4"/>
  <c r="L60" i="4"/>
  <c r="O60" i="4"/>
  <c r="S60" i="4"/>
  <c r="W60" i="4"/>
  <c r="H60" i="4"/>
  <c r="L64" i="4"/>
  <c r="S64" i="4"/>
  <c r="W64" i="4"/>
  <c r="H64" i="4"/>
  <c r="O64" i="4"/>
  <c r="L68" i="4"/>
  <c r="O68" i="4"/>
  <c r="H68" i="4"/>
  <c r="S68" i="4"/>
  <c r="W68" i="4"/>
  <c r="L72" i="4"/>
  <c r="O72" i="4"/>
  <c r="S72" i="4"/>
  <c r="H72" i="4"/>
  <c r="W72" i="4"/>
  <c r="L76" i="4"/>
  <c r="S76" i="4"/>
  <c r="W76" i="4"/>
  <c r="H76" i="4"/>
  <c r="O76" i="4"/>
  <c r="M80" i="4"/>
  <c r="L80" i="4"/>
  <c r="H80" i="4"/>
  <c r="P80" i="4"/>
  <c r="T80" i="4"/>
  <c r="X80" i="4"/>
  <c r="M84" i="4"/>
  <c r="T84" i="4"/>
  <c r="H84" i="4"/>
  <c r="X84" i="4"/>
  <c r="L84" i="4"/>
  <c r="P84" i="4"/>
  <c r="M88" i="4"/>
  <c r="L88" i="4"/>
  <c r="H88" i="4"/>
  <c r="P88" i="4"/>
  <c r="T88" i="4"/>
  <c r="X88" i="4"/>
  <c r="M92" i="4"/>
  <c r="T92" i="4"/>
  <c r="X92" i="4"/>
  <c r="L92" i="4"/>
  <c r="P92" i="4"/>
  <c r="H92" i="4"/>
  <c r="K9" i="5"/>
  <c r="P9" i="5"/>
  <c r="U9" i="5"/>
  <c r="K13" i="5"/>
  <c r="P13" i="5"/>
  <c r="U13" i="5"/>
  <c r="K20" i="5"/>
  <c r="P20" i="5"/>
  <c r="W20" i="5"/>
  <c r="O40" i="5"/>
  <c r="W42" i="5"/>
  <c r="L49" i="5"/>
  <c r="P49" i="5"/>
  <c r="T49" i="5"/>
  <c r="X49" i="5"/>
  <c r="M49" i="5"/>
  <c r="Q49" i="5"/>
  <c r="U49" i="5"/>
  <c r="J49" i="5"/>
  <c r="N49" i="5"/>
  <c r="R49" i="5"/>
  <c r="V49" i="5"/>
  <c r="W49" i="5"/>
  <c r="O49" i="5"/>
  <c r="S49" i="5"/>
  <c r="L53" i="5"/>
  <c r="P53" i="5"/>
  <c r="T53" i="5"/>
  <c r="X53" i="5"/>
  <c r="M53" i="5"/>
  <c r="Q53" i="5"/>
  <c r="U53" i="5"/>
  <c r="N53" i="5"/>
  <c r="R53" i="5"/>
  <c r="V53" i="5"/>
  <c r="S53" i="5"/>
  <c r="W53" i="5"/>
  <c r="J53" i="5"/>
  <c r="O53" i="5"/>
  <c r="L57" i="5"/>
  <c r="P57" i="5"/>
  <c r="T57" i="5"/>
  <c r="X57" i="5"/>
  <c r="M57" i="5"/>
  <c r="Q57" i="5"/>
  <c r="U57" i="5"/>
  <c r="J57" i="5"/>
  <c r="N57" i="5"/>
  <c r="R57" i="5"/>
  <c r="V57" i="5"/>
  <c r="O57" i="5"/>
  <c r="S57" i="5"/>
  <c r="W57" i="5"/>
  <c r="I61" i="5"/>
  <c r="L61" i="5"/>
  <c r="P61" i="5"/>
  <c r="T61" i="5"/>
  <c r="X61" i="5"/>
  <c r="M61" i="5"/>
  <c r="Q61" i="5"/>
  <c r="U61" i="5"/>
  <c r="G61" i="5"/>
  <c r="N61" i="5"/>
  <c r="R61" i="5"/>
  <c r="V61" i="5"/>
  <c r="H61" i="5"/>
  <c r="O61" i="5"/>
  <c r="S61" i="5"/>
  <c r="K61" i="5"/>
  <c r="W61" i="5"/>
  <c r="I65" i="5"/>
  <c r="L65" i="5"/>
  <c r="P65" i="5"/>
  <c r="T65" i="5"/>
  <c r="X65" i="5"/>
  <c r="H65" i="5"/>
  <c r="M65" i="5"/>
  <c r="Q65" i="5"/>
  <c r="U65" i="5"/>
  <c r="N65" i="5"/>
  <c r="R65" i="5"/>
  <c r="V65" i="5"/>
  <c r="W65" i="5"/>
  <c r="O65" i="5"/>
  <c r="S65" i="5"/>
  <c r="I69" i="5"/>
  <c r="L69" i="5"/>
  <c r="P69" i="5"/>
  <c r="T69" i="5"/>
  <c r="X69" i="5"/>
  <c r="K69" i="5"/>
  <c r="M69" i="5"/>
  <c r="Q69" i="5"/>
  <c r="U69" i="5"/>
  <c r="N69" i="5"/>
  <c r="R69" i="5"/>
  <c r="V69" i="5"/>
  <c r="G69" i="5"/>
  <c r="S69" i="5"/>
  <c r="W69" i="5"/>
  <c r="H69" i="5"/>
  <c r="O69" i="5"/>
  <c r="I73" i="5"/>
  <c r="L73" i="5"/>
  <c r="P73" i="5"/>
  <c r="T73" i="5"/>
  <c r="X73" i="5"/>
  <c r="M73" i="5"/>
  <c r="Q73" i="5"/>
  <c r="U73" i="5"/>
  <c r="H73" i="5"/>
  <c r="N73" i="5"/>
  <c r="R73" i="5"/>
  <c r="V73" i="5"/>
  <c r="O73" i="5"/>
  <c r="S73" i="5"/>
  <c r="W73" i="5"/>
  <c r="I77" i="5"/>
  <c r="L77" i="5"/>
  <c r="P77" i="5"/>
  <c r="T77" i="5"/>
  <c r="X77" i="5"/>
  <c r="H77" i="5"/>
  <c r="M77" i="5"/>
  <c r="Q77" i="5"/>
  <c r="U77" i="5"/>
  <c r="K77" i="5"/>
  <c r="N77" i="5"/>
  <c r="R77" i="5"/>
  <c r="V77" i="5"/>
  <c r="G77" i="5"/>
  <c r="O77" i="5"/>
  <c r="S77" i="5"/>
  <c r="W77" i="5"/>
  <c r="H81" i="5"/>
  <c r="L81" i="5"/>
  <c r="P81" i="5"/>
  <c r="T81" i="5"/>
  <c r="X81" i="5"/>
  <c r="M81" i="5"/>
  <c r="Q81" i="5"/>
  <c r="U81" i="5"/>
  <c r="N81" i="5"/>
  <c r="R81" i="5"/>
  <c r="V81" i="5"/>
  <c r="W81" i="5"/>
  <c r="O81" i="5"/>
  <c r="S81" i="5"/>
  <c r="H85" i="5"/>
  <c r="L85" i="5"/>
  <c r="P85" i="5"/>
  <c r="T85" i="5"/>
  <c r="X85" i="5"/>
  <c r="K85" i="5"/>
  <c r="M85" i="5"/>
  <c r="Q85" i="5"/>
  <c r="U85" i="5"/>
  <c r="N85" i="5"/>
  <c r="R85" i="5"/>
  <c r="V85" i="5"/>
  <c r="S85" i="5"/>
  <c r="W85" i="5"/>
  <c r="G85" i="5"/>
  <c r="O85" i="5"/>
  <c r="H89" i="5"/>
  <c r="L89" i="5"/>
  <c r="P89" i="5"/>
  <c r="T89" i="5"/>
  <c r="X89" i="5"/>
  <c r="G89" i="5"/>
  <c r="M89" i="5"/>
  <c r="Q89" i="5"/>
  <c r="U89" i="5"/>
  <c r="K89" i="5"/>
  <c r="N89" i="5"/>
  <c r="R89" i="5"/>
  <c r="V89" i="5"/>
  <c r="O89" i="5"/>
  <c r="S89" i="5"/>
  <c r="W89" i="5"/>
  <c r="H93" i="5"/>
  <c r="L93" i="5"/>
  <c r="P93" i="5"/>
  <c r="T93" i="5"/>
  <c r="X93" i="5"/>
  <c r="M93" i="5"/>
  <c r="Q93" i="5"/>
  <c r="U93" i="5"/>
  <c r="G93" i="5"/>
  <c r="N93" i="5"/>
  <c r="R93" i="5"/>
  <c r="V93" i="5"/>
  <c r="K93" i="5"/>
  <c r="O93" i="5"/>
  <c r="S93" i="5"/>
  <c r="W93" i="5"/>
  <c r="S8" i="6"/>
  <c r="K15" i="6"/>
  <c r="Q15" i="6"/>
  <c r="W15" i="6"/>
  <c r="S25" i="6"/>
  <c r="X36" i="6"/>
  <c r="O40" i="6"/>
  <c r="I46" i="6"/>
  <c r="T46" i="6"/>
  <c r="H46" i="6"/>
  <c r="X46" i="6"/>
  <c r="L46" i="6"/>
  <c r="P46" i="6"/>
  <c r="I50" i="6"/>
  <c r="L50" i="6"/>
  <c r="P50" i="6"/>
  <c r="T50" i="6"/>
  <c r="H50" i="6"/>
  <c r="X50" i="6"/>
  <c r="I54" i="6"/>
  <c r="T54" i="6"/>
  <c r="H54" i="6"/>
  <c r="X54" i="6"/>
  <c r="L54" i="6"/>
  <c r="P54" i="6"/>
  <c r="I58" i="6"/>
  <c r="L58" i="6"/>
  <c r="P58" i="6"/>
  <c r="T58" i="6"/>
  <c r="H58" i="6"/>
  <c r="X58" i="6"/>
  <c r="G78" i="6"/>
  <c r="V78" i="6"/>
  <c r="J78" i="6"/>
  <c r="N78" i="6"/>
  <c r="R78" i="6"/>
  <c r="G82" i="6"/>
  <c r="R82" i="6"/>
  <c r="V82" i="6"/>
  <c r="J82" i="6"/>
  <c r="N82" i="6"/>
  <c r="G86" i="6"/>
  <c r="N86" i="6"/>
  <c r="R86" i="6"/>
  <c r="V86" i="6"/>
  <c r="J86" i="6"/>
  <c r="G90" i="6"/>
  <c r="J90" i="6"/>
  <c r="N90" i="6"/>
  <c r="R90" i="6"/>
  <c r="V90" i="6"/>
  <c r="G94" i="6"/>
  <c r="V94" i="6"/>
  <c r="J94" i="6"/>
  <c r="N94" i="6"/>
  <c r="R94" i="6"/>
  <c r="O20" i="7"/>
  <c r="W34" i="7"/>
  <c r="G46" i="7"/>
  <c r="K46" i="7"/>
  <c r="O46" i="7"/>
  <c r="S46" i="7"/>
  <c r="W46" i="7"/>
  <c r="H46" i="7"/>
  <c r="L46" i="7"/>
  <c r="P46" i="7"/>
  <c r="T46" i="7"/>
  <c r="X46" i="7"/>
  <c r="I46" i="7"/>
  <c r="M46" i="7"/>
  <c r="Q46" i="7"/>
  <c r="U46" i="7"/>
  <c r="J46" i="7"/>
  <c r="N46" i="7"/>
  <c r="R46" i="7"/>
  <c r="V46" i="7"/>
  <c r="G50" i="7"/>
  <c r="K50" i="7"/>
  <c r="O50" i="7"/>
  <c r="S50" i="7"/>
  <c r="W50" i="7"/>
  <c r="H50" i="7"/>
  <c r="L50" i="7"/>
  <c r="P50" i="7"/>
  <c r="T50" i="7"/>
  <c r="X50" i="7"/>
  <c r="I50" i="7"/>
  <c r="M50" i="7"/>
  <c r="Q50" i="7"/>
  <c r="U50" i="7"/>
  <c r="R50" i="7"/>
  <c r="V50" i="7"/>
  <c r="J50" i="7"/>
  <c r="N50" i="7"/>
  <c r="G54" i="7"/>
  <c r="K54" i="7"/>
  <c r="O54" i="7"/>
  <c r="S54" i="7"/>
  <c r="W54" i="7"/>
  <c r="H54" i="7"/>
  <c r="L54" i="7"/>
  <c r="P54" i="7"/>
  <c r="T54" i="7"/>
  <c r="X54" i="7"/>
  <c r="I54" i="7"/>
  <c r="M54" i="7"/>
  <c r="Q54" i="7"/>
  <c r="U54" i="7"/>
  <c r="J54" i="7"/>
  <c r="N54" i="7"/>
  <c r="R54" i="7"/>
  <c r="V54" i="7"/>
  <c r="G58" i="7"/>
  <c r="K58" i="7"/>
  <c r="O58" i="7"/>
  <c r="S58" i="7"/>
  <c r="W58" i="7"/>
  <c r="H58" i="7"/>
  <c r="L58" i="7"/>
  <c r="P58" i="7"/>
  <c r="T58" i="7"/>
  <c r="X58" i="7"/>
  <c r="I58" i="7"/>
  <c r="M58" i="7"/>
  <c r="Q58" i="7"/>
  <c r="U58" i="7"/>
  <c r="R58" i="7"/>
  <c r="V58" i="7"/>
  <c r="J58" i="7"/>
  <c r="N58" i="7"/>
  <c r="G62" i="7"/>
  <c r="K62" i="7"/>
  <c r="O62" i="7"/>
  <c r="S62" i="7"/>
  <c r="W62" i="7"/>
  <c r="H62" i="7"/>
  <c r="L62" i="7"/>
  <c r="P62" i="7"/>
  <c r="T62" i="7"/>
  <c r="X62" i="7"/>
  <c r="I62" i="7"/>
  <c r="M62" i="7"/>
  <c r="Q62" i="7"/>
  <c r="U62" i="7"/>
  <c r="J62" i="7"/>
  <c r="N62" i="7"/>
  <c r="R62" i="7"/>
  <c r="V62" i="7"/>
  <c r="G66" i="7"/>
  <c r="K66" i="7"/>
  <c r="O66" i="7"/>
  <c r="S66" i="7"/>
  <c r="W66" i="7"/>
  <c r="I66" i="7"/>
  <c r="M66" i="7"/>
  <c r="Q66" i="7"/>
  <c r="U66" i="7"/>
  <c r="J66" i="7"/>
  <c r="R66" i="7"/>
  <c r="L66" i="7"/>
  <c r="T66" i="7"/>
  <c r="N66" i="7"/>
  <c r="V66" i="7"/>
  <c r="P66" i="7"/>
  <c r="X66" i="7"/>
  <c r="H66" i="7"/>
  <c r="G70" i="7"/>
  <c r="K70" i="7"/>
  <c r="O70" i="7"/>
  <c r="S70" i="7"/>
  <c r="W70" i="7"/>
  <c r="I70" i="7"/>
  <c r="M70" i="7"/>
  <c r="Q70" i="7"/>
  <c r="U70" i="7"/>
  <c r="J70" i="7"/>
  <c r="R70" i="7"/>
  <c r="L70" i="7"/>
  <c r="T70" i="7"/>
  <c r="N70" i="7"/>
  <c r="V70" i="7"/>
  <c r="H70" i="7"/>
  <c r="P70" i="7"/>
  <c r="X70" i="7"/>
  <c r="G74" i="7"/>
  <c r="K74" i="7"/>
  <c r="O74" i="7"/>
  <c r="S74" i="7"/>
  <c r="W74" i="7"/>
  <c r="I74" i="7"/>
  <c r="M74" i="7"/>
  <c r="Q74" i="7"/>
  <c r="U74" i="7"/>
  <c r="J74" i="7"/>
  <c r="R74" i="7"/>
  <c r="L74" i="7"/>
  <c r="T74" i="7"/>
  <c r="N74" i="7"/>
  <c r="V74" i="7"/>
  <c r="H74" i="7"/>
  <c r="P74" i="7"/>
  <c r="X74" i="7"/>
  <c r="G78" i="7"/>
  <c r="K78" i="7"/>
  <c r="O78" i="7"/>
  <c r="S78" i="7"/>
  <c r="W78" i="7"/>
  <c r="I78" i="7"/>
  <c r="M78" i="7"/>
  <c r="Q78" i="7"/>
  <c r="U78" i="7"/>
  <c r="J78" i="7"/>
  <c r="R78" i="7"/>
  <c r="L78" i="7"/>
  <c r="T78" i="7"/>
  <c r="N78" i="7"/>
  <c r="V78" i="7"/>
  <c r="X78" i="7"/>
  <c r="H78" i="7"/>
  <c r="P78" i="7"/>
  <c r="G82" i="7"/>
  <c r="K82" i="7"/>
  <c r="O82" i="7"/>
  <c r="S82" i="7"/>
  <c r="W82" i="7"/>
  <c r="I82" i="7"/>
  <c r="M82" i="7"/>
  <c r="Q82" i="7"/>
  <c r="U82" i="7"/>
  <c r="J82" i="7"/>
  <c r="R82" i="7"/>
  <c r="L82" i="7"/>
  <c r="T82" i="7"/>
  <c r="N82" i="7"/>
  <c r="V82" i="7"/>
  <c r="P82" i="7"/>
  <c r="X82" i="7"/>
  <c r="H82" i="7"/>
  <c r="G86" i="7"/>
  <c r="K86" i="7"/>
  <c r="O86" i="7"/>
  <c r="S86" i="7"/>
  <c r="W86" i="7"/>
  <c r="I86" i="7"/>
  <c r="N86" i="7"/>
  <c r="T86" i="7"/>
  <c r="J86" i="7"/>
  <c r="P86" i="7"/>
  <c r="U86" i="7"/>
  <c r="L86" i="7"/>
  <c r="Q86" i="7"/>
  <c r="V86" i="7"/>
  <c r="X86" i="7"/>
  <c r="H86" i="7"/>
  <c r="M86" i="7"/>
  <c r="R86" i="7"/>
  <c r="J90" i="7"/>
  <c r="N90" i="7"/>
  <c r="R90" i="7"/>
  <c r="V90" i="7"/>
  <c r="G90" i="7"/>
  <c r="K90" i="7"/>
  <c r="O90" i="7"/>
  <c r="S90" i="7"/>
  <c r="W90" i="7"/>
  <c r="H90" i="7"/>
  <c r="L90" i="7"/>
  <c r="P90" i="7"/>
  <c r="T90" i="7"/>
  <c r="X90" i="7"/>
  <c r="M90" i="7"/>
  <c r="Q90" i="7"/>
  <c r="U90" i="7"/>
  <c r="I90" i="7"/>
  <c r="J94" i="7"/>
  <c r="N94" i="7"/>
  <c r="R94" i="7"/>
  <c r="V94" i="7"/>
  <c r="G94" i="7"/>
  <c r="K94" i="7"/>
  <c r="O94" i="7"/>
  <c r="S94" i="7"/>
  <c r="W94" i="7"/>
  <c r="H94" i="7"/>
  <c r="L94" i="7"/>
  <c r="P94" i="7"/>
  <c r="T94" i="7"/>
  <c r="X94" i="7"/>
  <c r="U94" i="7"/>
  <c r="I94" i="7"/>
  <c r="M94" i="7"/>
  <c r="Q94" i="7"/>
  <c r="T9" i="8"/>
  <c r="K12" i="8"/>
  <c r="S12" i="8"/>
  <c r="K20" i="8"/>
  <c r="P20" i="8"/>
  <c r="W20" i="8"/>
  <c r="S38" i="8"/>
  <c r="O44" i="8"/>
  <c r="J47" i="8"/>
  <c r="N47" i="8"/>
  <c r="R47" i="8"/>
  <c r="V47" i="8"/>
  <c r="H47" i="8"/>
  <c r="L47" i="8"/>
  <c r="P47" i="8"/>
  <c r="T47" i="8"/>
  <c r="X47" i="8"/>
  <c r="K47" i="8"/>
  <c r="S47" i="8"/>
  <c r="M47" i="8"/>
  <c r="U47" i="8"/>
  <c r="G47" i="8"/>
  <c r="O47" i="8"/>
  <c r="W47" i="8"/>
  <c r="I47" i="8"/>
  <c r="Q47" i="8"/>
  <c r="J51" i="8"/>
  <c r="N51" i="8"/>
  <c r="R51" i="8"/>
  <c r="V51" i="8"/>
  <c r="H51" i="8"/>
  <c r="L51" i="8"/>
  <c r="P51" i="8"/>
  <c r="T51" i="8"/>
  <c r="X51" i="8"/>
  <c r="K51" i="8"/>
  <c r="S51" i="8"/>
  <c r="M51" i="8"/>
  <c r="U51" i="8"/>
  <c r="G51" i="8"/>
  <c r="O51" i="8"/>
  <c r="W51" i="8"/>
  <c r="I51" i="8"/>
  <c r="Q51" i="8"/>
  <c r="J55" i="8"/>
  <c r="N55" i="8"/>
  <c r="R55" i="8"/>
  <c r="V55" i="8"/>
  <c r="H55" i="8"/>
  <c r="L55" i="8"/>
  <c r="P55" i="8"/>
  <c r="T55" i="8"/>
  <c r="X55" i="8"/>
  <c r="K55" i="8"/>
  <c r="S55" i="8"/>
  <c r="M55" i="8"/>
  <c r="U55" i="8"/>
  <c r="G55" i="8"/>
  <c r="O55" i="8"/>
  <c r="W55" i="8"/>
  <c r="I55" i="8"/>
  <c r="Q55" i="8"/>
  <c r="J59" i="8"/>
  <c r="N59" i="8"/>
  <c r="R59" i="8"/>
  <c r="V59" i="8"/>
  <c r="H59" i="8"/>
  <c r="L59" i="8"/>
  <c r="P59" i="8"/>
  <c r="T59" i="8"/>
  <c r="K59" i="8"/>
  <c r="S59" i="8"/>
  <c r="M59" i="8"/>
  <c r="U59" i="8"/>
  <c r="G59" i="8"/>
  <c r="O59" i="8"/>
  <c r="W59" i="8"/>
  <c r="Q59" i="8"/>
  <c r="X59" i="8"/>
  <c r="I59" i="8"/>
  <c r="J63" i="8"/>
  <c r="N63" i="8"/>
  <c r="G63" i="8"/>
  <c r="L63" i="8"/>
  <c r="Q63" i="8"/>
  <c r="U63" i="8"/>
  <c r="H63" i="8"/>
  <c r="M63" i="8"/>
  <c r="R63" i="8"/>
  <c r="V63" i="8"/>
  <c r="I63" i="8"/>
  <c r="O63" i="8"/>
  <c r="S63" i="8"/>
  <c r="W63" i="8"/>
  <c r="K63" i="8"/>
  <c r="P63" i="8"/>
  <c r="T63" i="8"/>
  <c r="X63" i="8"/>
  <c r="I67" i="8"/>
  <c r="M67" i="8"/>
  <c r="Q67" i="8"/>
  <c r="U67" i="8"/>
  <c r="J67" i="8"/>
  <c r="N67" i="8"/>
  <c r="R67" i="8"/>
  <c r="V67" i="8"/>
  <c r="G67" i="8"/>
  <c r="K67" i="8"/>
  <c r="O67" i="8"/>
  <c r="S67" i="8"/>
  <c r="W67" i="8"/>
  <c r="T67" i="8"/>
  <c r="H67" i="8"/>
  <c r="X67" i="8"/>
  <c r="L67" i="8"/>
  <c r="P67" i="8"/>
  <c r="I71" i="8"/>
  <c r="M71" i="8"/>
  <c r="Q71" i="8"/>
  <c r="U71" i="8"/>
  <c r="J71" i="8"/>
  <c r="N71" i="8"/>
  <c r="R71" i="8"/>
  <c r="V71" i="8"/>
  <c r="G71" i="8"/>
  <c r="K71" i="8"/>
  <c r="O71" i="8"/>
  <c r="S71" i="8"/>
  <c r="W71" i="8"/>
  <c r="L71" i="8"/>
  <c r="P71" i="8"/>
  <c r="T71" i="8"/>
  <c r="H71" i="8"/>
  <c r="X71" i="8"/>
  <c r="I75" i="8"/>
  <c r="M75" i="8"/>
  <c r="Q75" i="8"/>
  <c r="U75" i="8"/>
  <c r="J75" i="8"/>
  <c r="N75" i="8"/>
  <c r="R75" i="8"/>
  <c r="V75" i="8"/>
  <c r="G75" i="8"/>
  <c r="K75" i="8"/>
  <c r="O75" i="8"/>
  <c r="S75" i="8"/>
  <c r="W75" i="8"/>
  <c r="T75" i="8"/>
  <c r="H75" i="8"/>
  <c r="X75" i="8"/>
  <c r="L75" i="8"/>
  <c r="P75" i="8"/>
  <c r="I79" i="8"/>
  <c r="M79" i="8"/>
  <c r="Q79" i="8"/>
  <c r="U79" i="8"/>
  <c r="J79" i="8"/>
  <c r="N79" i="8"/>
  <c r="R79" i="8"/>
  <c r="V79" i="8"/>
  <c r="G79" i="8"/>
  <c r="K79" i="8"/>
  <c r="O79" i="8"/>
  <c r="S79" i="8"/>
  <c r="W79" i="8"/>
  <c r="L79" i="8"/>
  <c r="P79" i="8"/>
  <c r="T79" i="8"/>
  <c r="H79" i="8"/>
  <c r="X79" i="8"/>
  <c r="I83" i="8"/>
  <c r="M83" i="8"/>
  <c r="Q83" i="8"/>
  <c r="U83" i="8"/>
  <c r="J83" i="8"/>
  <c r="N83" i="8"/>
  <c r="R83" i="8"/>
  <c r="V83" i="8"/>
  <c r="G83" i="8"/>
  <c r="K83" i="8"/>
  <c r="O83" i="8"/>
  <c r="S83" i="8"/>
  <c r="W83" i="8"/>
  <c r="T83" i="8"/>
  <c r="H83" i="8"/>
  <c r="X83" i="8"/>
  <c r="L83" i="8"/>
  <c r="P83" i="8"/>
  <c r="I87" i="8"/>
  <c r="M87" i="8"/>
  <c r="Q87" i="8"/>
  <c r="U87" i="8"/>
  <c r="J87" i="8"/>
  <c r="N87" i="8"/>
  <c r="R87" i="8"/>
  <c r="V87" i="8"/>
  <c r="G87" i="8"/>
  <c r="K87" i="8"/>
  <c r="O87" i="8"/>
  <c r="S87" i="8"/>
  <c r="W87" i="8"/>
  <c r="L87" i="8"/>
  <c r="P87" i="8"/>
  <c r="T87" i="8"/>
  <c r="X87" i="8"/>
  <c r="H87" i="8"/>
  <c r="I91" i="8"/>
  <c r="M91" i="8"/>
  <c r="Q91" i="8"/>
  <c r="U91" i="8"/>
  <c r="J91" i="8"/>
  <c r="N91" i="8"/>
  <c r="R91" i="8"/>
  <c r="V91" i="8"/>
  <c r="G91" i="8"/>
  <c r="K91" i="8"/>
  <c r="O91" i="8"/>
  <c r="S91" i="8"/>
  <c r="W91" i="8"/>
  <c r="T91" i="8"/>
  <c r="H91" i="8"/>
  <c r="X91" i="8"/>
  <c r="L91" i="8"/>
  <c r="P91" i="8"/>
  <c r="I95" i="8"/>
  <c r="M95" i="8"/>
  <c r="Q95" i="8"/>
  <c r="U95" i="8"/>
  <c r="J95" i="8"/>
  <c r="N95" i="8"/>
  <c r="R95" i="8"/>
  <c r="V95" i="8"/>
  <c r="G95" i="8"/>
  <c r="K95" i="8"/>
  <c r="O95" i="8"/>
  <c r="S95" i="8"/>
  <c r="W95" i="8"/>
  <c r="L95" i="8"/>
  <c r="P95" i="8"/>
  <c r="T95" i="8"/>
  <c r="H95" i="8"/>
  <c r="X95" i="8"/>
  <c r="L6" i="9"/>
  <c r="T6" i="9"/>
  <c r="K12" i="9"/>
  <c r="Q12" i="9"/>
  <c r="W12" i="9"/>
  <c r="K19" i="9"/>
  <c r="P19" i="9"/>
  <c r="W19" i="9"/>
  <c r="K23" i="9"/>
  <c r="P23" i="9"/>
  <c r="U23" i="9"/>
  <c r="L39" i="9"/>
  <c r="S39" i="9"/>
  <c r="R42" i="9"/>
  <c r="H49" i="9"/>
  <c r="L49" i="9"/>
  <c r="P49" i="9"/>
  <c r="T49" i="9"/>
  <c r="X49" i="9"/>
  <c r="J49" i="9"/>
  <c r="N49" i="9"/>
  <c r="R49" i="9"/>
  <c r="V49" i="9"/>
  <c r="G49" i="9"/>
  <c r="O49" i="9"/>
  <c r="W49" i="9"/>
  <c r="I49" i="9"/>
  <c r="Q49" i="9"/>
  <c r="K49" i="9"/>
  <c r="S49" i="9"/>
  <c r="M49" i="9"/>
  <c r="U49" i="9"/>
  <c r="H53" i="9"/>
  <c r="L53" i="9"/>
  <c r="P53" i="9"/>
  <c r="T53" i="9"/>
  <c r="X53" i="9"/>
  <c r="J53" i="9"/>
  <c r="N53" i="9"/>
  <c r="R53" i="9"/>
  <c r="V53" i="9"/>
  <c r="G53" i="9"/>
  <c r="O53" i="9"/>
  <c r="W53" i="9"/>
  <c r="I53" i="9"/>
  <c r="Q53" i="9"/>
  <c r="K53" i="9"/>
  <c r="S53" i="9"/>
  <c r="U53" i="9"/>
  <c r="M53" i="9"/>
  <c r="H57" i="9"/>
  <c r="L57" i="9"/>
  <c r="P57" i="9"/>
  <c r="T57" i="9"/>
  <c r="X57" i="9"/>
  <c r="J57" i="9"/>
  <c r="O57" i="9"/>
  <c r="U57" i="9"/>
  <c r="K57" i="9"/>
  <c r="Q57" i="9"/>
  <c r="V57" i="9"/>
  <c r="G57" i="9"/>
  <c r="M57" i="9"/>
  <c r="R57" i="9"/>
  <c r="W57" i="9"/>
  <c r="I57" i="9"/>
  <c r="N57" i="9"/>
  <c r="S57" i="9"/>
  <c r="J61" i="9"/>
  <c r="N61" i="9"/>
  <c r="R61" i="9"/>
  <c r="V61" i="9"/>
  <c r="G61" i="9"/>
  <c r="K61" i="9"/>
  <c r="O61" i="9"/>
  <c r="S61" i="9"/>
  <c r="W61" i="9"/>
  <c r="H61" i="9"/>
  <c r="L61" i="9"/>
  <c r="P61" i="9"/>
  <c r="T61" i="9"/>
  <c r="X61" i="9"/>
  <c r="U61" i="9"/>
  <c r="I61" i="9"/>
  <c r="M61" i="9"/>
  <c r="Q61" i="9"/>
  <c r="J65" i="9"/>
  <c r="N65" i="9"/>
  <c r="R65" i="9"/>
  <c r="V65" i="9"/>
  <c r="G65" i="9"/>
  <c r="K65" i="9"/>
  <c r="O65" i="9"/>
  <c r="S65" i="9"/>
  <c r="W65" i="9"/>
  <c r="H65" i="9"/>
  <c r="L65" i="9"/>
  <c r="P65" i="9"/>
  <c r="T65" i="9"/>
  <c r="X65" i="9"/>
  <c r="M65" i="9"/>
  <c r="Q65" i="9"/>
  <c r="U65" i="9"/>
  <c r="I65" i="9"/>
  <c r="J69" i="9"/>
  <c r="N69" i="9"/>
  <c r="R69" i="9"/>
  <c r="V69" i="9"/>
  <c r="G69" i="9"/>
  <c r="K69" i="9"/>
  <c r="O69" i="9"/>
  <c r="S69" i="9"/>
  <c r="W69" i="9"/>
  <c r="H69" i="9"/>
  <c r="L69" i="9"/>
  <c r="P69" i="9"/>
  <c r="T69" i="9"/>
  <c r="X69" i="9"/>
  <c r="U69" i="9"/>
  <c r="I69" i="9"/>
  <c r="M69" i="9"/>
  <c r="Q69" i="9"/>
  <c r="J73" i="9"/>
  <c r="N73" i="9"/>
  <c r="R73" i="9"/>
  <c r="V73" i="9"/>
  <c r="G73" i="9"/>
  <c r="K73" i="9"/>
  <c r="O73" i="9"/>
  <c r="S73" i="9"/>
  <c r="W73" i="9"/>
  <c r="H73" i="9"/>
  <c r="L73" i="9"/>
  <c r="P73" i="9"/>
  <c r="T73" i="9"/>
  <c r="X73" i="9"/>
  <c r="M73" i="9"/>
  <c r="Q73" i="9"/>
  <c r="U73" i="9"/>
  <c r="I73" i="9"/>
  <c r="J77" i="9"/>
  <c r="N77" i="9"/>
  <c r="R77" i="9"/>
  <c r="V77" i="9"/>
  <c r="G77" i="9"/>
  <c r="K77" i="9"/>
  <c r="O77" i="9"/>
  <c r="S77" i="9"/>
  <c r="W77" i="9"/>
  <c r="H77" i="9"/>
  <c r="L77" i="9"/>
  <c r="P77" i="9"/>
  <c r="T77" i="9"/>
  <c r="X77" i="9"/>
  <c r="U77" i="9"/>
  <c r="I77" i="9"/>
  <c r="M77" i="9"/>
  <c r="Q77" i="9"/>
  <c r="J81" i="9"/>
  <c r="N81" i="9"/>
  <c r="R81" i="9"/>
  <c r="V81" i="9"/>
  <c r="G81" i="9"/>
  <c r="K81" i="9"/>
  <c r="O81" i="9"/>
  <c r="S81" i="9"/>
  <c r="W81" i="9"/>
  <c r="H81" i="9"/>
  <c r="L81" i="9"/>
  <c r="P81" i="9"/>
  <c r="T81" i="9"/>
  <c r="X81" i="9"/>
  <c r="M81" i="9"/>
  <c r="Q81" i="9"/>
  <c r="U81" i="9"/>
  <c r="I81" i="9"/>
  <c r="J85" i="9"/>
  <c r="N85" i="9"/>
  <c r="R85" i="9"/>
  <c r="V85" i="9"/>
  <c r="G85" i="9"/>
  <c r="K85" i="9"/>
  <c r="O85" i="9"/>
  <c r="S85" i="9"/>
  <c r="W85" i="9"/>
  <c r="H85" i="9"/>
  <c r="L85" i="9"/>
  <c r="P85" i="9"/>
  <c r="T85" i="9"/>
  <c r="X85" i="9"/>
  <c r="U85" i="9"/>
  <c r="I85" i="9"/>
  <c r="M85" i="9"/>
  <c r="Q85" i="9"/>
  <c r="J89" i="9"/>
  <c r="N89" i="9"/>
  <c r="R89" i="9"/>
  <c r="V89" i="9"/>
  <c r="G89" i="9"/>
  <c r="K89" i="9"/>
  <c r="O89" i="9"/>
  <c r="S89" i="9"/>
  <c r="W89" i="9"/>
  <c r="H89" i="9"/>
  <c r="L89" i="9"/>
  <c r="P89" i="9"/>
  <c r="T89" i="9"/>
  <c r="X89" i="9"/>
  <c r="M89" i="9"/>
  <c r="Q89" i="9"/>
  <c r="U89" i="9"/>
  <c r="I89" i="9"/>
  <c r="J93" i="9"/>
  <c r="N93" i="9"/>
  <c r="R93" i="9"/>
  <c r="V93" i="9"/>
  <c r="H93" i="9"/>
  <c r="L93" i="9"/>
  <c r="P93" i="9"/>
  <c r="T93" i="9"/>
  <c r="X93" i="9"/>
  <c r="K93" i="9"/>
  <c r="S93" i="9"/>
  <c r="M93" i="9"/>
  <c r="U93" i="9"/>
  <c r="G93" i="9"/>
  <c r="O93" i="9"/>
  <c r="W93" i="9"/>
  <c r="Q93" i="9"/>
  <c r="I93" i="9"/>
  <c r="X43" i="10"/>
  <c r="H47" i="10"/>
  <c r="L47" i="10"/>
  <c r="P47" i="10"/>
  <c r="T47" i="10"/>
  <c r="X47" i="10"/>
  <c r="I47" i="10"/>
  <c r="M47" i="10"/>
  <c r="Q47" i="10"/>
  <c r="U47" i="10"/>
  <c r="J47" i="10"/>
  <c r="N47" i="10"/>
  <c r="R47" i="10"/>
  <c r="V47" i="10"/>
  <c r="S47" i="10"/>
  <c r="G47" i="10"/>
  <c r="W47" i="10"/>
  <c r="K47" i="10"/>
  <c r="O47" i="10"/>
  <c r="H51" i="10"/>
  <c r="L51" i="10"/>
  <c r="P51" i="10"/>
  <c r="T51" i="10"/>
  <c r="X51" i="10"/>
  <c r="I51" i="10"/>
  <c r="M51" i="10"/>
  <c r="Q51" i="10"/>
  <c r="U51" i="10"/>
  <c r="J51" i="10"/>
  <c r="N51" i="10"/>
  <c r="R51" i="10"/>
  <c r="V51" i="10"/>
  <c r="K51" i="10"/>
  <c r="O51" i="10"/>
  <c r="S51" i="10"/>
  <c r="G51" i="10"/>
  <c r="W51" i="10"/>
  <c r="H55" i="10"/>
  <c r="L55" i="10"/>
  <c r="P55" i="10"/>
  <c r="T55" i="10"/>
  <c r="X55" i="10"/>
  <c r="I55" i="10"/>
  <c r="M55" i="10"/>
  <c r="Q55" i="10"/>
  <c r="U55" i="10"/>
  <c r="J55" i="10"/>
  <c r="N55" i="10"/>
  <c r="R55" i="10"/>
  <c r="V55" i="10"/>
  <c r="S55" i="10"/>
  <c r="G55" i="10"/>
  <c r="W55" i="10"/>
  <c r="K55" i="10"/>
  <c r="O55" i="10"/>
  <c r="H59" i="10"/>
  <c r="L59" i="10"/>
  <c r="P59" i="10"/>
  <c r="T59" i="10"/>
  <c r="X59" i="10"/>
  <c r="I59" i="10"/>
  <c r="M59" i="10"/>
  <c r="Q59" i="10"/>
  <c r="U59" i="10"/>
  <c r="J59" i="10"/>
  <c r="N59" i="10"/>
  <c r="R59" i="10"/>
  <c r="V59" i="10"/>
  <c r="K59" i="10"/>
  <c r="O59" i="10"/>
  <c r="S59" i="10"/>
  <c r="G59" i="10"/>
  <c r="W59" i="10"/>
  <c r="H63" i="10"/>
  <c r="L63" i="10"/>
  <c r="P63" i="10"/>
  <c r="T63" i="10"/>
  <c r="X63" i="10"/>
  <c r="I63" i="10"/>
  <c r="M63" i="10"/>
  <c r="Q63" i="10"/>
  <c r="U63" i="10"/>
  <c r="J63" i="10"/>
  <c r="N63" i="10"/>
  <c r="R63" i="10"/>
  <c r="V63" i="10"/>
  <c r="S63" i="10"/>
  <c r="G63" i="10"/>
  <c r="W63" i="10"/>
  <c r="K63" i="10"/>
  <c r="O63" i="10"/>
  <c r="H67" i="10"/>
  <c r="L67" i="10"/>
  <c r="P67" i="10"/>
  <c r="T67" i="10"/>
  <c r="X67" i="10"/>
  <c r="I67" i="10"/>
  <c r="M67" i="10"/>
  <c r="Q67" i="10"/>
  <c r="U67" i="10"/>
  <c r="J67" i="10"/>
  <c r="N67" i="10"/>
  <c r="R67" i="10"/>
  <c r="V67" i="10"/>
  <c r="K67" i="10"/>
  <c r="O67" i="10"/>
  <c r="S67" i="10"/>
  <c r="G67" i="10"/>
  <c r="W67" i="10"/>
  <c r="H71" i="10"/>
  <c r="L71" i="10"/>
  <c r="P71" i="10"/>
  <c r="T71" i="10"/>
  <c r="X71" i="10"/>
  <c r="I71" i="10"/>
  <c r="M71" i="10"/>
  <c r="Q71" i="10"/>
  <c r="U71" i="10"/>
  <c r="J71" i="10"/>
  <c r="N71" i="10"/>
  <c r="R71" i="10"/>
  <c r="V71" i="10"/>
  <c r="S71" i="10"/>
  <c r="G71" i="10"/>
  <c r="W71" i="10"/>
  <c r="K71" i="10"/>
  <c r="O71" i="10"/>
  <c r="H75" i="10"/>
  <c r="L75" i="10"/>
  <c r="P75" i="10"/>
  <c r="T75" i="10"/>
  <c r="X75" i="10"/>
  <c r="I75" i="10"/>
  <c r="M75" i="10"/>
  <c r="Q75" i="10"/>
  <c r="U75" i="10"/>
  <c r="J75" i="10"/>
  <c r="N75" i="10"/>
  <c r="R75" i="10"/>
  <c r="V75" i="10"/>
  <c r="K75" i="10"/>
  <c r="O75" i="10"/>
  <c r="S75" i="10"/>
  <c r="W75" i="10"/>
  <c r="G75" i="10"/>
  <c r="H79" i="10"/>
  <c r="L79" i="10"/>
  <c r="P79" i="10"/>
  <c r="T79" i="10"/>
  <c r="X79" i="10"/>
  <c r="I79" i="10"/>
  <c r="M79" i="10"/>
  <c r="Q79" i="10"/>
  <c r="U79" i="10"/>
  <c r="J79" i="10"/>
  <c r="N79" i="10"/>
  <c r="R79" i="10"/>
  <c r="V79" i="10"/>
  <c r="S79" i="10"/>
  <c r="G79" i="10"/>
  <c r="W79" i="10"/>
  <c r="K79" i="10"/>
  <c r="O79" i="10"/>
  <c r="H83" i="10"/>
  <c r="L83" i="10"/>
  <c r="P83" i="10"/>
  <c r="T83" i="10"/>
  <c r="X83" i="10"/>
  <c r="I83" i="10"/>
  <c r="M83" i="10"/>
  <c r="Q83" i="10"/>
  <c r="U83" i="10"/>
  <c r="J83" i="10"/>
  <c r="N83" i="10"/>
  <c r="R83" i="10"/>
  <c r="V83" i="10"/>
  <c r="K83" i="10"/>
  <c r="O83" i="10"/>
  <c r="S83" i="10"/>
  <c r="G83" i="10"/>
  <c r="W83" i="10"/>
  <c r="H87" i="10"/>
  <c r="L87" i="10"/>
  <c r="P87" i="10"/>
  <c r="T87" i="10"/>
  <c r="X87" i="10"/>
  <c r="I87" i="10"/>
  <c r="M87" i="10"/>
  <c r="Q87" i="10"/>
  <c r="U87" i="10"/>
  <c r="J87" i="10"/>
  <c r="N87" i="10"/>
  <c r="R87" i="10"/>
  <c r="V87" i="10"/>
  <c r="S87" i="10"/>
  <c r="G87" i="10"/>
  <c r="W87" i="10"/>
  <c r="K87" i="10"/>
  <c r="O87" i="10"/>
  <c r="H91" i="10"/>
  <c r="L91" i="10"/>
  <c r="P91" i="10"/>
  <c r="T91" i="10"/>
  <c r="X91" i="10"/>
  <c r="J91" i="10"/>
  <c r="N91" i="10"/>
  <c r="R91" i="10"/>
  <c r="V91" i="10"/>
  <c r="G91" i="10"/>
  <c r="O91" i="10"/>
  <c r="W91" i="10"/>
  <c r="I91" i="10"/>
  <c r="Q91" i="10"/>
  <c r="K91" i="10"/>
  <c r="S91" i="10"/>
  <c r="M91" i="10"/>
  <c r="U91" i="10"/>
  <c r="H95" i="10"/>
  <c r="L95" i="10"/>
  <c r="P95" i="10"/>
  <c r="T95" i="10"/>
  <c r="X95" i="10"/>
  <c r="J95" i="10"/>
  <c r="N95" i="10"/>
  <c r="R95" i="10"/>
  <c r="V95" i="10"/>
  <c r="G95" i="10"/>
  <c r="O95" i="10"/>
  <c r="W95" i="10"/>
  <c r="I95" i="10"/>
  <c r="Q95" i="10"/>
  <c r="K95" i="10"/>
  <c r="S95" i="10"/>
  <c r="M95" i="10"/>
  <c r="U95" i="10"/>
  <c r="L6" i="11"/>
  <c r="T6" i="11"/>
  <c r="S7" i="11"/>
  <c r="S11" i="11"/>
  <c r="P33" i="11"/>
  <c r="G46" i="11"/>
  <c r="K46" i="11"/>
  <c r="O46" i="11"/>
  <c r="S46" i="11"/>
  <c r="W46" i="11"/>
  <c r="H46" i="11"/>
  <c r="L46" i="11"/>
  <c r="P46" i="11"/>
  <c r="T46" i="11"/>
  <c r="X46" i="11"/>
  <c r="I46" i="11"/>
  <c r="M46" i="11"/>
  <c r="Q46" i="11"/>
  <c r="U46" i="11"/>
  <c r="J46" i="11"/>
  <c r="N46" i="11"/>
  <c r="R46" i="11"/>
  <c r="V46" i="11"/>
  <c r="G50" i="11"/>
  <c r="K50" i="11"/>
  <c r="O50" i="11"/>
  <c r="S50" i="11"/>
  <c r="W50" i="11"/>
  <c r="H50" i="11"/>
  <c r="L50" i="11"/>
  <c r="P50" i="11"/>
  <c r="T50" i="11"/>
  <c r="X50" i="11"/>
  <c r="I50" i="11"/>
  <c r="M50" i="11"/>
  <c r="Q50" i="11"/>
  <c r="U50" i="11"/>
  <c r="R50" i="11"/>
  <c r="V50" i="11"/>
  <c r="J50" i="11"/>
  <c r="N50" i="11"/>
  <c r="G54" i="11"/>
  <c r="K54" i="11"/>
  <c r="O54" i="11"/>
  <c r="S54" i="11"/>
  <c r="W54" i="11"/>
  <c r="H54" i="11"/>
  <c r="L54" i="11"/>
  <c r="P54" i="11"/>
  <c r="T54" i="11"/>
  <c r="X54" i="11"/>
  <c r="I54" i="11"/>
  <c r="M54" i="11"/>
  <c r="Q54" i="11"/>
  <c r="U54" i="11"/>
  <c r="J54" i="11"/>
  <c r="N54" i="11"/>
  <c r="R54" i="11"/>
  <c r="V54" i="11"/>
  <c r="G58" i="11"/>
  <c r="K58" i="11"/>
  <c r="O58" i="11"/>
  <c r="S58" i="11"/>
  <c r="W58" i="11"/>
  <c r="H58" i="11"/>
  <c r="L58" i="11"/>
  <c r="P58" i="11"/>
  <c r="T58" i="11"/>
  <c r="X58" i="11"/>
  <c r="I58" i="11"/>
  <c r="M58" i="11"/>
  <c r="Q58" i="11"/>
  <c r="U58" i="11"/>
  <c r="R58" i="11"/>
  <c r="V58" i="11"/>
  <c r="J58" i="11"/>
  <c r="N58" i="11"/>
  <c r="G62" i="11"/>
  <c r="K62" i="11"/>
  <c r="O62" i="11"/>
  <c r="S62" i="11"/>
  <c r="W62" i="11"/>
  <c r="H62" i="11"/>
  <c r="L62" i="11"/>
  <c r="P62" i="11"/>
  <c r="T62" i="11"/>
  <c r="X62" i="11"/>
  <c r="I62" i="11"/>
  <c r="M62" i="11"/>
  <c r="Q62" i="11"/>
  <c r="U62" i="11"/>
  <c r="J62" i="11"/>
  <c r="N62" i="11"/>
  <c r="R62" i="11"/>
  <c r="V62" i="11"/>
  <c r="H66" i="11"/>
  <c r="L66" i="11"/>
  <c r="P66" i="11"/>
  <c r="T66" i="11"/>
  <c r="I66" i="11"/>
  <c r="M66" i="11"/>
  <c r="Q66" i="11"/>
  <c r="U66" i="11"/>
  <c r="J66" i="11"/>
  <c r="R66" i="11"/>
  <c r="X66" i="11"/>
  <c r="K66" i="11"/>
  <c r="S66" i="11"/>
  <c r="N66" i="11"/>
  <c r="V66" i="11"/>
  <c r="G66" i="11"/>
  <c r="O66" i="11"/>
  <c r="W66" i="11"/>
  <c r="H70" i="11"/>
  <c r="L70" i="11"/>
  <c r="P70" i="11"/>
  <c r="T70" i="11"/>
  <c r="X70" i="11"/>
  <c r="I70" i="11"/>
  <c r="M70" i="11"/>
  <c r="Q70" i="11"/>
  <c r="U70" i="11"/>
  <c r="J70" i="11"/>
  <c r="N70" i="11"/>
  <c r="R70" i="11"/>
  <c r="V70" i="11"/>
  <c r="S70" i="11"/>
  <c r="G70" i="11"/>
  <c r="W70" i="11"/>
  <c r="K70" i="11"/>
  <c r="O70" i="11"/>
  <c r="H74" i="11"/>
  <c r="L74" i="11"/>
  <c r="P74" i="11"/>
  <c r="T74" i="11"/>
  <c r="X74" i="11"/>
  <c r="I74" i="11"/>
  <c r="M74" i="11"/>
  <c r="Q74" i="11"/>
  <c r="U74" i="11"/>
  <c r="J74" i="11"/>
  <c r="N74" i="11"/>
  <c r="R74" i="11"/>
  <c r="V74" i="11"/>
  <c r="K74" i="11"/>
  <c r="O74" i="11"/>
  <c r="S74" i="11"/>
  <c r="G74" i="11"/>
  <c r="W74" i="11"/>
  <c r="H78" i="11"/>
  <c r="L78" i="11"/>
  <c r="P78" i="11"/>
  <c r="T78" i="11"/>
  <c r="X78" i="11"/>
  <c r="I78" i="11"/>
  <c r="M78" i="11"/>
  <c r="Q78" i="11"/>
  <c r="U78" i="11"/>
  <c r="J78" i="11"/>
  <c r="N78" i="11"/>
  <c r="R78" i="11"/>
  <c r="V78" i="11"/>
  <c r="S78" i="11"/>
  <c r="G78" i="11"/>
  <c r="W78" i="11"/>
  <c r="K78" i="11"/>
  <c r="O78" i="11"/>
  <c r="H82" i="11"/>
  <c r="L82" i="11"/>
  <c r="P82" i="11"/>
  <c r="T82" i="11"/>
  <c r="X82" i="11"/>
  <c r="I82" i="11"/>
  <c r="M82" i="11"/>
  <c r="Q82" i="11"/>
  <c r="J82" i="11"/>
  <c r="N82" i="11"/>
  <c r="R82" i="11"/>
  <c r="V82" i="11"/>
  <c r="K82" i="11"/>
  <c r="W82" i="11"/>
  <c r="O82" i="11"/>
  <c r="S82" i="11"/>
  <c r="U82" i="11"/>
  <c r="G82" i="11"/>
  <c r="H86" i="11"/>
  <c r="L86" i="11"/>
  <c r="P86" i="11"/>
  <c r="T86" i="11"/>
  <c r="X86" i="11"/>
  <c r="J86" i="11"/>
  <c r="N86" i="11"/>
  <c r="R86" i="11"/>
  <c r="V86" i="11"/>
  <c r="G86" i="11"/>
  <c r="O86" i="11"/>
  <c r="W86" i="11"/>
  <c r="I86" i="11"/>
  <c r="Q86" i="11"/>
  <c r="K86" i="11"/>
  <c r="S86" i="11"/>
  <c r="M86" i="11"/>
  <c r="U86" i="11"/>
  <c r="H90" i="11"/>
  <c r="L90" i="11"/>
  <c r="P90" i="11"/>
  <c r="T90" i="11"/>
  <c r="X90" i="11"/>
  <c r="J90" i="11"/>
  <c r="N90" i="11"/>
  <c r="R90" i="11"/>
  <c r="V90" i="11"/>
  <c r="G90" i="11"/>
  <c r="O90" i="11"/>
  <c r="W90" i="11"/>
  <c r="I90" i="11"/>
  <c r="Q90" i="11"/>
  <c r="K90" i="11"/>
  <c r="S90" i="11"/>
  <c r="M90" i="11"/>
  <c r="U90" i="11"/>
  <c r="H94" i="11"/>
  <c r="L94" i="11"/>
  <c r="P94" i="11"/>
  <c r="T94" i="11"/>
  <c r="J94" i="11"/>
  <c r="N94" i="11"/>
  <c r="R94" i="11"/>
  <c r="G94" i="11"/>
  <c r="O94" i="11"/>
  <c r="V94" i="11"/>
  <c r="I94" i="11"/>
  <c r="Q94" i="11"/>
  <c r="W94" i="11"/>
  <c r="K94" i="11"/>
  <c r="S94" i="11"/>
  <c r="X94" i="11"/>
  <c r="M94" i="11"/>
  <c r="U94" i="11"/>
  <c r="W17" i="12"/>
  <c r="T17" i="12"/>
  <c r="L17" i="12"/>
  <c r="X17" i="12"/>
  <c r="P17" i="12"/>
  <c r="H17" i="12"/>
  <c r="U17" i="12"/>
  <c r="V19" i="12"/>
  <c r="O19" i="12"/>
  <c r="W19" i="12"/>
  <c r="G19" i="12"/>
  <c r="V33" i="13"/>
  <c r="W33" i="13"/>
  <c r="O33" i="13"/>
  <c r="G33" i="13"/>
  <c r="V40" i="13"/>
  <c r="T40" i="13"/>
  <c r="O40" i="13"/>
  <c r="I40" i="13"/>
  <c r="K94" i="1"/>
  <c r="I88" i="1"/>
  <c r="I72" i="1"/>
  <c r="I56" i="1"/>
  <c r="H53" i="1"/>
  <c r="M49" i="1"/>
  <c r="R94" i="1"/>
  <c r="V94" i="1"/>
  <c r="O94" i="1"/>
  <c r="M94" i="1"/>
  <c r="P94" i="1"/>
  <c r="T94" i="1"/>
  <c r="X94" i="1"/>
  <c r="N94" i="1"/>
  <c r="W94" i="1"/>
  <c r="H94" i="1"/>
  <c r="Q94" i="1"/>
  <c r="L94" i="1"/>
  <c r="I94" i="1"/>
  <c r="S94" i="1"/>
  <c r="J94" i="1"/>
  <c r="R90" i="1"/>
  <c r="V90" i="1"/>
  <c r="O90" i="1"/>
  <c r="M90" i="1"/>
  <c r="P90" i="1"/>
  <c r="T90" i="1"/>
  <c r="X90" i="1"/>
  <c r="N90" i="1"/>
  <c r="L90" i="1"/>
  <c r="S90" i="1"/>
  <c r="H90" i="1"/>
  <c r="U90" i="1"/>
  <c r="I90" i="1"/>
  <c r="W90" i="1"/>
  <c r="J90" i="1"/>
  <c r="R86" i="1"/>
  <c r="V86" i="1"/>
  <c r="O86" i="1"/>
  <c r="M86" i="1"/>
  <c r="P86" i="1"/>
  <c r="T86" i="1"/>
  <c r="X86" i="1"/>
  <c r="N86" i="1"/>
  <c r="L86" i="1"/>
  <c r="W86" i="1"/>
  <c r="H86" i="1"/>
  <c r="Q86" i="1"/>
  <c r="I86" i="1"/>
  <c r="S86" i="1"/>
  <c r="J86" i="1"/>
  <c r="U86" i="1"/>
  <c r="R82" i="1"/>
  <c r="V82" i="1"/>
  <c r="O82" i="1"/>
  <c r="M82" i="1"/>
  <c r="P82" i="1"/>
  <c r="T82" i="1"/>
  <c r="X82" i="1"/>
  <c r="N82" i="1"/>
  <c r="L82" i="1"/>
  <c r="S82" i="1"/>
  <c r="H82" i="1"/>
  <c r="U82" i="1"/>
  <c r="I82" i="1"/>
  <c r="W82" i="1"/>
  <c r="J82" i="1"/>
  <c r="Q82" i="1"/>
  <c r="R78" i="1"/>
  <c r="V78" i="1"/>
  <c r="O78" i="1"/>
  <c r="M78" i="1"/>
  <c r="P78" i="1"/>
  <c r="T78" i="1"/>
  <c r="X78" i="1"/>
  <c r="N78" i="1"/>
  <c r="L78" i="1"/>
  <c r="W78" i="1"/>
  <c r="H78" i="1"/>
  <c r="Q78" i="1"/>
  <c r="I78" i="1"/>
  <c r="S78" i="1"/>
  <c r="J78" i="1"/>
  <c r="U78" i="1"/>
  <c r="R74" i="1"/>
  <c r="V74" i="1"/>
  <c r="O74" i="1"/>
  <c r="M74" i="1"/>
  <c r="P74" i="1"/>
  <c r="T74" i="1"/>
  <c r="X74" i="1"/>
  <c r="N74" i="1"/>
  <c r="L74" i="1"/>
  <c r="S74" i="1"/>
  <c r="H74" i="1"/>
  <c r="U74" i="1"/>
  <c r="I74" i="1"/>
  <c r="W74" i="1"/>
  <c r="J74" i="1"/>
  <c r="Q74" i="1"/>
  <c r="R70" i="1"/>
  <c r="V70" i="1"/>
  <c r="O70" i="1"/>
  <c r="M70" i="1"/>
  <c r="P70" i="1"/>
  <c r="T70" i="1"/>
  <c r="X70" i="1"/>
  <c r="N70" i="1"/>
  <c r="L70" i="1"/>
  <c r="W70" i="1"/>
  <c r="H70" i="1"/>
  <c r="Q70" i="1"/>
  <c r="I70" i="1"/>
  <c r="S70" i="1"/>
  <c r="J70" i="1"/>
  <c r="U70" i="1"/>
  <c r="R66" i="1"/>
  <c r="V66" i="1"/>
  <c r="O66" i="1"/>
  <c r="M66" i="1"/>
  <c r="P66" i="1"/>
  <c r="T66" i="1"/>
  <c r="X66" i="1"/>
  <c r="N66" i="1"/>
  <c r="L66" i="1"/>
  <c r="S66" i="1"/>
  <c r="H66" i="1"/>
  <c r="U66" i="1"/>
  <c r="I66" i="1"/>
  <c r="W66" i="1"/>
  <c r="J66" i="1"/>
  <c r="Q66" i="1"/>
  <c r="R62" i="1"/>
  <c r="V62" i="1"/>
  <c r="O62" i="1"/>
  <c r="M62" i="1"/>
  <c r="P62" i="1"/>
  <c r="T62" i="1"/>
  <c r="X62" i="1"/>
  <c r="N62" i="1"/>
  <c r="L62" i="1"/>
  <c r="W62" i="1"/>
  <c r="H62" i="1"/>
  <c r="Q62" i="1"/>
  <c r="I62" i="1"/>
  <c r="S62" i="1"/>
  <c r="J62" i="1"/>
  <c r="U62" i="1"/>
  <c r="R58" i="1"/>
  <c r="V58" i="1"/>
  <c r="O58" i="1"/>
  <c r="M58" i="1"/>
  <c r="P58" i="1"/>
  <c r="T58" i="1"/>
  <c r="X58" i="1"/>
  <c r="N58" i="1"/>
  <c r="L58" i="1"/>
  <c r="S58" i="1"/>
  <c r="H58" i="1"/>
  <c r="U58" i="1"/>
  <c r="I58" i="1"/>
  <c r="W58" i="1"/>
  <c r="J58" i="1"/>
  <c r="Q58" i="1"/>
  <c r="R54" i="1"/>
  <c r="V54" i="1"/>
  <c r="O54" i="1"/>
  <c r="M54" i="1"/>
  <c r="S54" i="1"/>
  <c r="W54" i="1"/>
  <c r="P54" i="1"/>
  <c r="T54" i="1"/>
  <c r="X54" i="1"/>
  <c r="N54" i="1"/>
  <c r="L54" i="1"/>
  <c r="H54" i="1"/>
  <c r="Q54" i="1"/>
  <c r="I54" i="1"/>
  <c r="U54" i="1"/>
  <c r="J54" i="1"/>
  <c r="R50" i="1"/>
  <c r="V50" i="1"/>
  <c r="O50" i="1"/>
  <c r="M50" i="1"/>
  <c r="S50" i="1"/>
  <c r="W50" i="1"/>
  <c r="P50" i="1"/>
  <c r="T50" i="1"/>
  <c r="X50" i="1"/>
  <c r="N50" i="1"/>
  <c r="L50" i="1"/>
  <c r="Q50" i="1"/>
  <c r="H50" i="1"/>
  <c r="U50" i="1"/>
  <c r="I50" i="1"/>
  <c r="J50" i="1"/>
  <c r="R46" i="1"/>
  <c r="V46" i="1"/>
  <c r="O46" i="1"/>
  <c r="M46" i="1"/>
  <c r="G46" i="1"/>
  <c r="S46" i="1"/>
  <c r="W46" i="1"/>
  <c r="P46" i="1"/>
  <c r="T46" i="1"/>
  <c r="X46" i="1"/>
  <c r="N46" i="1"/>
  <c r="L46" i="1"/>
  <c r="U46" i="1"/>
  <c r="H46" i="1"/>
  <c r="I46" i="1"/>
  <c r="J46" i="1"/>
  <c r="Q46" i="1"/>
  <c r="M6" i="3"/>
  <c r="M7" i="3"/>
  <c r="U7" i="3"/>
  <c r="H8" i="3"/>
  <c r="O8" i="3"/>
  <c r="T8" i="3"/>
  <c r="Q10" i="3"/>
  <c r="I11" i="3"/>
  <c r="T11" i="3"/>
  <c r="H15" i="3"/>
  <c r="Q15" i="3"/>
  <c r="K16" i="3"/>
  <c r="P16" i="3"/>
  <c r="W16" i="3"/>
  <c r="J18" i="3"/>
  <c r="J19" i="3"/>
  <c r="J20" i="3"/>
  <c r="L22" i="3"/>
  <c r="P24" i="3"/>
  <c r="I25" i="3"/>
  <c r="Q25" i="3"/>
  <c r="X25" i="3"/>
  <c r="M29" i="3"/>
  <c r="X29" i="3"/>
  <c r="L29" i="3"/>
  <c r="P29" i="3"/>
  <c r="T29" i="3"/>
  <c r="L34" i="3"/>
  <c r="O34" i="3"/>
  <c r="S34" i="3"/>
  <c r="W34" i="3"/>
  <c r="J36" i="3"/>
  <c r="U36" i="3"/>
  <c r="M36" i="3"/>
  <c r="Q36" i="3"/>
  <c r="H38" i="3"/>
  <c r="G40" i="3"/>
  <c r="L42" i="3"/>
  <c r="W42" i="3"/>
  <c r="O42" i="3"/>
  <c r="S42" i="3"/>
  <c r="O47" i="3"/>
  <c r="N47" i="3"/>
  <c r="J47" i="3"/>
  <c r="R47" i="3"/>
  <c r="V47" i="3"/>
  <c r="O51" i="3"/>
  <c r="V51" i="3"/>
  <c r="J51" i="3"/>
  <c r="N51" i="3"/>
  <c r="R51" i="3"/>
  <c r="O55" i="3"/>
  <c r="N55" i="3"/>
  <c r="R55" i="3"/>
  <c r="V55" i="3"/>
  <c r="J55" i="3"/>
  <c r="O59" i="3"/>
  <c r="N59" i="3"/>
  <c r="R59" i="3"/>
  <c r="V59" i="3"/>
  <c r="J59" i="3"/>
  <c r="I71" i="3"/>
  <c r="O71" i="3"/>
  <c r="O79" i="3"/>
  <c r="V79" i="3"/>
  <c r="N79" i="3"/>
  <c r="J79" i="3"/>
  <c r="R79" i="3"/>
  <c r="O83" i="3"/>
  <c r="N83" i="3"/>
  <c r="R83" i="3"/>
  <c r="V83" i="3"/>
  <c r="J83" i="3"/>
  <c r="O87" i="3"/>
  <c r="V87" i="3"/>
  <c r="N87" i="3"/>
  <c r="J87" i="3"/>
  <c r="R87" i="3"/>
  <c r="O91" i="3"/>
  <c r="N91" i="3"/>
  <c r="R91" i="3"/>
  <c r="V91" i="3"/>
  <c r="J91" i="3"/>
  <c r="O95" i="3"/>
  <c r="R95" i="3"/>
  <c r="V95" i="3"/>
  <c r="J95" i="3"/>
  <c r="N95" i="3"/>
  <c r="S6" i="4"/>
  <c r="K8" i="4"/>
  <c r="P8" i="4"/>
  <c r="U8" i="4"/>
  <c r="H9" i="4"/>
  <c r="X9" i="4"/>
  <c r="S10" i="4"/>
  <c r="H15" i="4"/>
  <c r="M15" i="4"/>
  <c r="T15" i="4"/>
  <c r="G19" i="4"/>
  <c r="L19" i="4"/>
  <c r="Q19" i="4"/>
  <c r="X19" i="4"/>
  <c r="K20" i="4"/>
  <c r="S20" i="4"/>
  <c r="S21" i="4"/>
  <c r="R22" i="4"/>
  <c r="I23" i="4"/>
  <c r="O23" i="4"/>
  <c r="T23" i="4"/>
  <c r="G24" i="4"/>
  <c r="W24" i="4"/>
  <c r="X27" i="4"/>
  <c r="K28" i="4"/>
  <c r="W28" i="4"/>
  <c r="N30" i="4"/>
  <c r="S31" i="4"/>
  <c r="H32" i="4"/>
  <c r="S32" i="4"/>
  <c r="Q35" i="4"/>
  <c r="H36" i="4"/>
  <c r="X36" i="4"/>
  <c r="O37" i="4"/>
  <c r="M39" i="4"/>
  <c r="O41" i="4"/>
  <c r="L44" i="4"/>
  <c r="O44" i="4"/>
  <c r="S44" i="4"/>
  <c r="W44" i="4"/>
  <c r="O45" i="4"/>
  <c r="N45" i="4"/>
  <c r="R45" i="4"/>
  <c r="J45" i="4"/>
  <c r="V45" i="4"/>
  <c r="O49" i="4"/>
  <c r="V49" i="4"/>
  <c r="J49" i="4"/>
  <c r="N49" i="4"/>
  <c r="R49" i="4"/>
  <c r="O53" i="4"/>
  <c r="N53" i="4"/>
  <c r="R53" i="4"/>
  <c r="J53" i="4"/>
  <c r="V53" i="4"/>
  <c r="O57" i="4"/>
  <c r="V57" i="4"/>
  <c r="J57" i="4"/>
  <c r="N57" i="4"/>
  <c r="R57" i="4"/>
  <c r="G69" i="4"/>
  <c r="R69" i="4"/>
  <c r="K69" i="4"/>
  <c r="V73" i="4"/>
  <c r="G73" i="4"/>
  <c r="N73" i="4"/>
  <c r="H6" i="5"/>
  <c r="P6" i="5"/>
  <c r="X6" i="5"/>
  <c r="K7" i="5"/>
  <c r="G9" i="5"/>
  <c r="L9" i="5"/>
  <c r="Q9" i="5"/>
  <c r="W9" i="5"/>
  <c r="H10" i="5"/>
  <c r="S10" i="5"/>
  <c r="S11" i="5"/>
  <c r="G13" i="5"/>
  <c r="L13" i="5"/>
  <c r="Q13" i="5"/>
  <c r="W13" i="5"/>
  <c r="H14" i="5"/>
  <c r="S14" i="5"/>
  <c r="S15" i="5"/>
  <c r="H16" i="5"/>
  <c r="M16" i="5"/>
  <c r="T16" i="5"/>
  <c r="G20" i="5"/>
  <c r="L20" i="5"/>
  <c r="Q20" i="5"/>
  <c r="X20" i="5"/>
  <c r="H23" i="5"/>
  <c r="J25" i="5"/>
  <c r="Q30" i="5"/>
  <c r="I32" i="5"/>
  <c r="T32" i="5"/>
  <c r="S36" i="5"/>
  <c r="P37" i="5"/>
  <c r="W38" i="5"/>
  <c r="G40" i="5"/>
  <c r="Q40" i="5"/>
  <c r="H41" i="5"/>
  <c r="G42" i="5"/>
  <c r="L44" i="5"/>
  <c r="W44" i="5"/>
  <c r="O46" i="5"/>
  <c r="S46" i="5"/>
  <c r="W46" i="5"/>
  <c r="H46" i="5"/>
  <c r="L46" i="5"/>
  <c r="P46" i="5"/>
  <c r="T46" i="5"/>
  <c r="X46" i="5"/>
  <c r="I46" i="5"/>
  <c r="M46" i="5"/>
  <c r="Q46" i="5"/>
  <c r="U46" i="5"/>
  <c r="N46" i="5"/>
  <c r="R46" i="5"/>
  <c r="V46" i="5"/>
  <c r="O50" i="5"/>
  <c r="S50" i="5"/>
  <c r="W50" i="5"/>
  <c r="L50" i="5"/>
  <c r="P50" i="5"/>
  <c r="T50" i="5"/>
  <c r="X50" i="5"/>
  <c r="M50" i="5"/>
  <c r="Q50" i="5"/>
  <c r="U50" i="5"/>
  <c r="H50" i="5"/>
  <c r="N50" i="5"/>
  <c r="I50" i="5"/>
  <c r="R50" i="5"/>
  <c r="V50" i="5"/>
  <c r="O54" i="5"/>
  <c r="S54" i="5"/>
  <c r="W54" i="5"/>
  <c r="H54" i="5"/>
  <c r="L54" i="5"/>
  <c r="P54" i="5"/>
  <c r="T54" i="5"/>
  <c r="X54" i="5"/>
  <c r="I54" i="5"/>
  <c r="M54" i="5"/>
  <c r="Q54" i="5"/>
  <c r="U54" i="5"/>
  <c r="V54" i="5"/>
  <c r="N54" i="5"/>
  <c r="R54" i="5"/>
  <c r="O58" i="5"/>
  <c r="S58" i="5"/>
  <c r="W58" i="5"/>
  <c r="L58" i="5"/>
  <c r="P58" i="5"/>
  <c r="T58" i="5"/>
  <c r="X58" i="5"/>
  <c r="M58" i="5"/>
  <c r="Q58" i="5"/>
  <c r="U58" i="5"/>
  <c r="H58" i="5"/>
  <c r="R58" i="5"/>
  <c r="I58" i="5"/>
  <c r="V58" i="5"/>
  <c r="N58" i="5"/>
  <c r="O62" i="5"/>
  <c r="S62" i="5"/>
  <c r="W62" i="5"/>
  <c r="G62" i="5"/>
  <c r="L62" i="5"/>
  <c r="P62" i="5"/>
  <c r="T62" i="5"/>
  <c r="X62" i="5"/>
  <c r="K62" i="5"/>
  <c r="M62" i="5"/>
  <c r="Q62" i="5"/>
  <c r="U62" i="5"/>
  <c r="N62" i="5"/>
  <c r="R62" i="5"/>
  <c r="V62" i="5"/>
  <c r="O66" i="5"/>
  <c r="S66" i="5"/>
  <c r="W66" i="5"/>
  <c r="L66" i="5"/>
  <c r="P66" i="5"/>
  <c r="T66" i="5"/>
  <c r="X66" i="5"/>
  <c r="G66" i="5"/>
  <c r="M66" i="5"/>
  <c r="Q66" i="5"/>
  <c r="U66" i="5"/>
  <c r="J66" i="5"/>
  <c r="K66" i="5"/>
  <c r="N66" i="5"/>
  <c r="R66" i="5"/>
  <c r="V66" i="5"/>
  <c r="O70" i="5"/>
  <c r="S70" i="5"/>
  <c r="W70" i="5"/>
  <c r="L70" i="5"/>
  <c r="P70" i="5"/>
  <c r="T70" i="5"/>
  <c r="X70" i="5"/>
  <c r="G70" i="5"/>
  <c r="M70" i="5"/>
  <c r="Q70" i="5"/>
  <c r="U70" i="5"/>
  <c r="K70" i="5"/>
  <c r="V70" i="5"/>
  <c r="N70" i="5"/>
  <c r="R70" i="5"/>
  <c r="O74" i="5"/>
  <c r="S74" i="5"/>
  <c r="W74" i="5"/>
  <c r="K74" i="5"/>
  <c r="L74" i="5"/>
  <c r="P74" i="5"/>
  <c r="T74" i="5"/>
  <c r="X74" i="5"/>
  <c r="M74" i="5"/>
  <c r="Q74" i="5"/>
  <c r="U74" i="5"/>
  <c r="G74" i="5"/>
  <c r="R74" i="5"/>
  <c r="V74" i="5"/>
  <c r="N74" i="5"/>
  <c r="J74" i="5"/>
  <c r="O78" i="5"/>
  <c r="S78" i="5"/>
  <c r="W78" i="5"/>
  <c r="L78" i="5"/>
  <c r="P78" i="5"/>
  <c r="T78" i="5"/>
  <c r="X78" i="5"/>
  <c r="M78" i="5"/>
  <c r="Q78" i="5"/>
  <c r="U78" i="5"/>
  <c r="N78" i="5"/>
  <c r="R78" i="5"/>
  <c r="V78" i="5"/>
  <c r="O82" i="5"/>
  <c r="S82" i="5"/>
  <c r="W82" i="5"/>
  <c r="J82" i="5"/>
  <c r="L82" i="5"/>
  <c r="P82" i="5"/>
  <c r="T82" i="5"/>
  <c r="X82" i="5"/>
  <c r="M82" i="5"/>
  <c r="Q82" i="5"/>
  <c r="U82" i="5"/>
  <c r="N82" i="5"/>
  <c r="R82" i="5"/>
  <c r="V82" i="5"/>
  <c r="G86" i="5"/>
  <c r="O86" i="5"/>
  <c r="S86" i="5"/>
  <c r="W86" i="5"/>
  <c r="L86" i="5"/>
  <c r="P86" i="5"/>
  <c r="T86" i="5"/>
  <c r="X86" i="5"/>
  <c r="J86" i="5"/>
  <c r="M86" i="5"/>
  <c r="Q86" i="5"/>
  <c r="U86" i="5"/>
  <c r="V86" i="5"/>
  <c r="N86" i="5"/>
  <c r="R86" i="5"/>
  <c r="G90" i="5"/>
  <c r="O90" i="5"/>
  <c r="S90" i="5"/>
  <c r="W90" i="5"/>
  <c r="L90" i="5"/>
  <c r="P90" i="5"/>
  <c r="T90" i="5"/>
  <c r="X90" i="5"/>
  <c r="M90" i="5"/>
  <c r="Q90" i="5"/>
  <c r="U90" i="5"/>
  <c r="J90" i="5"/>
  <c r="R90" i="5"/>
  <c r="V90" i="5"/>
  <c r="N90" i="5"/>
  <c r="G94" i="5"/>
  <c r="O94" i="5"/>
  <c r="S94" i="5"/>
  <c r="W94" i="5"/>
  <c r="L94" i="5"/>
  <c r="P94" i="5"/>
  <c r="T94" i="5"/>
  <c r="X94" i="5"/>
  <c r="M94" i="5"/>
  <c r="Q94" i="5"/>
  <c r="U94" i="5"/>
  <c r="N94" i="5"/>
  <c r="R94" i="5"/>
  <c r="J94" i="5"/>
  <c r="V94" i="5"/>
  <c r="L6" i="6"/>
  <c r="T6" i="6"/>
  <c r="K7" i="6"/>
  <c r="P7" i="6"/>
  <c r="U7" i="6"/>
  <c r="G8" i="6"/>
  <c r="W8" i="6"/>
  <c r="I10" i="6"/>
  <c r="Q10" i="6"/>
  <c r="K11" i="6"/>
  <c r="Q11" i="6"/>
  <c r="W11" i="6"/>
  <c r="L14" i="6"/>
  <c r="T14" i="6"/>
  <c r="G15" i="6"/>
  <c r="L15" i="6"/>
  <c r="S15" i="6"/>
  <c r="X15" i="6"/>
  <c r="O16" i="6"/>
  <c r="M18" i="6"/>
  <c r="K19" i="6"/>
  <c r="P19" i="6"/>
  <c r="W19" i="6"/>
  <c r="H20" i="6"/>
  <c r="M20" i="6"/>
  <c r="S20" i="6"/>
  <c r="M23" i="6"/>
  <c r="G25" i="6"/>
  <c r="W25" i="6"/>
  <c r="J27" i="6"/>
  <c r="H28" i="6"/>
  <c r="O28" i="6"/>
  <c r="W28" i="6"/>
  <c r="K33" i="6"/>
  <c r="H36" i="6"/>
  <c r="O37" i="6"/>
  <c r="X37" i="6"/>
  <c r="G40" i="6"/>
  <c r="Q40" i="6"/>
  <c r="O44" i="6"/>
  <c r="G47" i="6"/>
  <c r="R47" i="6"/>
  <c r="V47" i="6"/>
  <c r="J47" i="6"/>
  <c r="N47" i="6"/>
  <c r="G51" i="6"/>
  <c r="J51" i="6"/>
  <c r="N51" i="6"/>
  <c r="R51" i="6"/>
  <c r="V51" i="6"/>
  <c r="G55" i="6"/>
  <c r="R55" i="6"/>
  <c r="V55" i="6"/>
  <c r="J55" i="6"/>
  <c r="N55" i="6"/>
  <c r="G59" i="6"/>
  <c r="J59" i="6"/>
  <c r="N59" i="6"/>
  <c r="R59" i="6"/>
  <c r="V59" i="6"/>
  <c r="J63" i="6"/>
  <c r="U63" i="6"/>
  <c r="I63" i="6"/>
  <c r="M63" i="6"/>
  <c r="Q63" i="6"/>
  <c r="J67" i="6"/>
  <c r="Q67" i="6"/>
  <c r="U67" i="6"/>
  <c r="I67" i="6"/>
  <c r="M67" i="6"/>
  <c r="J71" i="6"/>
  <c r="M71" i="6"/>
  <c r="Q71" i="6"/>
  <c r="U71" i="6"/>
  <c r="I71" i="6"/>
  <c r="J75" i="6"/>
  <c r="I75" i="6"/>
  <c r="M75" i="6"/>
  <c r="Q75" i="6"/>
  <c r="U75" i="6"/>
  <c r="L6" i="7"/>
  <c r="T6" i="7"/>
  <c r="Q8" i="7"/>
  <c r="H9" i="7"/>
  <c r="M9" i="7"/>
  <c r="S9" i="7"/>
  <c r="X9" i="7"/>
  <c r="L10" i="7"/>
  <c r="T10" i="7"/>
  <c r="K14" i="7"/>
  <c r="Q14" i="7"/>
  <c r="W14" i="7"/>
  <c r="H18" i="7"/>
  <c r="M18" i="7"/>
  <c r="T18" i="7"/>
  <c r="I20" i="7"/>
  <c r="S20" i="7"/>
  <c r="N21" i="7"/>
  <c r="K22" i="7"/>
  <c r="P22" i="7"/>
  <c r="U22" i="7"/>
  <c r="H23" i="7"/>
  <c r="P23" i="7"/>
  <c r="I26" i="7"/>
  <c r="T26" i="7"/>
  <c r="G28" i="7"/>
  <c r="W31" i="7"/>
  <c r="O32" i="7"/>
  <c r="G34" i="7"/>
  <c r="O35" i="7"/>
  <c r="X35" i="7"/>
  <c r="O39" i="7"/>
  <c r="I40" i="7"/>
  <c r="L44" i="7"/>
  <c r="S44" i="7"/>
  <c r="I47" i="7"/>
  <c r="M47" i="7"/>
  <c r="Q47" i="7"/>
  <c r="U47" i="7"/>
  <c r="J47" i="7"/>
  <c r="N47" i="7"/>
  <c r="R47" i="7"/>
  <c r="V47" i="7"/>
  <c r="G47" i="7"/>
  <c r="K47" i="7"/>
  <c r="O47" i="7"/>
  <c r="S47" i="7"/>
  <c r="W47" i="7"/>
  <c r="H47" i="7"/>
  <c r="X47" i="7"/>
  <c r="L47" i="7"/>
  <c r="P47" i="7"/>
  <c r="T47" i="7"/>
  <c r="I51" i="7"/>
  <c r="M51" i="7"/>
  <c r="Q51" i="7"/>
  <c r="U51" i="7"/>
  <c r="J51" i="7"/>
  <c r="N51" i="7"/>
  <c r="R51" i="7"/>
  <c r="V51" i="7"/>
  <c r="G51" i="7"/>
  <c r="K51" i="7"/>
  <c r="O51" i="7"/>
  <c r="S51" i="7"/>
  <c r="W51" i="7"/>
  <c r="P51" i="7"/>
  <c r="T51" i="7"/>
  <c r="H51" i="7"/>
  <c r="X51" i="7"/>
  <c r="L51" i="7"/>
  <c r="I55" i="7"/>
  <c r="M55" i="7"/>
  <c r="Q55" i="7"/>
  <c r="U55" i="7"/>
  <c r="J55" i="7"/>
  <c r="N55" i="7"/>
  <c r="R55" i="7"/>
  <c r="V55" i="7"/>
  <c r="G55" i="7"/>
  <c r="K55" i="7"/>
  <c r="O55" i="7"/>
  <c r="S55" i="7"/>
  <c r="W55" i="7"/>
  <c r="H55" i="7"/>
  <c r="X55" i="7"/>
  <c r="L55" i="7"/>
  <c r="P55" i="7"/>
  <c r="T55" i="7"/>
  <c r="I59" i="7"/>
  <c r="M59" i="7"/>
  <c r="Q59" i="7"/>
  <c r="U59" i="7"/>
  <c r="J59" i="7"/>
  <c r="N59" i="7"/>
  <c r="R59" i="7"/>
  <c r="V59" i="7"/>
  <c r="G59" i="7"/>
  <c r="K59" i="7"/>
  <c r="O59" i="7"/>
  <c r="S59" i="7"/>
  <c r="W59" i="7"/>
  <c r="P59" i="7"/>
  <c r="T59" i="7"/>
  <c r="H59" i="7"/>
  <c r="X59" i="7"/>
  <c r="L59" i="7"/>
  <c r="I63" i="7"/>
  <c r="M63" i="7"/>
  <c r="Q63" i="7"/>
  <c r="U63" i="7"/>
  <c r="G63" i="7"/>
  <c r="K63" i="7"/>
  <c r="O63" i="7"/>
  <c r="S63" i="7"/>
  <c r="W63" i="7"/>
  <c r="H63" i="7"/>
  <c r="P63" i="7"/>
  <c r="X63" i="7"/>
  <c r="J63" i="7"/>
  <c r="R63" i="7"/>
  <c r="L63" i="7"/>
  <c r="T63" i="7"/>
  <c r="N63" i="7"/>
  <c r="V63" i="7"/>
  <c r="I67" i="7"/>
  <c r="M67" i="7"/>
  <c r="Q67" i="7"/>
  <c r="U67" i="7"/>
  <c r="G67" i="7"/>
  <c r="K67" i="7"/>
  <c r="O67" i="7"/>
  <c r="S67" i="7"/>
  <c r="W67" i="7"/>
  <c r="H67" i="7"/>
  <c r="P67" i="7"/>
  <c r="X67" i="7"/>
  <c r="J67" i="7"/>
  <c r="R67" i="7"/>
  <c r="L67" i="7"/>
  <c r="T67" i="7"/>
  <c r="N67" i="7"/>
  <c r="V67" i="7"/>
  <c r="I71" i="7"/>
  <c r="M71" i="7"/>
  <c r="Q71" i="7"/>
  <c r="U71" i="7"/>
  <c r="G71" i="7"/>
  <c r="K71" i="7"/>
  <c r="O71" i="7"/>
  <c r="S71" i="7"/>
  <c r="W71" i="7"/>
  <c r="H71" i="7"/>
  <c r="P71" i="7"/>
  <c r="X71" i="7"/>
  <c r="J71" i="7"/>
  <c r="R71" i="7"/>
  <c r="L71" i="7"/>
  <c r="T71" i="7"/>
  <c r="V71" i="7"/>
  <c r="N71" i="7"/>
  <c r="I75" i="7"/>
  <c r="M75" i="7"/>
  <c r="Q75" i="7"/>
  <c r="U75" i="7"/>
  <c r="G75" i="7"/>
  <c r="K75" i="7"/>
  <c r="O75" i="7"/>
  <c r="S75" i="7"/>
  <c r="W75" i="7"/>
  <c r="H75" i="7"/>
  <c r="P75" i="7"/>
  <c r="X75" i="7"/>
  <c r="J75" i="7"/>
  <c r="R75" i="7"/>
  <c r="L75" i="7"/>
  <c r="T75" i="7"/>
  <c r="N75" i="7"/>
  <c r="V75" i="7"/>
  <c r="I79" i="7"/>
  <c r="M79" i="7"/>
  <c r="Q79" i="7"/>
  <c r="U79" i="7"/>
  <c r="G79" i="7"/>
  <c r="K79" i="7"/>
  <c r="O79" i="7"/>
  <c r="S79" i="7"/>
  <c r="W79" i="7"/>
  <c r="H79" i="7"/>
  <c r="P79" i="7"/>
  <c r="X79" i="7"/>
  <c r="J79" i="7"/>
  <c r="R79" i="7"/>
  <c r="L79" i="7"/>
  <c r="T79" i="7"/>
  <c r="N79" i="7"/>
  <c r="V79" i="7"/>
  <c r="I83" i="7"/>
  <c r="M83" i="7"/>
  <c r="Q83" i="7"/>
  <c r="U83" i="7"/>
  <c r="G83" i="7"/>
  <c r="K83" i="7"/>
  <c r="O83" i="7"/>
  <c r="S83" i="7"/>
  <c r="W83" i="7"/>
  <c r="H83" i="7"/>
  <c r="P83" i="7"/>
  <c r="X83" i="7"/>
  <c r="J83" i="7"/>
  <c r="R83" i="7"/>
  <c r="L83" i="7"/>
  <c r="T83" i="7"/>
  <c r="N83" i="7"/>
  <c r="V83" i="7"/>
  <c r="I87" i="7"/>
  <c r="M87" i="7"/>
  <c r="Q87" i="7"/>
  <c r="U87" i="7"/>
  <c r="G87" i="7"/>
  <c r="L87" i="7"/>
  <c r="R87" i="7"/>
  <c r="W87" i="7"/>
  <c r="H87" i="7"/>
  <c r="N87" i="7"/>
  <c r="S87" i="7"/>
  <c r="X87" i="7"/>
  <c r="J87" i="7"/>
  <c r="O87" i="7"/>
  <c r="T87" i="7"/>
  <c r="K87" i="7"/>
  <c r="P87" i="7"/>
  <c r="V87" i="7"/>
  <c r="H91" i="7"/>
  <c r="L91" i="7"/>
  <c r="P91" i="7"/>
  <c r="T91" i="7"/>
  <c r="X91" i="7"/>
  <c r="I91" i="7"/>
  <c r="M91" i="7"/>
  <c r="Q91" i="7"/>
  <c r="U91" i="7"/>
  <c r="J91" i="7"/>
  <c r="N91" i="7"/>
  <c r="R91" i="7"/>
  <c r="V91" i="7"/>
  <c r="K91" i="7"/>
  <c r="O91" i="7"/>
  <c r="S91" i="7"/>
  <c r="G91" i="7"/>
  <c r="W91" i="7"/>
  <c r="H95" i="7"/>
  <c r="L95" i="7"/>
  <c r="P95" i="7"/>
  <c r="T95" i="7"/>
  <c r="X95" i="7"/>
  <c r="I95" i="7"/>
  <c r="M95" i="7"/>
  <c r="Q95" i="7"/>
  <c r="U95" i="7"/>
  <c r="J95" i="7"/>
  <c r="N95" i="7"/>
  <c r="R95" i="7"/>
  <c r="V95" i="7"/>
  <c r="S95" i="7"/>
  <c r="G95" i="7"/>
  <c r="W95" i="7"/>
  <c r="K95" i="7"/>
  <c r="O95" i="7"/>
  <c r="M6" i="8"/>
  <c r="U6" i="8"/>
  <c r="I8" i="8"/>
  <c r="K8" i="8"/>
  <c r="P8" i="8"/>
  <c r="U8" i="8"/>
  <c r="H9" i="8"/>
  <c r="X9" i="8"/>
  <c r="M10" i="8"/>
  <c r="U10" i="8"/>
  <c r="G12" i="8"/>
  <c r="L12" i="8"/>
  <c r="U12" i="8"/>
  <c r="S13" i="8"/>
  <c r="N14" i="8"/>
  <c r="N15" i="8"/>
  <c r="H16" i="8"/>
  <c r="M16" i="8"/>
  <c r="T16" i="8"/>
  <c r="X17" i="8"/>
  <c r="G20" i="8"/>
  <c r="L20" i="8"/>
  <c r="Q20" i="8"/>
  <c r="X20" i="8"/>
  <c r="S21" i="8"/>
  <c r="O22" i="8"/>
  <c r="X24" i="8"/>
  <c r="L28" i="8"/>
  <c r="S28" i="8"/>
  <c r="L32" i="8"/>
  <c r="S32" i="8"/>
  <c r="O36" i="8"/>
  <c r="I38" i="8"/>
  <c r="T40" i="8"/>
  <c r="H44" i="8"/>
  <c r="S44" i="8"/>
  <c r="K45" i="8"/>
  <c r="H48" i="8"/>
  <c r="L48" i="8"/>
  <c r="P48" i="8"/>
  <c r="T48" i="8"/>
  <c r="X48" i="8"/>
  <c r="J48" i="8"/>
  <c r="N48" i="8"/>
  <c r="R48" i="8"/>
  <c r="V48" i="8"/>
  <c r="I48" i="8"/>
  <c r="Q48" i="8"/>
  <c r="K48" i="8"/>
  <c r="S48" i="8"/>
  <c r="M48" i="8"/>
  <c r="U48" i="8"/>
  <c r="W48" i="8"/>
  <c r="G48" i="8"/>
  <c r="O48" i="8"/>
  <c r="H52" i="8"/>
  <c r="L52" i="8"/>
  <c r="P52" i="8"/>
  <c r="T52" i="8"/>
  <c r="X52" i="8"/>
  <c r="J52" i="8"/>
  <c r="N52" i="8"/>
  <c r="R52" i="8"/>
  <c r="V52" i="8"/>
  <c r="I52" i="8"/>
  <c r="Q52" i="8"/>
  <c r="K52" i="8"/>
  <c r="S52" i="8"/>
  <c r="M52" i="8"/>
  <c r="U52" i="8"/>
  <c r="O52" i="8"/>
  <c r="W52" i="8"/>
  <c r="G52" i="8"/>
  <c r="H56" i="8"/>
  <c r="L56" i="8"/>
  <c r="P56" i="8"/>
  <c r="T56" i="8"/>
  <c r="X56" i="8"/>
  <c r="J56" i="8"/>
  <c r="N56" i="8"/>
  <c r="R56" i="8"/>
  <c r="V56" i="8"/>
  <c r="I56" i="8"/>
  <c r="Q56" i="8"/>
  <c r="K56" i="8"/>
  <c r="S56" i="8"/>
  <c r="M56" i="8"/>
  <c r="U56" i="8"/>
  <c r="G56" i="8"/>
  <c r="O56" i="8"/>
  <c r="W56" i="8"/>
  <c r="H60" i="8"/>
  <c r="L60" i="8"/>
  <c r="P60" i="8"/>
  <c r="T60" i="8"/>
  <c r="X60" i="8"/>
  <c r="G60" i="8"/>
  <c r="M60" i="8"/>
  <c r="R60" i="8"/>
  <c r="W60" i="8"/>
  <c r="I60" i="8"/>
  <c r="N60" i="8"/>
  <c r="S60" i="8"/>
  <c r="J60" i="8"/>
  <c r="O60" i="8"/>
  <c r="U60" i="8"/>
  <c r="V60" i="8"/>
  <c r="K60" i="8"/>
  <c r="Q60" i="8"/>
  <c r="G64" i="8"/>
  <c r="K64" i="8"/>
  <c r="O64" i="8"/>
  <c r="S64" i="8"/>
  <c r="W64" i="8"/>
  <c r="H64" i="8"/>
  <c r="L64" i="8"/>
  <c r="P64" i="8"/>
  <c r="T64" i="8"/>
  <c r="X64" i="8"/>
  <c r="I64" i="8"/>
  <c r="M64" i="8"/>
  <c r="Q64" i="8"/>
  <c r="U64" i="8"/>
  <c r="J64" i="8"/>
  <c r="N64" i="8"/>
  <c r="R64" i="8"/>
  <c r="V64" i="8"/>
  <c r="G68" i="8"/>
  <c r="K68" i="8"/>
  <c r="O68" i="8"/>
  <c r="S68" i="8"/>
  <c r="W68" i="8"/>
  <c r="H68" i="8"/>
  <c r="L68" i="8"/>
  <c r="P68" i="8"/>
  <c r="T68" i="8"/>
  <c r="X68" i="8"/>
  <c r="I68" i="8"/>
  <c r="M68" i="8"/>
  <c r="Q68" i="8"/>
  <c r="U68" i="8"/>
  <c r="R68" i="8"/>
  <c r="V68" i="8"/>
  <c r="J68" i="8"/>
  <c r="N68" i="8"/>
  <c r="G72" i="8"/>
  <c r="K72" i="8"/>
  <c r="O72" i="8"/>
  <c r="S72" i="8"/>
  <c r="W72" i="8"/>
  <c r="H72" i="8"/>
  <c r="L72" i="8"/>
  <c r="P72" i="8"/>
  <c r="T72" i="8"/>
  <c r="X72" i="8"/>
  <c r="I72" i="8"/>
  <c r="M72" i="8"/>
  <c r="Q72" i="8"/>
  <c r="U72" i="8"/>
  <c r="J72" i="8"/>
  <c r="N72" i="8"/>
  <c r="R72" i="8"/>
  <c r="V72" i="8"/>
  <c r="G76" i="8"/>
  <c r="K76" i="8"/>
  <c r="O76" i="8"/>
  <c r="S76" i="8"/>
  <c r="W76" i="8"/>
  <c r="H76" i="8"/>
  <c r="L76" i="8"/>
  <c r="P76" i="8"/>
  <c r="T76" i="8"/>
  <c r="X76" i="8"/>
  <c r="I76" i="8"/>
  <c r="M76" i="8"/>
  <c r="Q76" i="8"/>
  <c r="U76" i="8"/>
  <c r="R76" i="8"/>
  <c r="V76" i="8"/>
  <c r="J76" i="8"/>
  <c r="N76" i="8"/>
  <c r="G80" i="8"/>
  <c r="K80" i="8"/>
  <c r="O80" i="8"/>
  <c r="S80" i="8"/>
  <c r="W80" i="8"/>
  <c r="H80" i="8"/>
  <c r="L80" i="8"/>
  <c r="P80" i="8"/>
  <c r="T80" i="8"/>
  <c r="X80" i="8"/>
  <c r="I80" i="8"/>
  <c r="M80" i="8"/>
  <c r="Q80" i="8"/>
  <c r="U80" i="8"/>
  <c r="J80" i="8"/>
  <c r="N80" i="8"/>
  <c r="R80" i="8"/>
  <c r="V80" i="8"/>
  <c r="G84" i="8"/>
  <c r="K84" i="8"/>
  <c r="O84" i="8"/>
  <c r="S84" i="8"/>
  <c r="W84" i="8"/>
  <c r="H84" i="8"/>
  <c r="L84" i="8"/>
  <c r="P84" i="8"/>
  <c r="T84" i="8"/>
  <c r="X84" i="8"/>
  <c r="I84" i="8"/>
  <c r="M84" i="8"/>
  <c r="Q84" i="8"/>
  <c r="U84" i="8"/>
  <c r="R84" i="8"/>
  <c r="V84" i="8"/>
  <c r="J84" i="8"/>
  <c r="N84" i="8"/>
  <c r="G88" i="8"/>
  <c r="K88" i="8"/>
  <c r="O88" i="8"/>
  <c r="S88" i="8"/>
  <c r="W88" i="8"/>
  <c r="H88" i="8"/>
  <c r="L88" i="8"/>
  <c r="P88" i="8"/>
  <c r="T88" i="8"/>
  <c r="X88" i="8"/>
  <c r="I88" i="8"/>
  <c r="M88" i="8"/>
  <c r="Q88" i="8"/>
  <c r="U88" i="8"/>
  <c r="J88" i="8"/>
  <c r="N88" i="8"/>
  <c r="R88" i="8"/>
  <c r="V88" i="8"/>
  <c r="G92" i="8"/>
  <c r="K92" i="8"/>
  <c r="O92" i="8"/>
  <c r="S92" i="8"/>
  <c r="W92" i="8"/>
  <c r="H92" i="8"/>
  <c r="L92" i="8"/>
  <c r="P92" i="8"/>
  <c r="T92" i="8"/>
  <c r="X92" i="8"/>
  <c r="I92" i="8"/>
  <c r="M92" i="8"/>
  <c r="Q92" i="8"/>
  <c r="U92" i="8"/>
  <c r="R92" i="8"/>
  <c r="V92" i="8"/>
  <c r="J92" i="8"/>
  <c r="N92" i="8"/>
  <c r="G6" i="9"/>
  <c r="O6" i="9"/>
  <c r="W6" i="9"/>
  <c r="U8" i="9"/>
  <c r="I9" i="9"/>
  <c r="O9" i="9"/>
  <c r="T9" i="9"/>
  <c r="J10" i="9"/>
  <c r="J11" i="9"/>
  <c r="G12" i="9"/>
  <c r="L12" i="9"/>
  <c r="S12" i="9"/>
  <c r="X12" i="9"/>
  <c r="M14" i="9"/>
  <c r="K15" i="9"/>
  <c r="Q15" i="9"/>
  <c r="W15" i="9"/>
  <c r="G19" i="9"/>
  <c r="L19" i="9"/>
  <c r="Q19" i="9"/>
  <c r="X19" i="9"/>
  <c r="R20" i="9"/>
  <c r="K21" i="9"/>
  <c r="L22" i="9"/>
  <c r="G23" i="9"/>
  <c r="L23" i="9"/>
  <c r="Q23" i="9"/>
  <c r="W23" i="9"/>
  <c r="H27" i="9"/>
  <c r="O27" i="9"/>
  <c r="W27" i="9"/>
  <c r="R32" i="9"/>
  <c r="R34" i="9"/>
  <c r="S35" i="9"/>
  <c r="H36" i="9"/>
  <c r="S36" i="9"/>
  <c r="G39" i="9"/>
  <c r="M39" i="9"/>
  <c r="T39" i="9"/>
  <c r="N40" i="9"/>
  <c r="M41" i="9"/>
  <c r="G42" i="9"/>
  <c r="T42" i="9"/>
  <c r="J43" i="9"/>
  <c r="L45" i="9"/>
  <c r="S45" i="9"/>
  <c r="J46" i="9"/>
  <c r="N46" i="9"/>
  <c r="R46" i="9"/>
  <c r="V46" i="9"/>
  <c r="H46" i="9"/>
  <c r="L46" i="9"/>
  <c r="P46" i="9"/>
  <c r="T46" i="9"/>
  <c r="X46" i="9"/>
  <c r="M46" i="9"/>
  <c r="U46" i="9"/>
  <c r="G46" i="9"/>
  <c r="O46" i="9"/>
  <c r="W46" i="9"/>
  <c r="I46" i="9"/>
  <c r="Q46" i="9"/>
  <c r="S46" i="9"/>
  <c r="K46" i="9"/>
  <c r="J50" i="9"/>
  <c r="N50" i="9"/>
  <c r="R50" i="9"/>
  <c r="V50" i="9"/>
  <c r="H50" i="9"/>
  <c r="L50" i="9"/>
  <c r="P50" i="9"/>
  <c r="T50" i="9"/>
  <c r="X50" i="9"/>
  <c r="M50" i="9"/>
  <c r="U50" i="9"/>
  <c r="G50" i="9"/>
  <c r="O50" i="9"/>
  <c r="W50" i="9"/>
  <c r="I50" i="9"/>
  <c r="Q50" i="9"/>
  <c r="K50" i="9"/>
  <c r="S50" i="9"/>
  <c r="J54" i="9"/>
  <c r="N54" i="9"/>
  <c r="R54" i="9"/>
  <c r="V54" i="9"/>
  <c r="H54" i="9"/>
  <c r="L54" i="9"/>
  <c r="P54" i="9"/>
  <c r="T54" i="9"/>
  <c r="X54" i="9"/>
  <c r="M54" i="9"/>
  <c r="U54" i="9"/>
  <c r="G54" i="9"/>
  <c r="O54" i="9"/>
  <c r="W54" i="9"/>
  <c r="I54" i="9"/>
  <c r="Q54" i="9"/>
  <c r="K54" i="9"/>
  <c r="S54" i="9"/>
  <c r="H58" i="9"/>
  <c r="L58" i="9"/>
  <c r="P58" i="9"/>
  <c r="T58" i="9"/>
  <c r="X58" i="9"/>
  <c r="I58" i="9"/>
  <c r="M58" i="9"/>
  <c r="Q58" i="9"/>
  <c r="U58" i="9"/>
  <c r="J58" i="9"/>
  <c r="N58" i="9"/>
  <c r="R58" i="9"/>
  <c r="V58" i="9"/>
  <c r="K58" i="9"/>
  <c r="O58" i="9"/>
  <c r="S58" i="9"/>
  <c r="G58" i="9"/>
  <c r="W58" i="9"/>
  <c r="H62" i="9"/>
  <c r="L62" i="9"/>
  <c r="P62" i="9"/>
  <c r="T62" i="9"/>
  <c r="X62" i="9"/>
  <c r="I62" i="9"/>
  <c r="M62" i="9"/>
  <c r="Q62" i="9"/>
  <c r="U62" i="9"/>
  <c r="J62" i="9"/>
  <c r="N62" i="9"/>
  <c r="R62" i="9"/>
  <c r="V62" i="9"/>
  <c r="S62" i="9"/>
  <c r="G62" i="9"/>
  <c r="W62" i="9"/>
  <c r="K62" i="9"/>
  <c r="O62" i="9"/>
  <c r="H66" i="9"/>
  <c r="L66" i="9"/>
  <c r="P66" i="9"/>
  <c r="T66" i="9"/>
  <c r="X66" i="9"/>
  <c r="I66" i="9"/>
  <c r="M66" i="9"/>
  <c r="Q66" i="9"/>
  <c r="U66" i="9"/>
  <c r="J66" i="9"/>
  <c r="N66" i="9"/>
  <c r="R66" i="9"/>
  <c r="V66" i="9"/>
  <c r="K66" i="9"/>
  <c r="O66" i="9"/>
  <c r="S66" i="9"/>
  <c r="W66" i="9"/>
  <c r="G66" i="9"/>
  <c r="H70" i="9"/>
  <c r="L70" i="9"/>
  <c r="P70" i="9"/>
  <c r="T70" i="9"/>
  <c r="X70" i="9"/>
  <c r="I70" i="9"/>
  <c r="M70" i="9"/>
  <c r="Q70" i="9"/>
  <c r="U70" i="9"/>
  <c r="J70" i="9"/>
  <c r="N70" i="9"/>
  <c r="R70" i="9"/>
  <c r="V70" i="9"/>
  <c r="S70" i="9"/>
  <c r="G70" i="9"/>
  <c r="W70" i="9"/>
  <c r="K70" i="9"/>
  <c r="O70" i="9"/>
  <c r="H74" i="9"/>
  <c r="L74" i="9"/>
  <c r="P74" i="9"/>
  <c r="T74" i="9"/>
  <c r="X74" i="9"/>
  <c r="I74" i="9"/>
  <c r="M74" i="9"/>
  <c r="Q74" i="9"/>
  <c r="U74" i="9"/>
  <c r="J74" i="9"/>
  <c r="N74" i="9"/>
  <c r="R74" i="9"/>
  <c r="V74" i="9"/>
  <c r="K74" i="9"/>
  <c r="O74" i="9"/>
  <c r="S74" i="9"/>
  <c r="G74" i="9"/>
  <c r="W74" i="9"/>
  <c r="H78" i="9"/>
  <c r="L78" i="9"/>
  <c r="P78" i="9"/>
  <c r="T78" i="9"/>
  <c r="X78" i="9"/>
  <c r="I78" i="9"/>
  <c r="M78" i="9"/>
  <c r="Q78" i="9"/>
  <c r="U78" i="9"/>
  <c r="J78" i="9"/>
  <c r="N78" i="9"/>
  <c r="R78" i="9"/>
  <c r="V78" i="9"/>
  <c r="S78" i="9"/>
  <c r="G78" i="9"/>
  <c r="W78" i="9"/>
  <c r="K78" i="9"/>
  <c r="O78" i="9"/>
  <c r="H82" i="9"/>
  <c r="L82" i="9"/>
  <c r="P82" i="9"/>
  <c r="T82" i="9"/>
  <c r="X82" i="9"/>
  <c r="I82" i="9"/>
  <c r="M82" i="9"/>
  <c r="Q82" i="9"/>
  <c r="U82" i="9"/>
  <c r="J82" i="9"/>
  <c r="N82" i="9"/>
  <c r="R82" i="9"/>
  <c r="V82" i="9"/>
  <c r="K82" i="9"/>
  <c r="O82" i="9"/>
  <c r="S82" i="9"/>
  <c r="G82" i="9"/>
  <c r="W82" i="9"/>
  <c r="H86" i="9"/>
  <c r="L86" i="9"/>
  <c r="P86" i="9"/>
  <c r="T86" i="9"/>
  <c r="X86" i="9"/>
  <c r="I86" i="9"/>
  <c r="M86" i="9"/>
  <c r="Q86" i="9"/>
  <c r="U86" i="9"/>
  <c r="J86" i="9"/>
  <c r="N86" i="9"/>
  <c r="R86" i="9"/>
  <c r="V86" i="9"/>
  <c r="S86" i="9"/>
  <c r="G86" i="9"/>
  <c r="W86" i="9"/>
  <c r="K86" i="9"/>
  <c r="O86" i="9"/>
  <c r="H90" i="9"/>
  <c r="L90" i="9"/>
  <c r="P90" i="9"/>
  <c r="T90" i="9"/>
  <c r="X90" i="9"/>
  <c r="I90" i="9"/>
  <c r="M90" i="9"/>
  <c r="Q90" i="9"/>
  <c r="U90" i="9"/>
  <c r="J90" i="9"/>
  <c r="N90" i="9"/>
  <c r="R90" i="9"/>
  <c r="V90" i="9"/>
  <c r="K90" i="9"/>
  <c r="O90" i="9"/>
  <c r="S90" i="9"/>
  <c r="G90" i="9"/>
  <c r="W90" i="9"/>
  <c r="H94" i="9"/>
  <c r="L94" i="9"/>
  <c r="P94" i="9"/>
  <c r="T94" i="9"/>
  <c r="X94" i="9"/>
  <c r="J94" i="9"/>
  <c r="N94" i="9"/>
  <c r="R94" i="9"/>
  <c r="V94" i="9"/>
  <c r="I94" i="9"/>
  <c r="Q94" i="9"/>
  <c r="K94" i="9"/>
  <c r="S94" i="9"/>
  <c r="M94" i="9"/>
  <c r="U94" i="9"/>
  <c r="G94" i="9"/>
  <c r="O94" i="9"/>
  <c r="W94" i="9"/>
  <c r="K6" i="10"/>
  <c r="S6" i="10"/>
  <c r="H8" i="10"/>
  <c r="O8" i="10"/>
  <c r="T8" i="10"/>
  <c r="T9" i="10"/>
  <c r="I10" i="10"/>
  <c r="S10" i="10"/>
  <c r="K12" i="10"/>
  <c r="Q12" i="10"/>
  <c r="W12" i="10"/>
  <c r="L13" i="10"/>
  <c r="M14" i="10"/>
  <c r="W14" i="10"/>
  <c r="H16" i="10"/>
  <c r="M16" i="10"/>
  <c r="T16" i="10"/>
  <c r="T17" i="10"/>
  <c r="I18" i="10"/>
  <c r="Q18" i="10"/>
  <c r="K20" i="10"/>
  <c r="P20" i="10"/>
  <c r="W20" i="10"/>
  <c r="L21" i="10"/>
  <c r="I22" i="10"/>
  <c r="Q22" i="10"/>
  <c r="W24" i="10"/>
  <c r="R26" i="10"/>
  <c r="W28" i="10"/>
  <c r="K29" i="10"/>
  <c r="W29" i="10"/>
  <c r="I31" i="10"/>
  <c r="G32" i="10"/>
  <c r="Q36" i="10"/>
  <c r="H43" i="10"/>
  <c r="O44" i="10"/>
  <c r="X44" i="10"/>
  <c r="J48" i="10"/>
  <c r="N48" i="10"/>
  <c r="R48" i="10"/>
  <c r="V48" i="10"/>
  <c r="G48" i="10"/>
  <c r="K48" i="10"/>
  <c r="O48" i="10"/>
  <c r="S48" i="10"/>
  <c r="W48" i="10"/>
  <c r="H48" i="10"/>
  <c r="L48" i="10"/>
  <c r="P48" i="10"/>
  <c r="T48" i="10"/>
  <c r="X48" i="10"/>
  <c r="Q48" i="10"/>
  <c r="U48" i="10"/>
  <c r="I48" i="10"/>
  <c r="M48" i="10"/>
  <c r="J52" i="10"/>
  <c r="N52" i="10"/>
  <c r="R52" i="10"/>
  <c r="V52" i="10"/>
  <c r="G52" i="10"/>
  <c r="K52" i="10"/>
  <c r="O52" i="10"/>
  <c r="S52" i="10"/>
  <c r="W52" i="10"/>
  <c r="H52" i="10"/>
  <c r="L52" i="10"/>
  <c r="P52" i="10"/>
  <c r="T52" i="10"/>
  <c r="X52" i="10"/>
  <c r="I52" i="10"/>
  <c r="M52" i="10"/>
  <c r="Q52" i="10"/>
  <c r="U52" i="10"/>
  <c r="J56" i="10"/>
  <c r="N56" i="10"/>
  <c r="R56" i="10"/>
  <c r="V56" i="10"/>
  <c r="G56" i="10"/>
  <c r="K56" i="10"/>
  <c r="O56" i="10"/>
  <c r="S56" i="10"/>
  <c r="W56" i="10"/>
  <c r="H56" i="10"/>
  <c r="L56" i="10"/>
  <c r="P56" i="10"/>
  <c r="T56" i="10"/>
  <c r="X56" i="10"/>
  <c r="Q56" i="10"/>
  <c r="U56" i="10"/>
  <c r="I56" i="10"/>
  <c r="M56" i="10"/>
  <c r="J60" i="10"/>
  <c r="N60" i="10"/>
  <c r="R60" i="10"/>
  <c r="V60" i="10"/>
  <c r="G60" i="10"/>
  <c r="K60" i="10"/>
  <c r="O60" i="10"/>
  <c r="S60" i="10"/>
  <c r="W60" i="10"/>
  <c r="H60" i="10"/>
  <c r="L60" i="10"/>
  <c r="P60" i="10"/>
  <c r="T60" i="10"/>
  <c r="X60" i="10"/>
  <c r="I60" i="10"/>
  <c r="M60" i="10"/>
  <c r="Q60" i="10"/>
  <c r="U60" i="10"/>
  <c r="J64" i="10"/>
  <c r="N64" i="10"/>
  <c r="R64" i="10"/>
  <c r="V64" i="10"/>
  <c r="G64" i="10"/>
  <c r="K64" i="10"/>
  <c r="O64" i="10"/>
  <c r="S64" i="10"/>
  <c r="W64" i="10"/>
  <c r="H64" i="10"/>
  <c r="L64" i="10"/>
  <c r="P64" i="10"/>
  <c r="T64" i="10"/>
  <c r="X64" i="10"/>
  <c r="Q64" i="10"/>
  <c r="U64" i="10"/>
  <c r="I64" i="10"/>
  <c r="M64" i="10"/>
  <c r="J68" i="10"/>
  <c r="N68" i="10"/>
  <c r="R68" i="10"/>
  <c r="V68" i="10"/>
  <c r="G68" i="10"/>
  <c r="K68" i="10"/>
  <c r="O68" i="10"/>
  <c r="S68" i="10"/>
  <c r="W68" i="10"/>
  <c r="H68" i="10"/>
  <c r="L68" i="10"/>
  <c r="P68" i="10"/>
  <c r="T68" i="10"/>
  <c r="X68" i="10"/>
  <c r="I68" i="10"/>
  <c r="M68" i="10"/>
  <c r="Q68" i="10"/>
  <c r="U68" i="10"/>
  <c r="J72" i="10"/>
  <c r="N72" i="10"/>
  <c r="R72" i="10"/>
  <c r="V72" i="10"/>
  <c r="G72" i="10"/>
  <c r="K72" i="10"/>
  <c r="O72" i="10"/>
  <c r="S72" i="10"/>
  <c r="W72" i="10"/>
  <c r="H72" i="10"/>
  <c r="L72" i="10"/>
  <c r="P72" i="10"/>
  <c r="T72" i="10"/>
  <c r="X72" i="10"/>
  <c r="Q72" i="10"/>
  <c r="U72" i="10"/>
  <c r="I72" i="10"/>
  <c r="M72" i="10"/>
  <c r="J76" i="10"/>
  <c r="N76" i="10"/>
  <c r="R76" i="10"/>
  <c r="V76" i="10"/>
  <c r="G76" i="10"/>
  <c r="K76" i="10"/>
  <c r="O76" i="10"/>
  <c r="S76" i="10"/>
  <c r="W76" i="10"/>
  <c r="H76" i="10"/>
  <c r="L76" i="10"/>
  <c r="P76" i="10"/>
  <c r="T76" i="10"/>
  <c r="X76" i="10"/>
  <c r="I76" i="10"/>
  <c r="M76" i="10"/>
  <c r="Q76" i="10"/>
  <c r="U76" i="10"/>
  <c r="J80" i="10"/>
  <c r="N80" i="10"/>
  <c r="R80" i="10"/>
  <c r="V80" i="10"/>
  <c r="G80" i="10"/>
  <c r="K80" i="10"/>
  <c r="O80" i="10"/>
  <c r="S80" i="10"/>
  <c r="W80" i="10"/>
  <c r="H80" i="10"/>
  <c r="L80" i="10"/>
  <c r="P80" i="10"/>
  <c r="T80" i="10"/>
  <c r="X80" i="10"/>
  <c r="Q80" i="10"/>
  <c r="U80" i="10"/>
  <c r="I80" i="10"/>
  <c r="M80" i="10"/>
  <c r="J84" i="10"/>
  <c r="N84" i="10"/>
  <c r="R84" i="10"/>
  <c r="V84" i="10"/>
  <c r="G84" i="10"/>
  <c r="K84" i="10"/>
  <c r="O84" i="10"/>
  <c r="S84" i="10"/>
  <c r="W84" i="10"/>
  <c r="H84" i="10"/>
  <c r="L84" i="10"/>
  <c r="P84" i="10"/>
  <c r="T84" i="10"/>
  <c r="X84" i="10"/>
  <c r="I84" i="10"/>
  <c r="M84" i="10"/>
  <c r="Q84" i="10"/>
  <c r="U84" i="10"/>
  <c r="J88" i="10"/>
  <c r="N88" i="10"/>
  <c r="R88" i="10"/>
  <c r="V88" i="10"/>
  <c r="G88" i="10"/>
  <c r="K88" i="10"/>
  <c r="O88" i="10"/>
  <c r="S88" i="10"/>
  <c r="W88" i="10"/>
  <c r="H88" i="10"/>
  <c r="L88" i="10"/>
  <c r="P88" i="10"/>
  <c r="T88" i="10"/>
  <c r="X88" i="10"/>
  <c r="Q88" i="10"/>
  <c r="U88" i="10"/>
  <c r="I88" i="10"/>
  <c r="M88" i="10"/>
  <c r="J92" i="10"/>
  <c r="N92" i="10"/>
  <c r="R92" i="10"/>
  <c r="V92" i="10"/>
  <c r="H92" i="10"/>
  <c r="L92" i="10"/>
  <c r="P92" i="10"/>
  <c r="T92" i="10"/>
  <c r="X92" i="10"/>
  <c r="M92" i="10"/>
  <c r="U92" i="10"/>
  <c r="G92" i="10"/>
  <c r="O92" i="10"/>
  <c r="W92" i="10"/>
  <c r="I92" i="10"/>
  <c r="Q92" i="10"/>
  <c r="K92" i="10"/>
  <c r="S92" i="10"/>
  <c r="G6" i="11"/>
  <c r="O6" i="11"/>
  <c r="W6" i="11"/>
  <c r="G7" i="11"/>
  <c r="W7" i="11"/>
  <c r="H9" i="11"/>
  <c r="M9" i="11"/>
  <c r="S9" i="11"/>
  <c r="X9" i="11"/>
  <c r="L10" i="11"/>
  <c r="T10" i="11"/>
  <c r="G11" i="11"/>
  <c r="W11" i="11"/>
  <c r="I16" i="11"/>
  <c r="O16" i="11"/>
  <c r="U16" i="11"/>
  <c r="H20" i="11"/>
  <c r="M20" i="11"/>
  <c r="S20" i="11"/>
  <c r="L21" i="11"/>
  <c r="G22" i="11"/>
  <c r="R23" i="11"/>
  <c r="T24" i="11"/>
  <c r="W30" i="11"/>
  <c r="G33" i="11"/>
  <c r="W33" i="11"/>
  <c r="K34" i="11"/>
  <c r="M36" i="11"/>
  <c r="X36" i="11"/>
  <c r="K37" i="11"/>
  <c r="W37" i="11"/>
  <c r="O40" i="11"/>
  <c r="G42" i="11"/>
  <c r="I47" i="11"/>
  <c r="M47" i="11"/>
  <c r="Q47" i="11"/>
  <c r="U47" i="11"/>
  <c r="J47" i="11"/>
  <c r="N47" i="11"/>
  <c r="R47" i="11"/>
  <c r="V47" i="11"/>
  <c r="G47" i="11"/>
  <c r="K47" i="11"/>
  <c r="O47" i="11"/>
  <c r="S47" i="11"/>
  <c r="W47" i="11"/>
  <c r="H47" i="11"/>
  <c r="X47" i="11"/>
  <c r="L47" i="11"/>
  <c r="P47" i="11"/>
  <c r="T47" i="11"/>
  <c r="I51" i="11"/>
  <c r="M51" i="11"/>
  <c r="Q51" i="11"/>
  <c r="U51" i="11"/>
  <c r="J51" i="11"/>
  <c r="N51" i="11"/>
  <c r="R51" i="11"/>
  <c r="V51" i="11"/>
  <c r="G51" i="11"/>
  <c r="K51" i="11"/>
  <c r="O51" i="11"/>
  <c r="S51" i="11"/>
  <c r="W51" i="11"/>
  <c r="P51" i="11"/>
  <c r="T51" i="11"/>
  <c r="H51" i="11"/>
  <c r="X51" i="11"/>
  <c r="L51" i="11"/>
  <c r="I55" i="11"/>
  <c r="M55" i="11"/>
  <c r="Q55" i="11"/>
  <c r="U55" i="11"/>
  <c r="J55" i="11"/>
  <c r="N55" i="11"/>
  <c r="R55" i="11"/>
  <c r="V55" i="11"/>
  <c r="G55" i="11"/>
  <c r="K55" i="11"/>
  <c r="O55" i="11"/>
  <c r="S55" i="11"/>
  <c r="W55" i="11"/>
  <c r="H55" i="11"/>
  <c r="X55" i="11"/>
  <c r="L55" i="11"/>
  <c r="P55" i="11"/>
  <c r="T55" i="11"/>
  <c r="I59" i="11"/>
  <c r="M59" i="11"/>
  <c r="Q59" i="11"/>
  <c r="U59" i="11"/>
  <c r="J59" i="11"/>
  <c r="N59" i="11"/>
  <c r="R59" i="11"/>
  <c r="V59" i="11"/>
  <c r="G59" i="11"/>
  <c r="K59" i="11"/>
  <c r="O59" i="11"/>
  <c r="S59" i="11"/>
  <c r="W59" i="11"/>
  <c r="P59" i="11"/>
  <c r="T59" i="11"/>
  <c r="H59" i="11"/>
  <c r="X59" i="11"/>
  <c r="L59" i="11"/>
  <c r="I63" i="11"/>
  <c r="M63" i="11"/>
  <c r="Q63" i="11"/>
  <c r="U63" i="11"/>
  <c r="J63" i="11"/>
  <c r="N63" i="11"/>
  <c r="R63" i="11"/>
  <c r="V63" i="11"/>
  <c r="G63" i="11"/>
  <c r="K63" i="11"/>
  <c r="O63" i="11"/>
  <c r="S63" i="11"/>
  <c r="W63" i="11"/>
  <c r="H63" i="11"/>
  <c r="X63" i="11"/>
  <c r="L63" i="11"/>
  <c r="P63" i="11"/>
  <c r="T63" i="11"/>
  <c r="J67" i="11"/>
  <c r="N67" i="11"/>
  <c r="R67" i="11"/>
  <c r="V67" i="11"/>
  <c r="G67" i="11"/>
  <c r="K67" i="11"/>
  <c r="O67" i="11"/>
  <c r="S67" i="11"/>
  <c r="W67" i="11"/>
  <c r="H67" i="11"/>
  <c r="L67" i="11"/>
  <c r="P67" i="11"/>
  <c r="T67" i="11"/>
  <c r="X67" i="11"/>
  <c r="I67" i="11"/>
  <c r="M67" i="11"/>
  <c r="Q67" i="11"/>
  <c r="U67" i="11"/>
  <c r="J71" i="11"/>
  <c r="N71" i="11"/>
  <c r="R71" i="11"/>
  <c r="V71" i="11"/>
  <c r="G71" i="11"/>
  <c r="K71" i="11"/>
  <c r="O71" i="11"/>
  <c r="S71" i="11"/>
  <c r="W71" i="11"/>
  <c r="H71" i="11"/>
  <c r="L71" i="11"/>
  <c r="P71" i="11"/>
  <c r="T71" i="11"/>
  <c r="X71" i="11"/>
  <c r="Q71" i="11"/>
  <c r="U71" i="11"/>
  <c r="I71" i="11"/>
  <c r="M71" i="11"/>
  <c r="J75" i="11"/>
  <c r="N75" i="11"/>
  <c r="R75" i="11"/>
  <c r="V75" i="11"/>
  <c r="G75" i="11"/>
  <c r="K75" i="11"/>
  <c r="O75" i="11"/>
  <c r="S75" i="11"/>
  <c r="W75" i="11"/>
  <c r="H75" i="11"/>
  <c r="L75" i="11"/>
  <c r="P75" i="11"/>
  <c r="T75" i="11"/>
  <c r="X75" i="11"/>
  <c r="I75" i="11"/>
  <c r="M75" i="11"/>
  <c r="Q75" i="11"/>
  <c r="U75" i="11"/>
  <c r="J79" i="11"/>
  <c r="N79" i="11"/>
  <c r="R79" i="11"/>
  <c r="V79" i="11"/>
  <c r="G79" i="11"/>
  <c r="K79" i="11"/>
  <c r="O79" i="11"/>
  <c r="S79" i="11"/>
  <c r="W79" i="11"/>
  <c r="H79" i="11"/>
  <c r="L79" i="11"/>
  <c r="P79" i="11"/>
  <c r="T79" i="11"/>
  <c r="X79" i="11"/>
  <c r="Q79" i="11"/>
  <c r="U79" i="11"/>
  <c r="I79" i="11"/>
  <c r="M79" i="11"/>
  <c r="J83" i="11"/>
  <c r="N83" i="11"/>
  <c r="R83" i="11"/>
  <c r="V83" i="11"/>
  <c r="H83" i="11"/>
  <c r="L83" i="11"/>
  <c r="P83" i="11"/>
  <c r="T83" i="11"/>
  <c r="X83" i="11"/>
  <c r="M83" i="11"/>
  <c r="U83" i="11"/>
  <c r="G83" i="11"/>
  <c r="O83" i="11"/>
  <c r="W83" i="11"/>
  <c r="I83" i="11"/>
  <c r="Q83" i="11"/>
  <c r="K83" i="11"/>
  <c r="S83" i="11"/>
  <c r="J87" i="11"/>
  <c r="N87" i="11"/>
  <c r="R87" i="11"/>
  <c r="V87" i="11"/>
  <c r="H87" i="11"/>
  <c r="L87" i="11"/>
  <c r="P87" i="11"/>
  <c r="T87" i="11"/>
  <c r="X87" i="11"/>
  <c r="M87" i="11"/>
  <c r="U87" i="11"/>
  <c r="G87" i="11"/>
  <c r="O87" i="11"/>
  <c r="W87" i="11"/>
  <c r="I87" i="11"/>
  <c r="Q87" i="11"/>
  <c r="K87" i="11"/>
  <c r="S87" i="11"/>
  <c r="J91" i="11"/>
  <c r="N91" i="11"/>
  <c r="R91" i="11"/>
  <c r="V91" i="11"/>
  <c r="H91" i="11"/>
  <c r="L91" i="11"/>
  <c r="P91" i="11"/>
  <c r="T91" i="11"/>
  <c r="X91" i="11"/>
  <c r="M91" i="11"/>
  <c r="U91" i="11"/>
  <c r="G91" i="11"/>
  <c r="O91" i="11"/>
  <c r="W91" i="11"/>
  <c r="I91" i="11"/>
  <c r="Q91" i="11"/>
  <c r="S91" i="11"/>
  <c r="K91" i="11"/>
  <c r="H95" i="11"/>
  <c r="L95" i="11"/>
  <c r="P95" i="11"/>
  <c r="T95" i="11"/>
  <c r="X95" i="11"/>
  <c r="I95" i="11"/>
  <c r="M95" i="11"/>
  <c r="Q95" i="11"/>
  <c r="U95" i="11"/>
  <c r="J95" i="11"/>
  <c r="N95" i="11"/>
  <c r="R95" i="11"/>
  <c r="V95" i="11"/>
  <c r="G95" i="11"/>
  <c r="W95" i="11"/>
  <c r="K95" i="11"/>
  <c r="O95" i="11"/>
  <c r="S95" i="11"/>
  <c r="V6" i="12"/>
  <c r="W6" i="12"/>
  <c r="Q6" i="12"/>
  <c r="L6" i="12"/>
  <c r="G6" i="12"/>
  <c r="M6" i="12"/>
  <c r="T6" i="12"/>
  <c r="V7" i="12"/>
  <c r="W7" i="12"/>
  <c r="G7" i="12"/>
  <c r="I17" i="12"/>
  <c r="V18" i="12"/>
  <c r="X18" i="12"/>
  <c r="Q18" i="12"/>
  <c r="L18" i="12"/>
  <c r="G18" i="12"/>
  <c r="U18" i="12"/>
  <c r="O18" i="12"/>
  <c r="I18" i="12"/>
  <c r="P18" i="12"/>
  <c r="K19" i="12"/>
  <c r="K20" i="12"/>
  <c r="W20" i="12"/>
  <c r="V24" i="12"/>
  <c r="T24" i="12"/>
  <c r="M24" i="12"/>
  <c r="G24" i="12"/>
  <c r="X24" i="12"/>
  <c r="Q24" i="12"/>
  <c r="I24" i="12"/>
  <c r="S24" i="12"/>
  <c r="N34" i="13"/>
  <c r="R34" i="13"/>
  <c r="G94" i="1"/>
  <c r="K90" i="1"/>
  <c r="I84" i="1"/>
  <c r="G78" i="1"/>
  <c r="K74" i="1"/>
  <c r="I68" i="1"/>
  <c r="G62" i="1"/>
  <c r="K58" i="1"/>
  <c r="I52" i="1"/>
  <c r="Q90" i="1"/>
  <c r="S57" i="1"/>
  <c r="W57" i="1"/>
  <c r="Q57" i="1"/>
  <c r="U57" i="1"/>
  <c r="T57" i="1"/>
  <c r="N57" i="1"/>
  <c r="I57" i="1"/>
  <c r="V57" i="1"/>
  <c r="O57" i="1"/>
  <c r="J57" i="1"/>
  <c r="P57" i="1"/>
  <c r="X57" i="1"/>
  <c r="L57" i="1"/>
  <c r="G57" i="1"/>
  <c r="K57" i="1"/>
  <c r="R57" i="1"/>
  <c r="S53" i="1"/>
  <c r="W53" i="1"/>
  <c r="P53" i="1"/>
  <c r="T53" i="1"/>
  <c r="X53" i="1"/>
  <c r="Q53" i="1"/>
  <c r="U53" i="1"/>
  <c r="V53" i="1"/>
  <c r="L53" i="1"/>
  <c r="I53" i="1"/>
  <c r="M53" i="1"/>
  <c r="J53" i="1"/>
  <c r="N53" i="1"/>
  <c r="G53" i="1"/>
  <c r="K53" i="1"/>
  <c r="R53" i="1"/>
  <c r="S49" i="1"/>
  <c r="W49" i="1"/>
  <c r="P49" i="1"/>
  <c r="T49" i="1"/>
  <c r="X49" i="1"/>
  <c r="Q49" i="1"/>
  <c r="U49" i="1"/>
  <c r="N49" i="1"/>
  <c r="I49" i="1"/>
  <c r="O49" i="1"/>
  <c r="J49" i="1"/>
  <c r="R49" i="1"/>
  <c r="L49" i="1"/>
  <c r="G49" i="1"/>
  <c r="K49" i="1"/>
  <c r="V49" i="1"/>
  <c r="S45" i="1"/>
  <c r="W45" i="1"/>
  <c r="P45" i="1"/>
  <c r="T45" i="1"/>
  <c r="X45" i="1"/>
  <c r="Q45" i="1"/>
  <c r="U45" i="1"/>
  <c r="L45" i="1"/>
  <c r="R45" i="1"/>
  <c r="M45" i="1"/>
  <c r="V45" i="1"/>
  <c r="N45" i="1"/>
  <c r="U10" i="3"/>
  <c r="I15" i="3"/>
  <c r="T15" i="3"/>
  <c r="L25" i="3"/>
  <c r="S25" i="3"/>
  <c r="L26" i="3"/>
  <c r="W26" i="3"/>
  <c r="O26" i="3"/>
  <c r="S26" i="3"/>
  <c r="M33" i="3"/>
  <c r="L33" i="3"/>
  <c r="P33" i="3"/>
  <c r="T33" i="3"/>
  <c r="X33" i="3"/>
  <c r="M37" i="3"/>
  <c r="X37" i="3"/>
  <c r="L37" i="3"/>
  <c r="P37" i="3"/>
  <c r="T37" i="3"/>
  <c r="O39" i="3"/>
  <c r="N39" i="3"/>
  <c r="R39" i="3"/>
  <c r="V39" i="3"/>
  <c r="I40" i="3"/>
  <c r="N48" i="3"/>
  <c r="Q48" i="3"/>
  <c r="U48" i="3"/>
  <c r="I48" i="3"/>
  <c r="M48" i="3"/>
  <c r="N52" i="3"/>
  <c r="M52" i="3"/>
  <c r="I52" i="3"/>
  <c r="Q52" i="3"/>
  <c r="U52" i="3"/>
  <c r="N56" i="3"/>
  <c r="M56" i="3"/>
  <c r="I56" i="3"/>
  <c r="Q56" i="3"/>
  <c r="U56" i="3"/>
  <c r="O60" i="3"/>
  <c r="R60" i="3"/>
  <c r="V60" i="3"/>
  <c r="H60" i="3"/>
  <c r="N60" i="3"/>
  <c r="O64" i="3"/>
  <c r="N64" i="3"/>
  <c r="R64" i="3"/>
  <c r="V64" i="3"/>
  <c r="H64" i="3"/>
  <c r="O68" i="3"/>
  <c r="R68" i="3"/>
  <c r="V68" i="3"/>
  <c r="N68" i="3"/>
  <c r="H68" i="3"/>
  <c r="O72" i="3"/>
  <c r="V72" i="3"/>
  <c r="N72" i="3"/>
  <c r="H72" i="3"/>
  <c r="R72" i="3"/>
  <c r="O76" i="3"/>
  <c r="N76" i="3"/>
  <c r="H76" i="3"/>
  <c r="R76" i="3"/>
  <c r="V76" i="3"/>
  <c r="N80" i="3"/>
  <c r="I80" i="3"/>
  <c r="M80" i="3"/>
  <c r="Q80" i="3"/>
  <c r="U80" i="3"/>
  <c r="N84" i="3"/>
  <c r="Q84" i="3"/>
  <c r="U84" i="3"/>
  <c r="M84" i="3"/>
  <c r="I84" i="3"/>
  <c r="N88" i="3"/>
  <c r="M88" i="3"/>
  <c r="Q88" i="3"/>
  <c r="I88" i="3"/>
  <c r="U88" i="3"/>
  <c r="N92" i="3"/>
  <c r="Q92" i="3"/>
  <c r="U92" i="3"/>
  <c r="I92" i="3"/>
  <c r="M92" i="3"/>
  <c r="L8" i="4"/>
  <c r="Q8" i="4"/>
  <c r="W8" i="4"/>
  <c r="L9" i="4"/>
  <c r="W10" i="4"/>
  <c r="H19" i="4"/>
  <c r="M19" i="4"/>
  <c r="S19" i="4"/>
  <c r="L20" i="4"/>
  <c r="T20" i="4"/>
  <c r="K23" i="4"/>
  <c r="P23" i="4"/>
  <c r="U23" i="4"/>
  <c r="K24" i="4"/>
  <c r="O28" i="4"/>
  <c r="X28" i="4"/>
  <c r="X31" i="4"/>
  <c r="W35" i="4"/>
  <c r="W37" i="4"/>
  <c r="P41" i="4"/>
  <c r="N62" i="4"/>
  <c r="M62" i="4"/>
  <c r="J62" i="4"/>
  <c r="Q62" i="4"/>
  <c r="U62" i="4"/>
  <c r="N66" i="4"/>
  <c r="U66" i="4"/>
  <c r="M66" i="4"/>
  <c r="Q66" i="4"/>
  <c r="J66" i="4"/>
  <c r="N70" i="4"/>
  <c r="M70" i="4"/>
  <c r="Q70" i="4"/>
  <c r="J70" i="4"/>
  <c r="U70" i="4"/>
  <c r="N74" i="4"/>
  <c r="M74" i="4"/>
  <c r="Q74" i="4"/>
  <c r="U74" i="4"/>
  <c r="J74" i="4"/>
  <c r="O78" i="4"/>
  <c r="V78" i="4"/>
  <c r="N78" i="4"/>
  <c r="J78" i="4"/>
  <c r="R78" i="4"/>
  <c r="O82" i="4"/>
  <c r="N82" i="4"/>
  <c r="R82" i="4"/>
  <c r="V82" i="4"/>
  <c r="J82" i="4"/>
  <c r="O86" i="4"/>
  <c r="V86" i="4"/>
  <c r="N86" i="4"/>
  <c r="J86" i="4"/>
  <c r="R86" i="4"/>
  <c r="O90" i="4"/>
  <c r="N90" i="4"/>
  <c r="R90" i="4"/>
  <c r="J90" i="4"/>
  <c r="V90" i="4"/>
  <c r="O94" i="4"/>
  <c r="R94" i="4"/>
  <c r="J94" i="4"/>
  <c r="V94" i="4"/>
  <c r="N94" i="4"/>
  <c r="H9" i="5"/>
  <c r="M9" i="5"/>
  <c r="S9" i="5"/>
  <c r="X9" i="5"/>
  <c r="H13" i="5"/>
  <c r="M13" i="5"/>
  <c r="S13" i="5"/>
  <c r="X13" i="5"/>
  <c r="H20" i="5"/>
  <c r="M20" i="5"/>
  <c r="S20" i="5"/>
  <c r="P23" i="5"/>
  <c r="R25" i="5"/>
  <c r="X36" i="5"/>
  <c r="I40" i="5"/>
  <c r="T40" i="5"/>
  <c r="P41" i="5"/>
  <c r="K42" i="5"/>
  <c r="M44" i="5"/>
  <c r="X44" i="5"/>
  <c r="N47" i="5"/>
  <c r="R47" i="5"/>
  <c r="V47" i="5"/>
  <c r="K47" i="5"/>
  <c r="O47" i="5"/>
  <c r="S47" i="5"/>
  <c r="W47" i="5"/>
  <c r="L47" i="5"/>
  <c r="P47" i="5"/>
  <c r="T47" i="5"/>
  <c r="X47" i="5"/>
  <c r="G47" i="5"/>
  <c r="Q47" i="5"/>
  <c r="H47" i="5"/>
  <c r="U47" i="5"/>
  <c r="M47" i="5"/>
  <c r="N51" i="5"/>
  <c r="R51" i="5"/>
  <c r="V51" i="5"/>
  <c r="G51" i="5"/>
  <c r="O51" i="5"/>
  <c r="S51" i="5"/>
  <c r="W51" i="5"/>
  <c r="H51" i="5"/>
  <c r="L51" i="5"/>
  <c r="P51" i="5"/>
  <c r="T51" i="5"/>
  <c r="X51" i="5"/>
  <c r="K51" i="5"/>
  <c r="M51" i="5"/>
  <c r="Q51" i="5"/>
  <c r="U51" i="5"/>
  <c r="N55" i="5"/>
  <c r="R55" i="5"/>
  <c r="V55" i="5"/>
  <c r="K55" i="5"/>
  <c r="O55" i="5"/>
  <c r="S55" i="5"/>
  <c r="W55" i="5"/>
  <c r="L55" i="5"/>
  <c r="P55" i="5"/>
  <c r="T55" i="5"/>
  <c r="X55" i="5"/>
  <c r="G55" i="5"/>
  <c r="M55" i="5"/>
  <c r="Q55" i="5"/>
  <c r="U55" i="5"/>
  <c r="H55" i="5"/>
  <c r="N59" i="5"/>
  <c r="R59" i="5"/>
  <c r="V59" i="5"/>
  <c r="G59" i="5"/>
  <c r="O59" i="5"/>
  <c r="S59" i="5"/>
  <c r="W59" i="5"/>
  <c r="H59" i="5"/>
  <c r="L59" i="5"/>
  <c r="P59" i="5"/>
  <c r="T59" i="5"/>
  <c r="X59" i="5"/>
  <c r="K59" i="5"/>
  <c r="U59" i="5"/>
  <c r="M59" i="5"/>
  <c r="Q59" i="5"/>
  <c r="G63" i="5"/>
  <c r="N63" i="5"/>
  <c r="R63" i="5"/>
  <c r="V63" i="5"/>
  <c r="O63" i="5"/>
  <c r="S63" i="5"/>
  <c r="W63" i="5"/>
  <c r="L63" i="5"/>
  <c r="P63" i="5"/>
  <c r="T63" i="5"/>
  <c r="X63" i="5"/>
  <c r="I63" i="5"/>
  <c r="Q63" i="5"/>
  <c r="U63" i="5"/>
  <c r="M63" i="5"/>
  <c r="J63" i="5"/>
  <c r="G67" i="5"/>
  <c r="N67" i="5"/>
  <c r="R67" i="5"/>
  <c r="V67" i="5"/>
  <c r="O67" i="5"/>
  <c r="S67" i="5"/>
  <c r="W67" i="5"/>
  <c r="L67" i="5"/>
  <c r="P67" i="5"/>
  <c r="T67" i="5"/>
  <c r="X67" i="5"/>
  <c r="M67" i="5"/>
  <c r="Q67" i="5"/>
  <c r="U67" i="5"/>
  <c r="G71" i="5"/>
  <c r="N71" i="5"/>
  <c r="R71" i="5"/>
  <c r="V71" i="5"/>
  <c r="J71" i="5"/>
  <c r="O71" i="5"/>
  <c r="S71" i="5"/>
  <c r="W71" i="5"/>
  <c r="L71" i="5"/>
  <c r="P71" i="5"/>
  <c r="T71" i="5"/>
  <c r="X71" i="5"/>
  <c r="M71" i="5"/>
  <c r="Q71" i="5"/>
  <c r="I71" i="5"/>
  <c r="U71" i="5"/>
  <c r="G75" i="5"/>
  <c r="N75" i="5"/>
  <c r="R75" i="5"/>
  <c r="V75" i="5"/>
  <c r="O75" i="5"/>
  <c r="S75" i="5"/>
  <c r="W75" i="5"/>
  <c r="L75" i="5"/>
  <c r="P75" i="5"/>
  <c r="T75" i="5"/>
  <c r="X75" i="5"/>
  <c r="U75" i="5"/>
  <c r="M75" i="5"/>
  <c r="Q75" i="5"/>
  <c r="J79" i="5"/>
  <c r="N79" i="5"/>
  <c r="R79" i="5"/>
  <c r="V79" i="5"/>
  <c r="O79" i="5"/>
  <c r="S79" i="5"/>
  <c r="W79" i="5"/>
  <c r="L79" i="5"/>
  <c r="P79" i="5"/>
  <c r="T79" i="5"/>
  <c r="X79" i="5"/>
  <c r="I79" i="5"/>
  <c r="Q79" i="5"/>
  <c r="U79" i="5"/>
  <c r="M79" i="5"/>
  <c r="J83" i="5"/>
  <c r="N83" i="5"/>
  <c r="R83" i="5"/>
  <c r="V83" i="5"/>
  <c r="O83" i="5"/>
  <c r="S83" i="5"/>
  <c r="W83" i="5"/>
  <c r="I83" i="5"/>
  <c r="L83" i="5"/>
  <c r="P83" i="5"/>
  <c r="T83" i="5"/>
  <c r="X83" i="5"/>
  <c r="M83" i="5"/>
  <c r="Q83" i="5"/>
  <c r="U83" i="5"/>
  <c r="J87" i="5"/>
  <c r="N87" i="5"/>
  <c r="R87" i="5"/>
  <c r="V87" i="5"/>
  <c r="O87" i="5"/>
  <c r="S87" i="5"/>
  <c r="W87" i="5"/>
  <c r="L87" i="5"/>
  <c r="P87" i="5"/>
  <c r="T87" i="5"/>
  <c r="X87" i="5"/>
  <c r="I87" i="5"/>
  <c r="M87" i="5"/>
  <c r="Q87" i="5"/>
  <c r="U87" i="5"/>
  <c r="J91" i="5"/>
  <c r="N91" i="5"/>
  <c r="R91" i="5"/>
  <c r="V91" i="5"/>
  <c r="O91" i="5"/>
  <c r="S91" i="5"/>
  <c r="W91" i="5"/>
  <c r="L91" i="5"/>
  <c r="P91" i="5"/>
  <c r="T91" i="5"/>
  <c r="X91" i="5"/>
  <c r="U91" i="5"/>
  <c r="I91" i="5"/>
  <c r="M91" i="5"/>
  <c r="Q91" i="5"/>
  <c r="J95" i="5"/>
  <c r="N95" i="5"/>
  <c r="R95" i="5"/>
  <c r="V95" i="5"/>
  <c r="I95" i="5"/>
  <c r="O95" i="5"/>
  <c r="S95" i="5"/>
  <c r="W95" i="5"/>
  <c r="L95" i="5"/>
  <c r="P95" i="5"/>
  <c r="T95" i="5"/>
  <c r="X95" i="5"/>
  <c r="Q95" i="5"/>
  <c r="U95" i="5"/>
  <c r="M95" i="5"/>
  <c r="M6" i="6"/>
  <c r="U6" i="6"/>
  <c r="K8" i="6"/>
  <c r="M14" i="6"/>
  <c r="U14" i="6"/>
  <c r="H15" i="6"/>
  <c r="M15" i="6"/>
  <c r="T15" i="6"/>
  <c r="S16" i="6"/>
  <c r="K25" i="6"/>
  <c r="U27" i="6"/>
  <c r="M36" i="6"/>
  <c r="I40" i="6"/>
  <c r="T40" i="6"/>
  <c r="I48" i="6"/>
  <c r="P48" i="6"/>
  <c r="T48" i="6"/>
  <c r="H48" i="6"/>
  <c r="X48" i="6"/>
  <c r="L48" i="6"/>
  <c r="I52" i="6"/>
  <c r="H52" i="6"/>
  <c r="X52" i="6"/>
  <c r="L52" i="6"/>
  <c r="P52" i="6"/>
  <c r="T52" i="6"/>
  <c r="I56" i="6"/>
  <c r="P56" i="6"/>
  <c r="T56" i="6"/>
  <c r="H56" i="6"/>
  <c r="X56" i="6"/>
  <c r="L56" i="6"/>
  <c r="H60" i="6"/>
  <c r="G60" i="6"/>
  <c r="W60" i="6"/>
  <c r="K60" i="6"/>
  <c r="O60" i="6"/>
  <c r="S60" i="6"/>
  <c r="H64" i="6"/>
  <c r="S64" i="6"/>
  <c r="G64" i="6"/>
  <c r="W64" i="6"/>
  <c r="K64" i="6"/>
  <c r="O64" i="6"/>
  <c r="H68" i="6"/>
  <c r="O68" i="6"/>
  <c r="S68" i="6"/>
  <c r="G68" i="6"/>
  <c r="W68" i="6"/>
  <c r="K68" i="6"/>
  <c r="H72" i="6"/>
  <c r="K72" i="6"/>
  <c r="O72" i="6"/>
  <c r="S72" i="6"/>
  <c r="G72" i="6"/>
  <c r="W72" i="6"/>
  <c r="H76" i="6"/>
  <c r="G76" i="6"/>
  <c r="W76" i="6"/>
  <c r="K76" i="6"/>
  <c r="O76" i="6"/>
  <c r="S76" i="6"/>
  <c r="G80" i="6"/>
  <c r="V80" i="6"/>
  <c r="J80" i="6"/>
  <c r="N80" i="6"/>
  <c r="R80" i="6"/>
  <c r="G84" i="6"/>
  <c r="R84" i="6"/>
  <c r="V84" i="6"/>
  <c r="J84" i="6"/>
  <c r="N84" i="6"/>
  <c r="G88" i="6"/>
  <c r="N88" i="6"/>
  <c r="R88" i="6"/>
  <c r="V88" i="6"/>
  <c r="J88" i="6"/>
  <c r="G92" i="6"/>
  <c r="J92" i="6"/>
  <c r="N92" i="6"/>
  <c r="R92" i="6"/>
  <c r="V92" i="6"/>
  <c r="O10" i="7"/>
  <c r="W10" i="7"/>
  <c r="W28" i="7"/>
  <c r="W32" i="7"/>
  <c r="L34" i="7"/>
  <c r="P39" i="7"/>
  <c r="O40" i="7"/>
  <c r="G48" i="7"/>
  <c r="K48" i="7"/>
  <c r="O48" i="7"/>
  <c r="S48" i="7"/>
  <c r="W48" i="7"/>
  <c r="H48" i="7"/>
  <c r="L48" i="7"/>
  <c r="P48" i="7"/>
  <c r="T48" i="7"/>
  <c r="X48" i="7"/>
  <c r="I48" i="7"/>
  <c r="M48" i="7"/>
  <c r="Q48" i="7"/>
  <c r="U48" i="7"/>
  <c r="V48" i="7"/>
  <c r="J48" i="7"/>
  <c r="N48" i="7"/>
  <c r="R48" i="7"/>
  <c r="G52" i="7"/>
  <c r="K52" i="7"/>
  <c r="O52" i="7"/>
  <c r="S52" i="7"/>
  <c r="W52" i="7"/>
  <c r="H52" i="7"/>
  <c r="L52" i="7"/>
  <c r="P52" i="7"/>
  <c r="T52" i="7"/>
  <c r="X52" i="7"/>
  <c r="I52" i="7"/>
  <c r="M52" i="7"/>
  <c r="Q52" i="7"/>
  <c r="U52" i="7"/>
  <c r="N52" i="7"/>
  <c r="R52" i="7"/>
  <c r="V52" i="7"/>
  <c r="J52" i="7"/>
  <c r="G56" i="7"/>
  <c r="K56" i="7"/>
  <c r="O56" i="7"/>
  <c r="S56" i="7"/>
  <c r="W56" i="7"/>
  <c r="H56" i="7"/>
  <c r="L56" i="7"/>
  <c r="P56" i="7"/>
  <c r="T56" i="7"/>
  <c r="X56" i="7"/>
  <c r="I56" i="7"/>
  <c r="M56" i="7"/>
  <c r="Q56" i="7"/>
  <c r="U56" i="7"/>
  <c r="V56" i="7"/>
  <c r="J56" i="7"/>
  <c r="N56" i="7"/>
  <c r="R56" i="7"/>
  <c r="G60" i="7"/>
  <c r="K60" i="7"/>
  <c r="O60" i="7"/>
  <c r="S60" i="7"/>
  <c r="W60" i="7"/>
  <c r="H60" i="7"/>
  <c r="L60" i="7"/>
  <c r="P60" i="7"/>
  <c r="T60" i="7"/>
  <c r="X60" i="7"/>
  <c r="I60" i="7"/>
  <c r="M60" i="7"/>
  <c r="Q60" i="7"/>
  <c r="U60" i="7"/>
  <c r="N60" i="7"/>
  <c r="R60" i="7"/>
  <c r="V60" i="7"/>
  <c r="J60" i="7"/>
  <c r="G64" i="7"/>
  <c r="K64" i="7"/>
  <c r="O64" i="7"/>
  <c r="S64" i="7"/>
  <c r="W64" i="7"/>
  <c r="I64" i="7"/>
  <c r="M64" i="7"/>
  <c r="Q64" i="7"/>
  <c r="U64" i="7"/>
  <c r="N64" i="7"/>
  <c r="V64" i="7"/>
  <c r="H64" i="7"/>
  <c r="P64" i="7"/>
  <c r="X64" i="7"/>
  <c r="J64" i="7"/>
  <c r="R64" i="7"/>
  <c r="T64" i="7"/>
  <c r="L64" i="7"/>
  <c r="G68" i="7"/>
  <c r="K68" i="7"/>
  <c r="O68" i="7"/>
  <c r="S68" i="7"/>
  <c r="W68" i="7"/>
  <c r="I68" i="7"/>
  <c r="M68" i="7"/>
  <c r="Q68" i="7"/>
  <c r="U68" i="7"/>
  <c r="N68" i="7"/>
  <c r="V68" i="7"/>
  <c r="H68" i="7"/>
  <c r="P68" i="7"/>
  <c r="X68" i="7"/>
  <c r="J68" i="7"/>
  <c r="R68" i="7"/>
  <c r="L68" i="7"/>
  <c r="T68" i="7"/>
  <c r="G72" i="7"/>
  <c r="K72" i="7"/>
  <c r="O72" i="7"/>
  <c r="S72" i="7"/>
  <c r="W72" i="7"/>
  <c r="I72" i="7"/>
  <c r="M72" i="7"/>
  <c r="Q72" i="7"/>
  <c r="U72" i="7"/>
  <c r="N72" i="7"/>
  <c r="V72" i="7"/>
  <c r="H72" i="7"/>
  <c r="P72" i="7"/>
  <c r="X72" i="7"/>
  <c r="J72" i="7"/>
  <c r="R72" i="7"/>
  <c r="L72" i="7"/>
  <c r="T72" i="7"/>
  <c r="G76" i="7"/>
  <c r="K76" i="7"/>
  <c r="O76" i="7"/>
  <c r="S76" i="7"/>
  <c r="W76" i="7"/>
  <c r="I76" i="7"/>
  <c r="M76" i="7"/>
  <c r="Q76" i="7"/>
  <c r="U76" i="7"/>
  <c r="N76" i="7"/>
  <c r="V76" i="7"/>
  <c r="H76" i="7"/>
  <c r="P76" i="7"/>
  <c r="X76" i="7"/>
  <c r="J76" i="7"/>
  <c r="R76" i="7"/>
  <c r="L76" i="7"/>
  <c r="T76" i="7"/>
  <c r="G80" i="7"/>
  <c r="K80" i="7"/>
  <c r="O80" i="7"/>
  <c r="S80" i="7"/>
  <c r="W80" i="7"/>
  <c r="I80" i="7"/>
  <c r="M80" i="7"/>
  <c r="Q80" i="7"/>
  <c r="U80" i="7"/>
  <c r="N80" i="7"/>
  <c r="V80" i="7"/>
  <c r="H80" i="7"/>
  <c r="P80" i="7"/>
  <c r="X80" i="7"/>
  <c r="J80" i="7"/>
  <c r="R80" i="7"/>
  <c r="T80" i="7"/>
  <c r="L80" i="7"/>
  <c r="G84" i="7"/>
  <c r="K84" i="7"/>
  <c r="O84" i="7"/>
  <c r="S84" i="7"/>
  <c r="W84" i="7"/>
  <c r="I84" i="7"/>
  <c r="M84" i="7"/>
  <c r="Q84" i="7"/>
  <c r="U84" i="7"/>
  <c r="N84" i="7"/>
  <c r="V84" i="7"/>
  <c r="H84" i="7"/>
  <c r="P84" i="7"/>
  <c r="X84" i="7"/>
  <c r="J84" i="7"/>
  <c r="R84" i="7"/>
  <c r="L84" i="7"/>
  <c r="T84" i="7"/>
  <c r="G88" i="7"/>
  <c r="K88" i="7"/>
  <c r="O88" i="7"/>
  <c r="S88" i="7"/>
  <c r="W88" i="7"/>
  <c r="J88" i="7"/>
  <c r="P88" i="7"/>
  <c r="U88" i="7"/>
  <c r="L88" i="7"/>
  <c r="Q88" i="7"/>
  <c r="V88" i="7"/>
  <c r="H88" i="7"/>
  <c r="M88" i="7"/>
  <c r="R88" i="7"/>
  <c r="X88" i="7"/>
  <c r="I88" i="7"/>
  <c r="N88" i="7"/>
  <c r="T88" i="7"/>
  <c r="J92" i="7"/>
  <c r="N92" i="7"/>
  <c r="R92" i="7"/>
  <c r="V92" i="7"/>
  <c r="G92" i="7"/>
  <c r="K92" i="7"/>
  <c r="O92" i="7"/>
  <c r="S92" i="7"/>
  <c r="W92" i="7"/>
  <c r="H92" i="7"/>
  <c r="L92" i="7"/>
  <c r="P92" i="7"/>
  <c r="T92" i="7"/>
  <c r="X92" i="7"/>
  <c r="I92" i="7"/>
  <c r="M92" i="7"/>
  <c r="Q92" i="7"/>
  <c r="U92" i="7"/>
  <c r="L8" i="8"/>
  <c r="Q8" i="8"/>
  <c r="W8" i="8"/>
  <c r="L9" i="8"/>
  <c r="O10" i="8"/>
  <c r="W10" i="8"/>
  <c r="H12" i="8"/>
  <c r="P12" i="8"/>
  <c r="H20" i="8"/>
  <c r="M20" i="8"/>
  <c r="S20" i="8"/>
  <c r="X21" i="8"/>
  <c r="K38" i="8"/>
  <c r="I44" i="8"/>
  <c r="T44" i="8"/>
  <c r="S45" i="8"/>
  <c r="J49" i="8"/>
  <c r="N49" i="8"/>
  <c r="R49" i="8"/>
  <c r="V49" i="8"/>
  <c r="H49" i="8"/>
  <c r="L49" i="8"/>
  <c r="P49" i="8"/>
  <c r="T49" i="8"/>
  <c r="X49" i="8"/>
  <c r="G49" i="8"/>
  <c r="O49" i="8"/>
  <c r="W49" i="8"/>
  <c r="I49" i="8"/>
  <c r="Q49" i="8"/>
  <c r="K49" i="8"/>
  <c r="S49" i="8"/>
  <c r="M49" i="8"/>
  <c r="U49" i="8"/>
  <c r="J53" i="8"/>
  <c r="N53" i="8"/>
  <c r="R53" i="8"/>
  <c r="V53" i="8"/>
  <c r="H53" i="8"/>
  <c r="L53" i="8"/>
  <c r="P53" i="8"/>
  <c r="T53" i="8"/>
  <c r="X53" i="8"/>
  <c r="G53" i="8"/>
  <c r="O53" i="8"/>
  <c r="W53" i="8"/>
  <c r="I53" i="8"/>
  <c r="Q53" i="8"/>
  <c r="K53" i="8"/>
  <c r="S53" i="8"/>
  <c r="M53" i="8"/>
  <c r="U53" i="8"/>
  <c r="J57" i="8"/>
  <c r="N57" i="8"/>
  <c r="R57" i="8"/>
  <c r="V57" i="8"/>
  <c r="H57" i="8"/>
  <c r="L57" i="8"/>
  <c r="P57" i="8"/>
  <c r="T57" i="8"/>
  <c r="X57" i="8"/>
  <c r="G57" i="8"/>
  <c r="O57" i="8"/>
  <c r="W57" i="8"/>
  <c r="I57" i="8"/>
  <c r="Q57" i="8"/>
  <c r="K57" i="8"/>
  <c r="S57" i="8"/>
  <c r="U57" i="8"/>
  <c r="M57" i="8"/>
  <c r="J61" i="8"/>
  <c r="N61" i="8"/>
  <c r="R61" i="8"/>
  <c r="V61" i="8"/>
  <c r="K61" i="8"/>
  <c r="P61" i="8"/>
  <c r="U61" i="8"/>
  <c r="G61" i="8"/>
  <c r="L61" i="8"/>
  <c r="Q61" i="8"/>
  <c r="W61" i="8"/>
  <c r="H61" i="8"/>
  <c r="M61" i="8"/>
  <c r="S61" i="8"/>
  <c r="X61" i="8"/>
  <c r="I61" i="8"/>
  <c r="O61" i="8"/>
  <c r="T61" i="8"/>
  <c r="I65" i="8"/>
  <c r="M65" i="8"/>
  <c r="Q65" i="8"/>
  <c r="U65" i="8"/>
  <c r="J65" i="8"/>
  <c r="N65" i="8"/>
  <c r="R65" i="8"/>
  <c r="V65" i="8"/>
  <c r="G65" i="8"/>
  <c r="K65" i="8"/>
  <c r="O65" i="8"/>
  <c r="S65" i="8"/>
  <c r="W65" i="8"/>
  <c r="H65" i="8"/>
  <c r="X65" i="8"/>
  <c r="L65" i="8"/>
  <c r="P65" i="8"/>
  <c r="T65" i="8"/>
  <c r="I69" i="8"/>
  <c r="M69" i="8"/>
  <c r="Q69" i="8"/>
  <c r="U69" i="8"/>
  <c r="J69" i="8"/>
  <c r="N69" i="8"/>
  <c r="R69" i="8"/>
  <c r="V69" i="8"/>
  <c r="G69" i="8"/>
  <c r="K69" i="8"/>
  <c r="O69" i="8"/>
  <c r="S69" i="8"/>
  <c r="W69" i="8"/>
  <c r="P69" i="8"/>
  <c r="T69" i="8"/>
  <c r="H69" i="8"/>
  <c r="X69" i="8"/>
  <c r="L69" i="8"/>
  <c r="I73" i="8"/>
  <c r="M73" i="8"/>
  <c r="Q73" i="8"/>
  <c r="U73" i="8"/>
  <c r="J73" i="8"/>
  <c r="N73" i="8"/>
  <c r="R73" i="8"/>
  <c r="V73" i="8"/>
  <c r="G73" i="8"/>
  <c r="K73" i="8"/>
  <c r="O73" i="8"/>
  <c r="S73" i="8"/>
  <c r="W73" i="8"/>
  <c r="H73" i="8"/>
  <c r="X73" i="8"/>
  <c r="L73" i="8"/>
  <c r="P73" i="8"/>
  <c r="T73" i="8"/>
  <c r="I77" i="8"/>
  <c r="M77" i="8"/>
  <c r="Q77" i="8"/>
  <c r="U77" i="8"/>
  <c r="J77" i="8"/>
  <c r="N77" i="8"/>
  <c r="R77" i="8"/>
  <c r="V77" i="8"/>
  <c r="G77" i="8"/>
  <c r="K77" i="8"/>
  <c r="O77" i="8"/>
  <c r="S77" i="8"/>
  <c r="W77" i="8"/>
  <c r="P77" i="8"/>
  <c r="T77" i="8"/>
  <c r="H77" i="8"/>
  <c r="X77" i="8"/>
  <c r="L77" i="8"/>
  <c r="I81" i="8"/>
  <c r="M81" i="8"/>
  <c r="Q81" i="8"/>
  <c r="U81" i="8"/>
  <c r="J81" i="8"/>
  <c r="N81" i="8"/>
  <c r="R81" i="8"/>
  <c r="V81" i="8"/>
  <c r="G81" i="8"/>
  <c r="K81" i="8"/>
  <c r="O81" i="8"/>
  <c r="S81" i="8"/>
  <c r="W81" i="8"/>
  <c r="H81" i="8"/>
  <c r="X81" i="8"/>
  <c r="L81" i="8"/>
  <c r="P81" i="8"/>
  <c r="T81" i="8"/>
  <c r="I85" i="8"/>
  <c r="M85" i="8"/>
  <c r="Q85" i="8"/>
  <c r="U85" i="8"/>
  <c r="J85" i="8"/>
  <c r="N85" i="8"/>
  <c r="R85" i="8"/>
  <c r="V85" i="8"/>
  <c r="G85" i="8"/>
  <c r="K85" i="8"/>
  <c r="O85" i="8"/>
  <c r="S85" i="8"/>
  <c r="W85" i="8"/>
  <c r="P85" i="8"/>
  <c r="T85" i="8"/>
  <c r="H85" i="8"/>
  <c r="X85" i="8"/>
  <c r="L85" i="8"/>
  <c r="I89" i="8"/>
  <c r="M89" i="8"/>
  <c r="Q89" i="8"/>
  <c r="U89" i="8"/>
  <c r="J89" i="8"/>
  <c r="N89" i="8"/>
  <c r="R89" i="8"/>
  <c r="V89" i="8"/>
  <c r="G89" i="8"/>
  <c r="K89" i="8"/>
  <c r="O89" i="8"/>
  <c r="S89" i="8"/>
  <c r="W89" i="8"/>
  <c r="H89" i="8"/>
  <c r="X89" i="8"/>
  <c r="L89" i="8"/>
  <c r="P89" i="8"/>
  <c r="T89" i="8"/>
  <c r="I93" i="8"/>
  <c r="M93" i="8"/>
  <c r="Q93" i="8"/>
  <c r="U93" i="8"/>
  <c r="J93" i="8"/>
  <c r="N93" i="8"/>
  <c r="R93" i="8"/>
  <c r="V93" i="8"/>
  <c r="G93" i="8"/>
  <c r="K93" i="8"/>
  <c r="O93" i="8"/>
  <c r="S93" i="8"/>
  <c r="W93" i="8"/>
  <c r="P93" i="8"/>
  <c r="T93" i="8"/>
  <c r="H93" i="8"/>
  <c r="X93" i="8"/>
  <c r="L93" i="8"/>
  <c r="H6" i="9"/>
  <c r="P6" i="9"/>
  <c r="X6" i="9"/>
  <c r="K9" i="9"/>
  <c r="P9" i="9"/>
  <c r="V9" i="9"/>
  <c r="H12" i="9"/>
  <c r="O12" i="9"/>
  <c r="T12" i="9"/>
  <c r="H19" i="9"/>
  <c r="M19" i="9"/>
  <c r="S19" i="9"/>
  <c r="V20" i="9"/>
  <c r="H23" i="9"/>
  <c r="M23" i="9"/>
  <c r="S23" i="9"/>
  <c r="X35" i="9"/>
  <c r="H39" i="9"/>
  <c r="O39" i="9"/>
  <c r="W39" i="9"/>
  <c r="J42" i="9"/>
  <c r="X42" i="9"/>
  <c r="H47" i="9"/>
  <c r="L47" i="9"/>
  <c r="P47" i="9"/>
  <c r="T47" i="9"/>
  <c r="X47" i="9"/>
  <c r="J47" i="9"/>
  <c r="N47" i="9"/>
  <c r="R47" i="9"/>
  <c r="V47" i="9"/>
  <c r="K47" i="9"/>
  <c r="S47" i="9"/>
  <c r="M47" i="9"/>
  <c r="U47" i="9"/>
  <c r="G47" i="9"/>
  <c r="O47" i="9"/>
  <c r="W47" i="9"/>
  <c r="I47" i="9"/>
  <c r="Q47" i="9"/>
  <c r="H51" i="9"/>
  <c r="L51" i="9"/>
  <c r="P51" i="9"/>
  <c r="T51" i="9"/>
  <c r="X51" i="9"/>
  <c r="J51" i="9"/>
  <c r="N51" i="9"/>
  <c r="R51" i="9"/>
  <c r="V51" i="9"/>
  <c r="K51" i="9"/>
  <c r="S51" i="9"/>
  <c r="M51" i="9"/>
  <c r="U51" i="9"/>
  <c r="G51" i="9"/>
  <c r="O51" i="9"/>
  <c r="W51" i="9"/>
  <c r="I51" i="9"/>
  <c r="Q51" i="9"/>
  <c r="H55" i="9"/>
  <c r="L55" i="9"/>
  <c r="P55" i="9"/>
  <c r="T55" i="9"/>
  <c r="X55" i="9"/>
  <c r="J55" i="9"/>
  <c r="N55" i="9"/>
  <c r="R55" i="9"/>
  <c r="V55" i="9"/>
  <c r="K55" i="9"/>
  <c r="S55" i="9"/>
  <c r="M55" i="9"/>
  <c r="U55" i="9"/>
  <c r="G55" i="9"/>
  <c r="O55" i="9"/>
  <c r="W55" i="9"/>
  <c r="Q55" i="9"/>
  <c r="I55" i="9"/>
  <c r="J59" i="9"/>
  <c r="N59" i="9"/>
  <c r="R59" i="9"/>
  <c r="V59" i="9"/>
  <c r="G59" i="9"/>
  <c r="K59" i="9"/>
  <c r="O59" i="9"/>
  <c r="S59" i="9"/>
  <c r="W59" i="9"/>
  <c r="H59" i="9"/>
  <c r="L59" i="9"/>
  <c r="P59" i="9"/>
  <c r="T59" i="9"/>
  <c r="X59" i="9"/>
  <c r="I59" i="9"/>
  <c r="M59" i="9"/>
  <c r="Q59" i="9"/>
  <c r="U59" i="9"/>
  <c r="J63" i="9"/>
  <c r="N63" i="9"/>
  <c r="R63" i="9"/>
  <c r="V63" i="9"/>
  <c r="G63" i="9"/>
  <c r="K63" i="9"/>
  <c r="O63" i="9"/>
  <c r="S63" i="9"/>
  <c r="W63" i="9"/>
  <c r="H63" i="9"/>
  <c r="L63" i="9"/>
  <c r="P63" i="9"/>
  <c r="T63" i="9"/>
  <c r="X63" i="9"/>
  <c r="Q63" i="9"/>
  <c r="U63" i="9"/>
  <c r="I63" i="9"/>
  <c r="M63" i="9"/>
  <c r="J67" i="9"/>
  <c r="N67" i="9"/>
  <c r="R67" i="9"/>
  <c r="V67" i="9"/>
  <c r="G67" i="9"/>
  <c r="K67" i="9"/>
  <c r="O67" i="9"/>
  <c r="S67" i="9"/>
  <c r="W67" i="9"/>
  <c r="H67" i="9"/>
  <c r="L67" i="9"/>
  <c r="P67" i="9"/>
  <c r="T67" i="9"/>
  <c r="X67" i="9"/>
  <c r="I67" i="9"/>
  <c r="M67" i="9"/>
  <c r="Q67" i="9"/>
  <c r="U67" i="9"/>
  <c r="J71" i="9"/>
  <c r="N71" i="9"/>
  <c r="R71" i="9"/>
  <c r="V71" i="9"/>
  <c r="G71" i="9"/>
  <c r="K71" i="9"/>
  <c r="O71" i="9"/>
  <c r="S71" i="9"/>
  <c r="W71" i="9"/>
  <c r="H71" i="9"/>
  <c r="L71" i="9"/>
  <c r="P71" i="9"/>
  <c r="T71" i="9"/>
  <c r="X71" i="9"/>
  <c r="Q71" i="9"/>
  <c r="U71" i="9"/>
  <c r="I71" i="9"/>
  <c r="M71" i="9"/>
  <c r="J75" i="9"/>
  <c r="N75" i="9"/>
  <c r="R75" i="9"/>
  <c r="V75" i="9"/>
  <c r="G75" i="9"/>
  <c r="K75" i="9"/>
  <c r="O75" i="9"/>
  <c r="S75" i="9"/>
  <c r="W75" i="9"/>
  <c r="H75" i="9"/>
  <c r="L75" i="9"/>
  <c r="P75" i="9"/>
  <c r="T75" i="9"/>
  <c r="X75" i="9"/>
  <c r="I75" i="9"/>
  <c r="M75" i="9"/>
  <c r="Q75" i="9"/>
  <c r="U75" i="9"/>
  <c r="J79" i="9"/>
  <c r="N79" i="9"/>
  <c r="R79" i="9"/>
  <c r="V79" i="9"/>
  <c r="G79" i="9"/>
  <c r="K79" i="9"/>
  <c r="O79" i="9"/>
  <c r="S79" i="9"/>
  <c r="W79" i="9"/>
  <c r="H79" i="9"/>
  <c r="L79" i="9"/>
  <c r="P79" i="9"/>
  <c r="T79" i="9"/>
  <c r="X79" i="9"/>
  <c r="Q79" i="9"/>
  <c r="U79" i="9"/>
  <c r="I79" i="9"/>
  <c r="M79" i="9"/>
  <c r="J83" i="9"/>
  <c r="N83" i="9"/>
  <c r="R83" i="9"/>
  <c r="V83" i="9"/>
  <c r="G83" i="9"/>
  <c r="K83" i="9"/>
  <c r="O83" i="9"/>
  <c r="S83" i="9"/>
  <c r="W83" i="9"/>
  <c r="H83" i="9"/>
  <c r="L83" i="9"/>
  <c r="P83" i="9"/>
  <c r="T83" i="9"/>
  <c r="X83" i="9"/>
  <c r="I83" i="9"/>
  <c r="M83" i="9"/>
  <c r="Q83" i="9"/>
  <c r="U83" i="9"/>
  <c r="J87" i="9"/>
  <c r="N87" i="9"/>
  <c r="R87" i="9"/>
  <c r="V87" i="9"/>
  <c r="G87" i="9"/>
  <c r="K87" i="9"/>
  <c r="O87" i="9"/>
  <c r="S87" i="9"/>
  <c r="W87" i="9"/>
  <c r="H87" i="9"/>
  <c r="L87" i="9"/>
  <c r="P87" i="9"/>
  <c r="T87" i="9"/>
  <c r="X87" i="9"/>
  <c r="Q87" i="9"/>
  <c r="U87" i="9"/>
  <c r="I87" i="9"/>
  <c r="M87" i="9"/>
  <c r="J91" i="9"/>
  <c r="N91" i="9"/>
  <c r="R91" i="9"/>
  <c r="V91" i="9"/>
  <c r="G91" i="9"/>
  <c r="K91" i="9"/>
  <c r="O91" i="9"/>
  <c r="S91" i="9"/>
  <c r="H91" i="9"/>
  <c r="L91" i="9"/>
  <c r="P91" i="9"/>
  <c r="T91" i="9"/>
  <c r="X91" i="9"/>
  <c r="I91" i="9"/>
  <c r="W91" i="9"/>
  <c r="M91" i="9"/>
  <c r="Q91" i="9"/>
  <c r="U91" i="9"/>
  <c r="J95" i="9"/>
  <c r="N95" i="9"/>
  <c r="R95" i="9"/>
  <c r="V95" i="9"/>
  <c r="H95" i="9"/>
  <c r="L95" i="9"/>
  <c r="P95" i="9"/>
  <c r="T95" i="9"/>
  <c r="X95" i="9"/>
  <c r="G95" i="9"/>
  <c r="O95" i="9"/>
  <c r="W95" i="9"/>
  <c r="I95" i="9"/>
  <c r="Q95" i="9"/>
  <c r="K95" i="9"/>
  <c r="S95" i="9"/>
  <c r="M95" i="9"/>
  <c r="U95" i="9"/>
  <c r="M6" i="10"/>
  <c r="U6" i="10"/>
  <c r="O29" i="10"/>
  <c r="X29" i="10"/>
  <c r="M31" i="10"/>
  <c r="L32" i="10"/>
  <c r="M43" i="10"/>
  <c r="H49" i="10"/>
  <c r="L49" i="10"/>
  <c r="P49" i="10"/>
  <c r="T49" i="10"/>
  <c r="X49" i="10"/>
  <c r="I49" i="10"/>
  <c r="M49" i="10"/>
  <c r="Q49" i="10"/>
  <c r="U49" i="10"/>
  <c r="J49" i="10"/>
  <c r="N49" i="10"/>
  <c r="R49" i="10"/>
  <c r="V49" i="10"/>
  <c r="O49" i="10"/>
  <c r="S49" i="10"/>
  <c r="G49" i="10"/>
  <c r="W49" i="10"/>
  <c r="K49" i="10"/>
  <c r="H53" i="10"/>
  <c r="L53" i="10"/>
  <c r="P53" i="10"/>
  <c r="T53" i="10"/>
  <c r="X53" i="10"/>
  <c r="I53" i="10"/>
  <c r="M53" i="10"/>
  <c r="Q53" i="10"/>
  <c r="U53" i="10"/>
  <c r="J53" i="10"/>
  <c r="N53" i="10"/>
  <c r="R53" i="10"/>
  <c r="V53" i="10"/>
  <c r="G53" i="10"/>
  <c r="W53" i="10"/>
  <c r="K53" i="10"/>
  <c r="O53" i="10"/>
  <c r="S53" i="10"/>
  <c r="H57" i="10"/>
  <c r="L57" i="10"/>
  <c r="P57" i="10"/>
  <c r="T57" i="10"/>
  <c r="X57" i="10"/>
  <c r="I57" i="10"/>
  <c r="M57" i="10"/>
  <c r="Q57" i="10"/>
  <c r="U57" i="10"/>
  <c r="J57" i="10"/>
  <c r="N57" i="10"/>
  <c r="R57" i="10"/>
  <c r="V57" i="10"/>
  <c r="O57" i="10"/>
  <c r="S57" i="10"/>
  <c r="G57" i="10"/>
  <c r="W57" i="10"/>
  <c r="K57" i="10"/>
  <c r="H61" i="10"/>
  <c r="L61" i="10"/>
  <c r="P61" i="10"/>
  <c r="T61" i="10"/>
  <c r="X61" i="10"/>
  <c r="I61" i="10"/>
  <c r="M61" i="10"/>
  <c r="Q61" i="10"/>
  <c r="U61" i="10"/>
  <c r="J61" i="10"/>
  <c r="N61" i="10"/>
  <c r="R61" i="10"/>
  <c r="V61" i="10"/>
  <c r="G61" i="10"/>
  <c r="W61" i="10"/>
  <c r="K61" i="10"/>
  <c r="O61" i="10"/>
  <c r="S61" i="10"/>
  <c r="H65" i="10"/>
  <c r="L65" i="10"/>
  <c r="P65" i="10"/>
  <c r="T65" i="10"/>
  <c r="X65" i="10"/>
  <c r="I65" i="10"/>
  <c r="M65" i="10"/>
  <c r="Q65" i="10"/>
  <c r="U65" i="10"/>
  <c r="J65" i="10"/>
  <c r="N65" i="10"/>
  <c r="R65" i="10"/>
  <c r="V65" i="10"/>
  <c r="O65" i="10"/>
  <c r="S65" i="10"/>
  <c r="G65" i="10"/>
  <c r="W65" i="10"/>
  <c r="K65" i="10"/>
  <c r="H69" i="10"/>
  <c r="L69" i="10"/>
  <c r="P69" i="10"/>
  <c r="T69" i="10"/>
  <c r="X69" i="10"/>
  <c r="I69" i="10"/>
  <c r="M69" i="10"/>
  <c r="Q69" i="10"/>
  <c r="U69" i="10"/>
  <c r="J69" i="10"/>
  <c r="N69" i="10"/>
  <c r="R69" i="10"/>
  <c r="V69" i="10"/>
  <c r="G69" i="10"/>
  <c r="W69" i="10"/>
  <c r="K69" i="10"/>
  <c r="O69" i="10"/>
  <c r="S69" i="10"/>
  <c r="H73" i="10"/>
  <c r="L73" i="10"/>
  <c r="P73" i="10"/>
  <c r="T73" i="10"/>
  <c r="X73" i="10"/>
  <c r="I73" i="10"/>
  <c r="M73" i="10"/>
  <c r="Q73" i="10"/>
  <c r="U73" i="10"/>
  <c r="J73" i="10"/>
  <c r="N73" i="10"/>
  <c r="R73" i="10"/>
  <c r="V73" i="10"/>
  <c r="O73" i="10"/>
  <c r="S73" i="10"/>
  <c r="G73" i="10"/>
  <c r="W73" i="10"/>
  <c r="K73" i="10"/>
  <c r="H77" i="10"/>
  <c r="L77" i="10"/>
  <c r="P77" i="10"/>
  <c r="T77" i="10"/>
  <c r="X77" i="10"/>
  <c r="I77" i="10"/>
  <c r="M77" i="10"/>
  <c r="Q77" i="10"/>
  <c r="U77" i="10"/>
  <c r="J77" i="10"/>
  <c r="N77" i="10"/>
  <c r="R77" i="10"/>
  <c r="V77" i="10"/>
  <c r="G77" i="10"/>
  <c r="W77" i="10"/>
  <c r="K77" i="10"/>
  <c r="O77" i="10"/>
  <c r="S77" i="10"/>
  <c r="H81" i="10"/>
  <c r="L81" i="10"/>
  <c r="P81" i="10"/>
  <c r="T81" i="10"/>
  <c r="X81" i="10"/>
  <c r="I81" i="10"/>
  <c r="M81" i="10"/>
  <c r="Q81" i="10"/>
  <c r="U81" i="10"/>
  <c r="J81" i="10"/>
  <c r="N81" i="10"/>
  <c r="R81" i="10"/>
  <c r="V81" i="10"/>
  <c r="O81" i="10"/>
  <c r="S81" i="10"/>
  <c r="G81" i="10"/>
  <c r="W81" i="10"/>
  <c r="K81" i="10"/>
  <c r="H85" i="10"/>
  <c r="L85" i="10"/>
  <c r="P85" i="10"/>
  <c r="T85" i="10"/>
  <c r="X85" i="10"/>
  <c r="I85" i="10"/>
  <c r="M85" i="10"/>
  <c r="Q85" i="10"/>
  <c r="U85" i="10"/>
  <c r="J85" i="10"/>
  <c r="N85" i="10"/>
  <c r="R85" i="10"/>
  <c r="V85" i="10"/>
  <c r="G85" i="10"/>
  <c r="W85" i="10"/>
  <c r="K85" i="10"/>
  <c r="O85" i="10"/>
  <c r="S85" i="10"/>
  <c r="H89" i="10"/>
  <c r="L89" i="10"/>
  <c r="P89" i="10"/>
  <c r="T89" i="10"/>
  <c r="X89" i="10"/>
  <c r="J89" i="10"/>
  <c r="N89" i="10"/>
  <c r="R89" i="10"/>
  <c r="V89" i="10"/>
  <c r="K89" i="10"/>
  <c r="S89" i="10"/>
  <c r="M89" i="10"/>
  <c r="U89" i="10"/>
  <c r="G89" i="10"/>
  <c r="O89" i="10"/>
  <c r="W89" i="10"/>
  <c r="Q89" i="10"/>
  <c r="I89" i="10"/>
  <c r="H93" i="10"/>
  <c r="L93" i="10"/>
  <c r="P93" i="10"/>
  <c r="T93" i="10"/>
  <c r="X93" i="10"/>
  <c r="J93" i="10"/>
  <c r="N93" i="10"/>
  <c r="R93" i="10"/>
  <c r="V93" i="10"/>
  <c r="K93" i="10"/>
  <c r="S93" i="10"/>
  <c r="M93" i="10"/>
  <c r="U93" i="10"/>
  <c r="G93" i="10"/>
  <c r="O93" i="10"/>
  <c r="W93" i="10"/>
  <c r="I93" i="10"/>
  <c r="Q93" i="10"/>
  <c r="H6" i="11"/>
  <c r="P6" i="11"/>
  <c r="X6" i="11"/>
  <c r="K7" i="11"/>
  <c r="O10" i="11"/>
  <c r="W10" i="11"/>
  <c r="K11" i="11"/>
  <c r="K16" i="11"/>
  <c r="P16" i="11"/>
  <c r="W16" i="11"/>
  <c r="O22" i="11"/>
  <c r="H33" i="11"/>
  <c r="X33" i="11"/>
  <c r="O37" i="11"/>
  <c r="X37" i="11"/>
  <c r="O42" i="11"/>
  <c r="G48" i="11"/>
  <c r="K48" i="11"/>
  <c r="O48" i="11"/>
  <c r="S48" i="11"/>
  <c r="W48" i="11"/>
  <c r="H48" i="11"/>
  <c r="L48" i="11"/>
  <c r="P48" i="11"/>
  <c r="T48" i="11"/>
  <c r="X48" i="11"/>
  <c r="I48" i="11"/>
  <c r="M48" i="11"/>
  <c r="Q48" i="11"/>
  <c r="U48" i="11"/>
  <c r="V48" i="11"/>
  <c r="J48" i="11"/>
  <c r="N48" i="11"/>
  <c r="R48" i="11"/>
  <c r="G52" i="11"/>
  <c r="K52" i="11"/>
  <c r="O52" i="11"/>
  <c r="S52" i="11"/>
  <c r="W52" i="11"/>
  <c r="H52" i="11"/>
  <c r="L52" i="11"/>
  <c r="P52" i="11"/>
  <c r="T52" i="11"/>
  <c r="X52" i="11"/>
  <c r="I52" i="11"/>
  <c r="M52" i="11"/>
  <c r="Q52" i="11"/>
  <c r="U52" i="11"/>
  <c r="N52" i="11"/>
  <c r="R52" i="11"/>
  <c r="V52" i="11"/>
  <c r="J52" i="11"/>
  <c r="G56" i="11"/>
  <c r="K56" i="11"/>
  <c r="O56" i="11"/>
  <c r="S56" i="11"/>
  <c r="W56" i="11"/>
  <c r="H56" i="11"/>
  <c r="L56" i="11"/>
  <c r="P56" i="11"/>
  <c r="T56" i="11"/>
  <c r="X56" i="11"/>
  <c r="I56" i="11"/>
  <c r="M56" i="11"/>
  <c r="Q56" i="11"/>
  <c r="U56" i="11"/>
  <c r="V56" i="11"/>
  <c r="J56" i="11"/>
  <c r="N56" i="11"/>
  <c r="R56" i="11"/>
  <c r="G60" i="11"/>
  <c r="K60" i="11"/>
  <c r="O60" i="11"/>
  <c r="S60" i="11"/>
  <c r="W60" i="11"/>
  <c r="H60" i="11"/>
  <c r="L60" i="11"/>
  <c r="P60" i="11"/>
  <c r="T60" i="11"/>
  <c r="X60" i="11"/>
  <c r="I60" i="11"/>
  <c r="M60" i="11"/>
  <c r="Q60" i="11"/>
  <c r="U60" i="11"/>
  <c r="N60" i="11"/>
  <c r="R60" i="11"/>
  <c r="V60" i="11"/>
  <c r="J60" i="11"/>
  <c r="G64" i="11"/>
  <c r="K64" i="11"/>
  <c r="O64" i="11"/>
  <c r="S64" i="11"/>
  <c r="W64" i="11"/>
  <c r="H64" i="11"/>
  <c r="L64" i="11"/>
  <c r="P64" i="11"/>
  <c r="T64" i="11"/>
  <c r="X64" i="11"/>
  <c r="I64" i="11"/>
  <c r="M64" i="11"/>
  <c r="Q64" i="11"/>
  <c r="U64" i="11"/>
  <c r="V64" i="11"/>
  <c r="J64" i="11"/>
  <c r="N64" i="11"/>
  <c r="R64" i="11"/>
  <c r="H68" i="11"/>
  <c r="L68" i="11"/>
  <c r="P68" i="11"/>
  <c r="T68" i="11"/>
  <c r="X68" i="11"/>
  <c r="I68" i="11"/>
  <c r="M68" i="11"/>
  <c r="Q68" i="11"/>
  <c r="U68" i="11"/>
  <c r="J68" i="11"/>
  <c r="N68" i="11"/>
  <c r="R68" i="11"/>
  <c r="V68" i="11"/>
  <c r="G68" i="11"/>
  <c r="W68" i="11"/>
  <c r="K68" i="11"/>
  <c r="O68" i="11"/>
  <c r="S68" i="11"/>
  <c r="H72" i="11"/>
  <c r="L72" i="11"/>
  <c r="P72" i="11"/>
  <c r="T72" i="11"/>
  <c r="X72" i="11"/>
  <c r="I72" i="11"/>
  <c r="M72" i="11"/>
  <c r="Q72" i="11"/>
  <c r="U72" i="11"/>
  <c r="J72" i="11"/>
  <c r="N72" i="11"/>
  <c r="R72" i="11"/>
  <c r="V72" i="11"/>
  <c r="O72" i="11"/>
  <c r="S72" i="11"/>
  <c r="G72" i="11"/>
  <c r="W72" i="11"/>
  <c r="K72" i="11"/>
  <c r="H76" i="11"/>
  <c r="L76" i="11"/>
  <c r="P76" i="11"/>
  <c r="T76" i="11"/>
  <c r="X76" i="11"/>
  <c r="I76" i="11"/>
  <c r="M76" i="11"/>
  <c r="Q76" i="11"/>
  <c r="U76" i="11"/>
  <c r="J76" i="11"/>
  <c r="N76" i="11"/>
  <c r="R76" i="11"/>
  <c r="V76" i="11"/>
  <c r="G76" i="11"/>
  <c r="W76" i="11"/>
  <c r="K76" i="11"/>
  <c r="O76" i="11"/>
  <c r="S76" i="11"/>
  <c r="M17" i="12"/>
  <c r="S19" i="12"/>
  <c r="J48" i="12"/>
  <c r="N48" i="12"/>
  <c r="R48" i="12"/>
  <c r="V48" i="12"/>
  <c r="G48" i="12"/>
  <c r="K48" i="12"/>
  <c r="O48" i="12"/>
  <c r="S48" i="12"/>
  <c r="W48" i="12"/>
  <c r="H48" i="12"/>
  <c r="L48" i="12"/>
  <c r="P48" i="12"/>
  <c r="T48" i="12"/>
  <c r="X48" i="12"/>
  <c r="U48" i="12"/>
  <c r="I48" i="12"/>
  <c r="M48" i="12"/>
  <c r="Q48" i="12"/>
  <c r="J52" i="12"/>
  <c r="N52" i="12"/>
  <c r="R52" i="12"/>
  <c r="V52" i="12"/>
  <c r="G52" i="12"/>
  <c r="K52" i="12"/>
  <c r="O52" i="12"/>
  <c r="S52" i="12"/>
  <c r="W52" i="12"/>
  <c r="H52" i="12"/>
  <c r="L52" i="12"/>
  <c r="P52" i="12"/>
  <c r="T52" i="12"/>
  <c r="X52" i="12"/>
  <c r="M52" i="12"/>
  <c r="Q52" i="12"/>
  <c r="U52" i="12"/>
  <c r="I52" i="12"/>
  <c r="G56" i="12"/>
  <c r="K56" i="12"/>
  <c r="O56" i="12"/>
  <c r="H56" i="12"/>
  <c r="L56" i="12"/>
  <c r="P56" i="12"/>
  <c r="T56" i="12"/>
  <c r="M56" i="12"/>
  <c r="S56" i="12"/>
  <c r="X56" i="12"/>
  <c r="N56" i="12"/>
  <c r="U56" i="12"/>
  <c r="I56" i="12"/>
  <c r="Q56" i="12"/>
  <c r="V56" i="12"/>
  <c r="R56" i="12"/>
  <c r="W56" i="12"/>
  <c r="J56" i="12"/>
  <c r="H60" i="12"/>
  <c r="L60" i="12"/>
  <c r="P60" i="12"/>
  <c r="T60" i="12"/>
  <c r="X60" i="12"/>
  <c r="I60" i="12"/>
  <c r="M60" i="12"/>
  <c r="Q60" i="12"/>
  <c r="U60" i="12"/>
  <c r="J60" i="12"/>
  <c r="N60" i="12"/>
  <c r="R60" i="12"/>
  <c r="V60" i="12"/>
  <c r="K60" i="12"/>
  <c r="O60" i="12"/>
  <c r="S60" i="12"/>
  <c r="G60" i="12"/>
  <c r="W60" i="12"/>
  <c r="H64" i="12"/>
  <c r="L64" i="12"/>
  <c r="P64" i="12"/>
  <c r="T64" i="12"/>
  <c r="X64" i="12"/>
  <c r="I64" i="12"/>
  <c r="M64" i="12"/>
  <c r="Q64" i="12"/>
  <c r="U64" i="12"/>
  <c r="J64" i="12"/>
  <c r="N64" i="12"/>
  <c r="R64" i="12"/>
  <c r="V64" i="12"/>
  <c r="S64" i="12"/>
  <c r="G64" i="12"/>
  <c r="W64" i="12"/>
  <c r="K64" i="12"/>
  <c r="O64" i="12"/>
  <c r="H68" i="12"/>
  <c r="L68" i="12"/>
  <c r="P68" i="12"/>
  <c r="T68" i="12"/>
  <c r="X68" i="12"/>
  <c r="I68" i="12"/>
  <c r="M68" i="12"/>
  <c r="Q68" i="12"/>
  <c r="U68" i="12"/>
  <c r="J68" i="12"/>
  <c r="N68" i="12"/>
  <c r="R68" i="12"/>
  <c r="V68" i="12"/>
  <c r="K68" i="12"/>
  <c r="O68" i="12"/>
  <c r="S68" i="12"/>
  <c r="G68" i="12"/>
  <c r="W68" i="12"/>
  <c r="H72" i="12"/>
  <c r="L72" i="12"/>
  <c r="P72" i="12"/>
  <c r="T72" i="12"/>
  <c r="X72" i="12"/>
  <c r="I72" i="12"/>
  <c r="M72" i="12"/>
  <c r="Q72" i="12"/>
  <c r="U72" i="12"/>
  <c r="J72" i="12"/>
  <c r="N72" i="12"/>
  <c r="R72" i="12"/>
  <c r="V72" i="12"/>
  <c r="S72" i="12"/>
  <c r="G72" i="12"/>
  <c r="W72" i="12"/>
  <c r="K72" i="12"/>
  <c r="O72" i="12"/>
  <c r="H76" i="12"/>
  <c r="L76" i="12"/>
  <c r="P76" i="12"/>
  <c r="T76" i="12"/>
  <c r="X76" i="12"/>
  <c r="I76" i="12"/>
  <c r="M76" i="12"/>
  <c r="Q76" i="12"/>
  <c r="U76" i="12"/>
  <c r="J76" i="12"/>
  <c r="N76" i="12"/>
  <c r="R76" i="12"/>
  <c r="V76" i="12"/>
  <c r="K76" i="12"/>
  <c r="O76" i="12"/>
  <c r="S76" i="12"/>
  <c r="W76" i="12"/>
  <c r="G76" i="12"/>
  <c r="H80" i="12"/>
  <c r="L80" i="12"/>
  <c r="P80" i="12"/>
  <c r="T80" i="12"/>
  <c r="X80" i="12"/>
  <c r="I80" i="12"/>
  <c r="M80" i="12"/>
  <c r="Q80" i="12"/>
  <c r="U80" i="12"/>
  <c r="J80" i="12"/>
  <c r="N80" i="12"/>
  <c r="R80" i="12"/>
  <c r="V80" i="12"/>
  <c r="S80" i="12"/>
  <c r="G80" i="12"/>
  <c r="W80" i="12"/>
  <c r="K80" i="12"/>
  <c r="O80" i="12"/>
  <c r="H84" i="12"/>
  <c r="L84" i="12"/>
  <c r="P84" i="12"/>
  <c r="T84" i="12"/>
  <c r="X84" i="12"/>
  <c r="I84" i="12"/>
  <c r="M84" i="12"/>
  <c r="Q84" i="12"/>
  <c r="U84" i="12"/>
  <c r="J84" i="12"/>
  <c r="N84" i="12"/>
  <c r="R84" i="12"/>
  <c r="V84" i="12"/>
  <c r="K84" i="12"/>
  <c r="O84" i="12"/>
  <c r="S84" i="12"/>
  <c r="G84" i="12"/>
  <c r="W84" i="12"/>
  <c r="I88" i="12"/>
  <c r="M88" i="12"/>
  <c r="Q88" i="12"/>
  <c r="J88" i="12"/>
  <c r="N88" i="12"/>
  <c r="R88" i="12"/>
  <c r="V88" i="12"/>
  <c r="H88" i="12"/>
  <c r="P88" i="12"/>
  <c r="W88" i="12"/>
  <c r="K88" i="12"/>
  <c r="S88" i="12"/>
  <c r="X88" i="12"/>
  <c r="L88" i="12"/>
  <c r="T88" i="12"/>
  <c r="G88" i="12"/>
  <c r="O88" i="12"/>
  <c r="U88" i="12"/>
  <c r="G92" i="12"/>
  <c r="K92" i="12"/>
  <c r="O92" i="12"/>
  <c r="S92" i="12"/>
  <c r="W92" i="12"/>
  <c r="H92" i="12"/>
  <c r="L92" i="12"/>
  <c r="P92" i="12"/>
  <c r="T92" i="12"/>
  <c r="X92" i="12"/>
  <c r="I92" i="12"/>
  <c r="M92" i="12"/>
  <c r="Q92" i="12"/>
  <c r="U92" i="12"/>
  <c r="R92" i="12"/>
  <c r="V92" i="12"/>
  <c r="J92" i="12"/>
  <c r="N92" i="12"/>
  <c r="L20" i="13"/>
  <c r="V20" i="13"/>
  <c r="J20" i="13"/>
  <c r="R20" i="13"/>
  <c r="G20" i="13"/>
  <c r="V23" i="13"/>
  <c r="T23" i="13"/>
  <c r="O23" i="13"/>
  <c r="I23" i="13"/>
  <c r="S23" i="13"/>
  <c r="M23" i="13"/>
  <c r="H23" i="13"/>
  <c r="W23" i="13"/>
  <c r="Q23" i="13"/>
  <c r="L23" i="13"/>
  <c r="G23" i="13"/>
  <c r="G90" i="1"/>
  <c r="K86" i="1"/>
  <c r="I80" i="1"/>
  <c r="G74" i="1"/>
  <c r="K70" i="1"/>
  <c r="I64" i="1"/>
  <c r="G58" i="1"/>
  <c r="K54" i="1"/>
  <c r="I48" i="1"/>
  <c r="O45" i="1"/>
  <c r="W92" i="1"/>
  <c r="K14" i="12"/>
  <c r="Q14" i="12"/>
  <c r="W14" i="12"/>
  <c r="O28" i="12"/>
  <c r="L32" i="12"/>
  <c r="S32" i="12"/>
  <c r="M40" i="12"/>
  <c r="X40" i="12"/>
  <c r="X45" i="12"/>
  <c r="H49" i="12"/>
  <c r="L49" i="12"/>
  <c r="P49" i="12"/>
  <c r="T49" i="12"/>
  <c r="X49" i="12"/>
  <c r="I49" i="12"/>
  <c r="M49" i="12"/>
  <c r="Q49" i="12"/>
  <c r="U49" i="12"/>
  <c r="J49" i="12"/>
  <c r="N49" i="12"/>
  <c r="R49" i="12"/>
  <c r="V49" i="12"/>
  <c r="S49" i="12"/>
  <c r="G49" i="12"/>
  <c r="W49" i="12"/>
  <c r="K49" i="12"/>
  <c r="O49" i="12"/>
  <c r="H53" i="12"/>
  <c r="L53" i="12"/>
  <c r="P53" i="12"/>
  <c r="T53" i="12"/>
  <c r="X53" i="12"/>
  <c r="I53" i="12"/>
  <c r="M53" i="12"/>
  <c r="Q53" i="12"/>
  <c r="U53" i="12"/>
  <c r="J53" i="12"/>
  <c r="N53" i="12"/>
  <c r="R53" i="12"/>
  <c r="V53" i="12"/>
  <c r="K53" i="12"/>
  <c r="O53" i="12"/>
  <c r="S53" i="12"/>
  <c r="G53" i="12"/>
  <c r="W53" i="12"/>
  <c r="J57" i="12"/>
  <c r="N57" i="12"/>
  <c r="R57" i="12"/>
  <c r="V57" i="12"/>
  <c r="G57" i="12"/>
  <c r="K57" i="12"/>
  <c r="O57" i="12"/>
  <c r="S57" i="12"/>
  <c r="W57" i="12"/>
  <c r="H57" i="12"/>
  <c r="L57" i="12"/>
  <c r="P57" i="12"/>
  <c r="T57" i="12"/>
  <c r="X57" i="12"/>
  <c r="Q57" i="12"/>
  <c r="U57" i="12"/>
  <c r="I57" i="12"/>
  <c r="M57" i="12"/>
  <c r="J61" i="12"/>
  <c r="N61" i="12"/>
  <c r="R61" i="12"/>
  <c r="V61" i="12"/>
  <c r="G61" i="12"/>
  <c r="K61" i="12"/>
  <c r="O61" i="12"/>
  <c r="S61" i="12"/>
  <c r="W61" i="12"/>
  <c r="H61" i="12"/>
  <c r="L61" i="12"/>
  <c r="P61" i="12"/>
  <c r="T61" i="12"/>
  <c r="X61" i="12"/>
  <c r="I61" i="12"/>
  <c r="M61" i="12"/>
  <c r="Q61" i="12"/>
  <c r="U61" i="12"/>
  <c r="J65" i="12"/>
  <c r="N65" i="12"/>
  <c r="R65" i="12"/>
  <c r="V65" i="12"/>
  <c r="G65" i="12"/>
  <c r="K65" i="12"/>
  <c r="O65" i="12"/>
  <c r="S65" i="12"/>
  <c r="W65" i="12"/>
  <c r="H65" i="12"/>
  <c r="L65" i="12"/>
  <c r="P65" i="12"/>
  <c r="T65" i="12"/>
  <c r="X65" i="12"/>
  <c r="Q65" i="12"/>
  <c r="U65" i="12"/>
  <c r="I65" i="12"/>
  <c r="M65" i="12"/>
  <c r="J69" i="12"/>
  <c r="N69" i="12"/>
  <c r="R69" i="12"/>
  <c r="V69" i="12"/>
  <c r="G69" i="12"/>
  <c r="K69" i="12"/>
  <c r="O69" i="12"/>
  <c r="S69" i="12"/>
  <c r="W69" i="12"/>
  <c r="H69" i="12"/>
  <c r="L69" i="12"/>
  <c r="P69" i="12"/>
  <c r="T69" i="12"/>
  <c r="X69" i="12"/>
  <c r="I69" i="12"/>
  <c r="M69" i="12"/>
  <c r="Q69" i="12"/>
  <c r="U69" i="12"/>
  <c r="J73" i="12"/>
  <c r="N73" i="12"/>
  <c r="R73" i="12"/>
  <c r="V73" i="12"/>
  <c r="G73" i="12"/>
  <c r="K73" i="12"/>
  <c r="O73" i="12"/>
  <c r="S73" i="12"/>
  <c r="W73" i="12"/>
  <c r="H73" i="12"/>
  <c r="L73" i="12"/>
  <c r="P73" i="12"/>
  <c r="T73" i="12"/>
  <c r="X73" i="12"/>
  <c r="Q73" i="12"/>
  <c r="U73" i="12"/>
  <c r="I73" i="12"/>
  <c r="M73" i="12"/>
  <c r="J77" i="12"/>
  <c r="N77" i="12"/>
  <c r="R77" i="12"/>
  <c r="V77" i="12"/>
  <c r="G77" i="12"/>
  <c r="K77" i="12"/>
  <c r="O77" i="12"/>
  <c r="S77" i="12"/>
  <c r="W77" i="12"/>
  <c r="H77" i="12"/>
  <c r="L77" i="12"/>
  <c r="P77" i="12"/>
  <c r="T77" i="12"/>
  <c r="X77" i="12"/>
  <c r="I77" i="12"/>
  <c r="M77" i="12"/>
  <c r="Q77" i="12"/>
  <c r="U77" i="12"/>
  <c r="J81" i="12"/>
  <c r="N81" i="12"/>
  <c r="R81" i="12"/>
  <c r="V81" i="12"/>
  <c r="G81" i="12"/>
  <c r="K81" i="12"/>
  <c r="O81" i="12"/>
  <c r="S81" i="12"/>
  <c r="W81" i="12"/>
  <c r="H81" i="12"/>
  <c r="L81" i="12"/>
  <c r="P81" i="12"/>
  <c r="T81" i="12"/>
  <c r="X81" i="12"/>
  <c r="Q81" i="12"/>
  <c r="U81" i="12"/>
  <c r="I81" i="12"/>
  <c r="M81" i="12"/>
  <c r="J85" i="12"/>
  <c r="N85" i="12"/>
  <c r="R85" i="12"/>
  <c r="V85" i="12"/>
  <c r="G85" i="12"/>
  <c r="K85" i="12"/>
  <c r="O85" i="12"/>
  <c r="S85" i="12"/>
  <c r="W85" i="12"/>
  <c r="H85" i="12"/>
  <c r="L85" i="12"/>
  <c r="P85" i="12"/>
  <c r="T85" i="12"/>
  <c r="X85" i="12"/>
  <c r="I85" i="12"/>
  <c r="M85" i="12"/>
  <c r="Q85" i="12"/>
  <c r="U85" i="12"/>
  <c r="I89" i="12"/>
  <c r="M89" i="12"/>
  <c r="Q89" i="12"/>
  <c r="U89" i="12"/>
  <c r="J89" i="12"/>
  <c r="N89" i="12"/>
  <c r="R89" i="12"/>
  <c r="V89" i="12"/>
  <c r="G89" i="12"/>
  <c r="K89" i="12"/>
  <c r="O89" i="12"/>
  <c r="S89" i="12"/>
  <c r="W89" i="12"/>
  <c r="H89" i="12"/>
  <c r="X89" i="12"/>
  <c r="L89" i="12"/>
  <c r="P89" i="12"/>
  <c r="T89" i="12"/>
  <c r="I93" i="12"/>
  <c r="M93" i="12"/>
  <c r="Q93" i="12"/>
  <c r="U93" i="12"/>
  <c r="J93" i="12"/>
  <c r="N93" i="12"/>
  <c r="R93" i="12"/>
  <c r="V93" i="12"/>
  <c r="G93" i="12"/>
  <c r="K93" i="12"/>
  <c r="O93" i="12"/>
  <c r="S93" i="12"/>
  <c r="W93" i="12"/>
  <c r="P93" i="12"/>
  <c r="T93" i="12"/>
  <c r="H93" i="12"/>
  <c r="X93" i="12"/>
  <c r="L93" i="12"/>
  <c r="M7" i="13"/>
  <c r="U7" i="13"/>
  <c r="K9" i="13"/>
  <c r="P9" i="13"/>
  <c r="U9" i="13"/>
  <c r="M11" i="13"/>
  <c r="U11" i="13"/>
  <c r="K13" i="13"/>
  <c r="P13" i="13"/>
  <c r="U13" i="13"/>
  <c r="K15" i="13"/>
  <c r="Q15" i="13"/>
  <c r="W15" i="13"/>
  <c r="T16" i="13"/>
  <c r="M18" i="13"/>
  <c r="X18" i="13"/>
  <c r="I19" i="13"/>
  <c r="O19" i="13"/>
  <c r="U19" i="13"/>
  <c r="T35" i="13"/>
  <c r="O42" i="13"/>
  <c r="O40" i="12"/>
  <c r="J46" i="12"/>
  <c r="N46" i="12"/>
  <c r="R46" i="12"/>
  <c r="V46" i="12"/>
  <c r="G46" i="12"/>
  <c r="K46" i="12"/>
  <c r="O46" i="12"/>
  <c r="S46" i="12"/>
  <c r="W46" i="12"/>
  <c r="H46" i="12"/>
  <c r="L46" i="12"/>
  <c r="P46" i="12"/>
  <c r="T46" i="12"/>
  <c r="X46" i="12"/>
  <c r="I46" i="12"/>
  <c r="M46" i="12"/>
  <c r="Q46" i="12"/>
  <c r="U46" i="12"/>
  <c r="J50" i="12"/>
  <c r="N50" i="12"/>
  <c r="R50" i="12"/>
  <c r="V50" i="12"/>
  <c r="G50" i="12"/>
  <c r="K50" i="12"/>
  <c r="O50" i="12"/>
  <c r="S50" i="12"/>
  <c r="W50" i="12"/>
  <c r="H50" i="12"/>
  <c r="L50" i="12"/>
  <c r="P50" i="12"/>
  <c r="T50" i="12"/>
  <c r="X50" i="12"/>
  <c r="Q50" i="12"/>
  <c r="U50" i="12"/>
  <c r="I50" i="12"/>
  <c r="M50" i="12"/>
  <c r="J54" i="12"/>
  <c r="N54" i="12"/>
  <c r="R54" i="12"/>
  <c r="V54" i="12"/>
  <c r="G54" i="12"/>
  <c r="K54" i="12"/>
  <c r="O54" i="12"/>
  <c r="S54" i="12"/>
  <c r="W54" i="12"/>
  <c r="H54" i="12"/>
  <c r="L54" i="12"/>
  <c r="P54" i="12"/>
  <c r="T54" i="12"/>
  <c r="X54" i="12"/>
  <c r="I54" i="12"/>
  <c r="M54" i="12"/>
  <c r="Q54" i="12"/>
  <c r="U54" i="12"/>
  <c r="H58" i="12"/>
  <c r="L58" i="12"/>
  <c r="P58" i="12"/>
  <c r="T58" i="12"/>
  <c r="X58" i="12"/>
  <c r="I58" i="12"/>
  <c r="M58" i="12"/>
  <c r="Q58" i="12"/>
  <c r="U58" i="12"/>
  <c r="J58" i="12"/>
  <c r="N58" i="12"/>
  <c r="R58" i="12"/>
  <c r="V58" i="12"/>
  <c r="O58" i="12"/>
  <c r="S58" i="12"/>
  <c r="G58" i="12"/>
  <c r="W58" i="12"/>
  <c r="K58" i="12"/>
  <c r="H62" i="12"/>
  <c r="L62" i="12"/>
  <c r="P62" i="12"/>
  <c r="T62" i="12"/>
  <c r="X62" i="12"/>
  <c r="I62" i="12"/>
  <c r="M62" i="12"/>
  <c r="Q62" i="12"/>
  <c r="U62" i="12"/>
  <c r="J62" i="12"/>
  <c r="N62" i="12"/>
  <c r="R62" i="12"/>
  <c r="V62" i="12"/>
  <c r="G62" i="12"/>
  <c r="W62" i="12"/>
  <c r="K62" i="12"/>
  <c r="O62" i="12"/>
  <c r="S62" i="12"/>
  <c r="H66" i="12"/>
  <c r="L66" i="12"/>
  <c r="P66" i="12"/>
  <c r="T66" i="12"/>
  <c r="X66" i="12"/>
  <c r="I66" i="12"/>
  <c r="M66" i="12"/>
  <c r="Q66" i="12"/>
  <c r="U66" i="12"/>
  <c r="J66" i="12"/>
  <c r="N66" i="12"/>
  <c r="R66" i="12"/>
  <c r="V66" i="12"/>
  <c r="O66" i="12"/>
  <c r="S66" i="12"/>
  <c r="G66" i="12"/>
  <c r="W66" i="12"/>
  <c r="K66" i="12"/>
  <c r="H70" i="12"/>
  <c r="L70" i="12"/>
  <c r="P70" i="12"/>
  <c r="T70" i="12"/>
  <c r="X70" i="12"/>
  <c r="I70" i="12"/>
  <c r="M70" i="12"/>
  <c r="Q70" i="12"/>
  <c r="U70" i="12"/>
  <c r="J70" i="12"/>
  <c r="N70" i="12"/>
  <c r="R70" i="12"/>
  <c r="V70" i="12"/>
  <c r="G70" i="12"/>
  <c r="W70" i="12"/>
  <c r="K70" i="12"/>
  <c r="O70" i="12"/>
  <c r="S70" i="12"/>
  <c r="H74" i="12"/>
  <c r="L74" i="12"/>
  <c r="P74" i="12"/>
  <c r="T74" i="12"/>
  <c r="X74" i="12"/>
  <c r="I74" i="12"/>
  <c r="M74" i="12"/>
  <c r="Q74" i="12"/>
  <c r="U74" i="12"/>
  <c r="J74" i="12"/>
  <c r="N74" i="12"/>
  <c r="R74" i="12"/>
  <c r="V74" i="12"/>
  <c r="O74" i="12"/>
  <c r="S74" i="12"/>
  <c r="G74" i="12"/>
  <c r="W74" i="12"/>
  <c r="K74" i="12"/>
  <c r="H78" i="12"/>
  <c r="L78" i="12"/>
  <c r="P78" i="12"/>
  <c r="T78" i="12"/>
  <c r="X78" i="12"/>
  <c r="I78" i="12"/>
  <c r="M78" i="12"/>
  <c r="Q78" i="12"/>
  <c r="U78" i="12"/>
  <c r="J78" i="12"/>
  <c r="N78" i="12"/>
  <c r="R78" i="12"/>
  <c r="V78" i="12"/>
  <c r="G78" i="12"/>
  <c r="W78" i="12"/>
  <c r="K78" i="12"/>
  <c r="O78" i="12"/>
  <c r="S78" i="12"/>
  <c r="H82" i="12"/>
  <c r="L82" i="12"/>
  <c r="P82" i="12"/>
  <c r="T82" i="12"/>
  <c r="X82" i="12"/>
  <c r="I82" i="12"/>
  <c r="M82" i="12"/>
  <c r="Q82" i="12"/>
  <c r="U82" i="12"/>
  <c r="J82" i="12"/>
  <c r="N82" i="12"/>
  <c r="R82" i="12"/>
  <c r="V82" i="12"/>
  <c r="O82" i="12"/>
  <c r="S82" i="12"/>
  <c r="G82" i="12"/>
  <c r="W82" i="12"/>
  <c r="K82" i="12"/>
  <c r="H86" i="12"/>
  <c r="L86" i="12"/>
  <c r="P86" i="12"/>
  <c r="T86" i="12"/>
  <c r="X86" i="12"/>
  <c r="I86" i="12"/>
  <c r="M86" i="12"/>
  <c r="Q86" i="12"/>
  <c r="U86" i="12"/>
  <c r="J86" i="12"/>
  <c r="N86" i="12"/>
  <c r="R86" i="12"/>
  <c r="V86" i="12"/>
  <c r="G86" i="12"/>
  <c r="W86" i="12"/>
  <c r="K86" i="12"/>
  <c r="O86" i="12"/>
  <c r="S86" i="12"/>
  <c r="G90" i="12"/>
  <c r="K90" i="12"/>
  <c r="O90" i="12"/>
  <c r="S90" i="12"/>
  <c r="W90" i="12"/>
  <c r="H90" i="12"/>
  <c r="L90" i="12"/>
  <c r="P90" i="12"/>
  <c r="T90" i="12"/>
  <c r="X90" i="12"/>
  <c r="I90" i="12"/>
  <c r="M90" i="12"/>
  <c r="Q90" i="12"/>
  <c r="U90" i="12"/>
  <c r="V90" i="12"/>
  <c r="J90" i="12"/>
  <c r="N90" i="12"/>
  <c r="R90" i="12"/>
  <c r="G94" i="12"/>
  <c r="K94" i="12"/>
  <c r="O94" i="12"/>
  <c r="S94" i="12"/>
  <c r="W94" i="12"/>
  <c r="H94" i="12"/>
  <c r="L94" i="12"/>
  <c r="P94" i="12"/>
  <c r="T94" i="12"/>
  <c r="X94" i="12"/>
  <c r="I94" i="12"/>
  <c r="M94" i="12"/>
  <c r="Q94" i="12"/>
  <c r="U94" i="12"/>
  <c r="N94" i="12"/>
  <c r="R94" i="12"/>
  <c r="V94" i="12"/>
  <c r="J94" i="12"/>
  <c r="P18" i="13"/>
  <c r="K19" i="13"/>
  <c r="P19" i="13"/>
  <c r="W19" i="13"/>
  <c r="H80" i="11"/>
  <c r="L80" i="11"/>
  <c r="P80" i="11"/>
  <c r="T80" i="11"/>
  <c r="X80" i="11"/>
  <c r="I80" i="11"/>
  <c r="M80" i="11"/>
  <c r="Q80" i="11"/>
  <c r="U80" i="11"/>
  <c r="J80" i="11"/>
  <c r="N80" i="11"/>
  <c r="R80" i="11"/>
  <c r="V80" i="11"/>
  <c r="O80" i="11"/>
  <c r="S80" i="11"/>
  <c r="G80" i="11"/>
  <c r="W80" i="11"/>
  <c r="K80" i="11"/>
  <c r="H84" i="11"/>
  <c r="L84" i="11"/>
  <c r="P84" i="11"/>
  <c r="T84" i="11"/>
  <c r="X84" i="11"/>
  <c r="J84" i="11"/>
  <c r="N84" i="11"/>
  <c r="R84" i="11"/>
  <c r="V84" i="11"/>
  <c r="K84" i="11"/>
  <c r="S84" i="11"/>
  <c r="M84" i="11"/>
  <c r="U84" i="11"/>
  <c r="G84" i="11"/>
  <c r="O84" i="11"/>
  <c r="W84" i="11"/>
  <c r="Q84" i="11"/>
  <c r="I84" i="11"/>
  <c r="H88" i="11"/>
  <c r="L88" i="11"/>
  <c r="P88" i="11"/>
  <c r="T88" i="11"/>
  <c r="X88" i="11"/>
  <c r="J88" i="11"/>
  <c r="N88" i="11"/>
  <c r="R88" i="11"/>
  <c r="V88" i="11"/>
  <c r="K88" i="11"/>
  <c r="S88" i="11"/>
  <c r="M88" i="11"/>
  <c r="U88" i="11"/>
  <c r="G88" i="11"/>
  <c r="O88" i="11"/>
  <c r="W88" i="11"/>
  <c r="I88" i="11"/>
  <c r="Q88" i="11"/>
  <c r="H92" i="11"/>
  <c r="L92" i="11"/>
  <c r="P92" i="11"/>
  <c r="T92" i="11"/>
  <c r="X92" i="11"/>
  <c r="J92" i="11"/>
  <c r="N92" i="11"/>
  <c r="R92" i="11"/>
  <c r="V92" i="11"/>
  <c r="K92" i="11"/>
  <c r="S92" i="11"/>
  <c r="M92" i="11"/>
  <c r="U92" i="11"/>
  <c r="G92" i="11"/>
  <c r="O92" i="11"/>
  <c r="W92" i="11"/>
  <c r="I92" i="11"/>
  <c r="Q92" i="11"/>
  <c r="L10" i="12"/>
  <c r="Q10" i="12"/>
  <c r="W10" i="12"/>
  <c r="M13" i="12"/>
  <c r="U13" i="12"/>
  <c r="H14" i="12"/>
  <c r="M14" i="12"/>
  <c r="T14" i="12"/>
  <c r="J25" i="12"/>
  <c r="Q26" i="12"/>
  <c r="I28" i="12"/>
  <c r="T28" i="12"/>
  <c r="H32" i="12"/>
  <c r="O32" i="12"/>
  <c r="W32" i="12"/>
  <c r="O36" i="12"/>
  <c r="I38" i="12"/>
  <c r="H40" i="12"/>
  <c r="S40" i="12"/>
  <c r="K41" i="12"/>
  <c r="H45" i="12"/>
  <c r="H47" i="12"/>
  <c r="L47" i="12"/>
  <c r="P47" i="12"/>
  <c r="T47" i="12"/>
  <c r="X47" i="12"/>
  <c r="I47" i="12"/>
  <c r="M47" i="12"/>
  <c r="Q47" i="12"/>
  <c r="U47" i="12"/>
  <c r="J47" i="12"/>
  <c r="N47" i="12"/>
  <c r="R47" i="12"/>
  <c r="V47" i="12"/>
  <c r="G47" i="12"/>
  <c r="W47" i="12"/>
  <c r="K47" i="12"/>
  <c r="O47" i="12"/>
  <c r="S47" i="12"/>
  <c r="H51" i="12"/>
  <c r="L51" i="12"/>
  <c r="P51" i="12"/>
  <c r="T51" i="12"/>
  <c r="X51" i="12"/>
  <c r="I51" i="12"/>
  <c r="M51" i="12"/>
  <c r="Q51" i="12"/>
  <c r="U51" i="12"/>
  <c r="J51" i="12"/>
  <c r="N51" i="12"/>
  <c r="R51" i="12"/>
  <c r="V51" i="12"/>
  <c r="O51" i="12"/>
  <c r="S51" i="12"/>
  <c r="G51" i="12"/>
  <c r="W51" i="12"/>
  <c r="K51" i="12"/>
  <c r="I55" i="12"/>
  <c r="M55" i="12"/>
  <c r="Q55" i="12"/>
  <c r="U55" i="12"/>
  <c r="J55" i="12"/>
  <c r="N55" i="12"/>
  <c r="R55" i="12"/>
  <c r="V55" i="12"/>
  <c r="G55" i="12"/>
  <c r="O55" i="12"/>
  <c r="W55" i="12"/>
  <c r="H55" i="12"/>
  <c r="P55" i="12"/>
  <c r="X55" i="12"/>
  <c r="K55" i="12"/>
  <c r="S55" i="12"/>
  <c r="L55" i="12"/>
  <c r="T55" i="12"/>
  <c r="J59" i="12"/>
  <c r="N59" i="12"/>
  <c r="R59" i="12"/>
  <c r="V59" i="12"/>
  <c r="G59" i="12"/>
  <c r="K59" i="12"/>
  <c r="O59" i="12"/>
  <c r="S59" i="12"/>
  <c r="W59" i="12"/>
  <c r="H59" i="12"/>
  <c r="L59" i="12"/>
  <c r="P59" i="12"/>
  <c r="T59" i="12"/>
  <c r="X59" i="12"/>
  <c r="M59" i="12"/>
  <c r="Q59" i="12"/>
  <c r="U59" i="12"/>
  <c r="I59" i="12"/>
  <c r="J63" i="12"/>
  <c r="N63" i="12"/>
  <c r="R63" i="12"/>
  <c r="V63" i="12"/>
  <c r="G63" i="12"/>
  <c r="K63" i="12"/>
  <c r="O63" i="12"/>
  <c r="S63" i="12"/>
  <c r="W63" i="12"/>
  <c r="H63" i="12"/>
  <c r="L63" i="12"/>
  <c r="P63" i="12"/>
  <c r="T63" i="12"/>
  <c r="X63" i="12"/>
  <c r="U63" i="12"/>
  <c r="I63" i="12"/>
  <c r="M63" i="12"/>
  <c r="Q63" i="12"/>
  <c r="J67" i="12"/>
  <c r="N67" i="12"/>
  <c r="R67" i="12"/>
  <c r="V67" i="12"/>
  <c r="G67" i="12"/>
  <c r="K67" i="12"/>
  <c r="O67" i="12"/>
  <c r="S67" i="12"/>
  <c r="W67" i="12"/>
  <c r="H67" i="12"/>
  <c r="L67" i="12"/>
  <c r="P67" i="12"/>
  <c r="T67" i="12"/>
  <c r="X67" i="12"/>
  <c r="M67" i="12"/>
  <c r="Q67" i="12"/>
  <c r="U67" i="12"/>
  <c r="I67" i="12"/>
  <c r="J71" i="12"/>
  <c r="N71" i="12"/>
  <c r="R71" i="12"/>
  <c r="V71" i="12"/>
  <c r="G71" i="12"/>
  <c r="K71" i="12"/>
  <c r="O71" i="12"/>
  <c r="S71" i="12"/>
  <c r="W71" i="12"/>
  <c r="H71" i="12"/>
  <c r="L71" i="12"/>
  <c r="P71" i="12"/>
  <c r="T71" i="12"/>
  <c r="X71" i="12"/>
  <c r="U71" i="12"/>
  <c r="I71" i="12"/>
  <c r="M71" i="12"/>
  <c r="Q71" i="12"/>
  <c r="J75" i="12"/>
  <c r="N75" i="12"/>
  <c r="R75" i="12"/>
  <c r="V75" i="12"/>
  <c r="G75" i="12"/>
  <c r="K75" i="12"/>
  <c r="O75" i="12"/>
  <c r="S75" i="12"/>
  <c r="W75" i="12"/>
  <c r="H75" i="12"/>
  <c r="L75" i="12"/>
  <c r="P75" i="12"/>
  <c r="T75" i="12"/>
  <c r="X75" i="12"/>
  <c r="M75" i="12"/>
  <c r="Q75" i="12"/>
  <c r="U75" i="12"/>
  <c r="I75" i="12"/>
  <c r="J79" i="12"/>
  <c r="N79" i="12"/>
  <c r="R79" i="12"/>
  <c r="V79" i="12"/>
  <c r="G79" i="12"/>
  <c r="K79" i="12"/>
  <c r="O79" i="12"/>
  <c r="S79" i="12"/>
  <c r="W79" i="12"/>
  <c r="H79" i="12"/>
  <c r="L79" i="12"/>
  <c r="P79" i="12"/>
  <c r="T79" i="12"/>
  <c r="X79" i="12"/>
  <c r="U79" i="12"/>
  <c r="I79" i="12"/>
  <c r="M79" i="12"/>
  <c r="Q79" i="12"/>
  <c r="J83" i="12"/>
  <c r="N83" i="12"/>
  <c r="R83" i="12"/>
  <c r="V83" i="12"/>
  <c r="G83" i="12"/>
  <c r="K83" i="12"/>
  <c r="O83" i="12"/>
  <c r="S83" i="12"/>
  <c r="W83" i="12"/>
  <c r="H83" i="12"/>
  <c r="L83" i="12"/>
  <c r="P83" i="12"/>
  <c r="T83" i="12"/>
  <c r="X83" i="12"/>
  <c r="M83" i="12"/>
  <c r="Q83" i="12"/>
  <c r="U83" i="12"/>
  <c r="I83" i="12"/>
  <c r="J87" i="12"/>
  <c r="N87" i="12"/>
  <c r="G87" i="12"/>
  <c r="K87" i="12"/>
  <c r="O87" i="12"/>
  <c r="S87" i="12"/>
  <c r="W87" i="12"/>
  <c r="H87" i="12"/>
  <c r="L87" i="12"/>
  <c r="P87" i="12"/>
  <c r="T87" i="12"/>
  <c r="X87" i="12"/>
  <c r="R87" i="12"/>
  <c r="I87" i="12"/>
  <c r="U87" i="12"/>
  <c r="M87" i="12"/>
  <c r="V87" i="12"/>
  <c r="Q87" i="12"/>
  <c r="I91" i="12"/>
  <c r="M91" i="12"/>
  <c r="Q91" i="12"/>
  <c r="U91" i="12"/>
  <c r="J91" i="12"/>
  <c r="N91" i="12"/>
  <c r="R91" i="12"/>
  <c r="V91" i="12"/>
  <c r="G91" i="12"/>
  <c r="K91" i="12"/>
  <c r="O91" i="12"/>
  <c r="S91" i="12"/>
  <c r="W91" i="12"/>
  <c r="T91" i="12"/>
  <c r="H91" i="12"/>
  <c r="X91" i="12"/>
  <c r="L91" i="12"/>
  <c r="P91" i="12"/>
  <c r="I95" i="12"/>
  <c r="M95" i="12"/>
  <c r="Q95" i="12"/>
  <c r="U95" i="12"/>
  <c r="J95" i="12"/>
  <c r="N95" i="12"/>
  <c r="R95" i="12"/>
  <c r="V95" i="12"/>
  <c r="G95" i="12"/>
  <c r="K95" i="12"/>
  <c r="O95" i="12"/>
  <c r="S95" i="12"/>
  <c r="W95" i="12"/>
  <c r="L95" i="12"/>
  <c r="P95" i="12"/>
  <c r="T95" i="12"/>
  <c r="H95" i="12"/>
  <c r="X95" i="12"/>
  <c r="I7" i="13"/>
  <c r="Q7" i="13"/>
  <c r="T8" i="13"/>
  <c r="H9" i="13"/>
  <c r="M9" i="13"/>
  <c r="S9" i="13"/>
  <c r="X9" i="13"/>
  <c r="I11" i="13"/>
  <c r="Q11" i="13"/>
  <c r="T12" i="13"/>
  <c r="H13" i="13"/>
  <c r="M13" i="13"/>
  <c r="S13" i="13"/>
  <c r="X13" i="13"/>
  <c r="H15" i="13"/>
  <c r="M15" i="13"/>
  <c r="T15" i="13"/>
  <c r="H18" i="13"/>
  <c r="G19" i="13"/>
  <c r="L19" i="13"/>
  <c r="Q19" i="13"/>
  <c r="X19" i="13"/>
  <c r="M21" i="13"/>
  <c r="R22" i="13"/>
  <c r="X28" i="13"/>
  <c r="P32" i="13"/>
  <c r="I35" i="13"/>
  <c r="S37" i="13"/>
  <c r="X39" i="13"/>
  <c r="I42" i="13"/>
  <c r="N43" i="13"/>
  <c r="X43" i="13"/>
  <c r="O45" i="13"/>
  <c r="J42" i="13"/>
  <c r="R42" i="13"/>
  <c r="M43" i="13"/>
  <c r="G44" i="13"/>
  <c r="L44" i="13"/>
  <c r="Q44" i="13"/>
  <c r="W44" i="13"/>
  <c r="H45" i="13"/>
  <c r="P45" i="13"/>
  <c r="X45" i="13"/>
  <c r="P44" i="13"/>
  <c r="U44" i="13"/>
  <c r="M42" i="13"/>
  <c r="S42" i="13"/>
  <c r="H44" i="13"/>
  <c r="M44" i="13"/>
  <c r="S44" i="13"/>
  <c r="X44" i="13"/>
  <c r="K45" i="13"/>
  <c r="S45" i="13"/>
  <c r="K44" i="13"/>
  <c r="I44" i="13"/>
  <c r="O44" i="13"/>
  <c r="T44" i="13"/>
  <c r="L45" i="13"/>
  <c r="T45" i="13"/>
  <c r="O42" i="12"/>
  <c r="J43" i="12"/>
  <c r="S44" i="12"/>
  <c r="X44" i="12"/>
  <c r="K45" i="12"/>
  <c r="S45" i="12"/>
  <c r="S42" i="12"/>
  <c r="R43" i="12"/>
  <c r="L45" i="12"/>
  <c r="T45" i="12"/>
  <c r="G42" i="12"/>
  <c r="W42" i="12"/>
  <c r="K44" i="12"/>
  <c r="P44" i="12"/>
  <c r="U44" i="12"/>
  <c r="G45" i="12"/>
  <c r="O45" i="12"/>
  <c r="W45" i="12"/>
  <c r="M34" i="12"/>
  <c r="T37" i="12"/>
  <c r="L25" i="12"/>
  <c r="X25" i="12"/>
  <c r="K26" i="12"/>
  <c r="S26" i="12"/>
  <c r="K28" i="12"/>
  <c r="P28" i="12"/>
  <c r="U28" i="12"/>
  <c r="H29" i="12"/>
  <c r="G30" i="12"/>
  <c r="O30" i="12"/>
  <c r="W30" i="12"/>
  <c r="R31" i="12"/>
  <c r="G34" i="12"/>
  <c r="O34" i="12"/>
  <c r="W34" i="12"/>
  <c r="K36" i="12"/>
  <c r="P36" i="12"/>
  <c r="U36" i="12"/>
  <c r="H37" i="12"/>
  <c r="X37" i="12"/>
  <c r="K38" i="12"/>
  <c r="S38" i="12"/>
  <c r="J39" i="12"/>
  <c r="L41" i="12"/>
  <c r="T41" i="12"/>
  <c r="U30" i="12"/>
  <c r="U34" i="12"/>
  <c r="P25" i="12"/>
  <c r="M26" i="12"/>
  <c r="U26" i="12"/>
  <c r="P29" i="12"/>
  <c r="I30" i="12"/>
  <c r="Q30" i="12"/>
  <c r="T31" i="12"/>
  <c r="I34" i="12"/>
  <c r="Q34" i="12"/>
  <c r="G36" i="12"/>
  <c r="L36" i="12"/>
  <c r="Q36" i="12"/>
  <c r="W36" i="12"/>
  <c r="L37" i="12"/>
  <c r="M38" i="12"/>
  <c r="U38" i="12"/>
  <c r="K40" i="12"/>
  <c r="P40" i="12"/>
  <c r="U40" i="12"/>
  <c r="G41" i="12"/>
  <c r="O41" i="12"/>
  <c r="W41" i="12"/>
  <c r="M30" i="12"/>
  <c r="K24" i="12"/>
  <c r="P24" i="12"/>
  <c r="U24" i="12"/>
  <c r="H25" i="12"/>
  <c r="G26" i="12"/>
  <c r="O26" i="12"/>
  <c r="W26" i="12"/>
  <c r="H28" i="12"/>
  <c r="M28" i="12"/>
  <c r="S28" i="12"/>
  <c r="X28" i="12"/>
  <c r="X29" i="12"/>
  <c r="K30" i="12"/>
  <c r="S30" i="12"/>
  <c r="K32" i="12"/>
  <c r="P32" i="12"/>
  <c r="U32" i="12"/>
  <c r="K34" i="12"/>
  <c r="S34" i="12"/>
  <c r="H36" i="12"/>
  <c r="M36" i="12"/>
  <c r="S36" i="12"/>
  <c r="X36" i="12"/>
  <c r="P37" i="12"/>
  <c r="G38" i="12"/>
  <c r="O38" i="12"/>
  <c r="W38" i="12"/>
  <c r="G40" i="12"/>
  <c r="L40" i="12"/>
  <c r="Q40" i="12"/>
  <c r="W40" i="12"/>
  <c r="H41" i="12"/>
  <c r="P41" i="12"/>
  <c r="X41" i="12"/>
  <c r="K44" i="11"/>
  <c r="P44" i="11"/>
  <c r="U44" i="11"/>
  <c r="G44" i="11"/>
  <c r="L44" i="11"/>
  <c r="Q44" i="11"/>
  <c r="W44" i="11"/>
  <c r="W42" i="11"/>
  <c r="Q43" i="11"/>
  <c r="H44" i="11"/>
  <c r="M44" i="11"/>
  <c r="S44" i="11"/>
  <c r="X44" i="11"/>
  <c r="R43" i="11"/>
  <c r="I44" i="11"/>
  <c r="O44" i="11"/>
  <c r="T44" i="11"/>
  <c r="L45" i="11"/>
  <c r="T45" i="11"/>
  <c r="T29" i="11"/>
  <c r="K24" i="11"/>
  <c r="P24" i="11"/>
  <c r="U24" i="11"/>
  <c r="G25" i="11"/>
  <c r="O25" i="11"/>
  <c r="W25" i="11"/>
  <c r="I27" i="11"/>
  <c r="K28" i="11"/>
  <c r="P28" i="11"/>
  <c r="U28" i="11"/>
  <c r="G29" i="11"/>
  <c r="O29" i="11"/>
  <c r="W29" i="11"/>
  <c r="G32" i="11"/>
  <c r="L32" i="11"/>
  <c r="Q32" i="11"/>
  <c r="W32" i="11"/>
  <c r="N35" i="11"/>
  <c r="S38" i="11"/>
  <c r="K40" i="11"/>
  <c r="P40" i="11"/>
  <c r="U40" i="11"/>
  <c r="L29" i="11"/>
  <c r="G24" i="11"/>
  <c r="L24" i="11"/>
  <c r="Q24" i="11"/>
  <c r="W24" i="11"/>
  <c r="H25" i="11"/>
  <c r="P25" i="11"/>
  <c r="X25" i="11"/>
  <c r="J27" i="11"/>
  <c r="G28" i="11"/>
  <c r="L28" i="11"/>
  <c r="Q28" i="11"/>
  <c r="W28" i="11"/>
  <c r="H29" i="11"/>
  <c r="P29" i="11"/>
  <c r="X29" i="11"/>
  <c r="O30" i="11"/>
  <c r="J31" i="11"/>
  <c r="H32" i="11"/>
  <c r="M32" i="11"/>
  <c r="S32" i="11"/>
  <c r="X32" i="11"/>
  <c r="K33" i="11"/>
  <c r="S33" i="11"/>
  <c r="S34" i="11"/>
  <c r="I36" i="11"/>
  <c r="O36" i="11"/>
  <c r="T36" i="11"/>
  <c r="L37" i="11"/>
  <c r="T37" i="11"/>
  <c r="G38" i="11"/>
  <c r="W38" i="11"/>
  <c r="G40" i="11"/>
  <c r="L40" i="11"/>
  <c r="Q40" i="11"/>
  <c r="W40" i="11"/>
  <c r="L25" i="11"/>
  <c r="T25" i="11"/>
  <c r="R27" i="11"/>
  <c r="K32" i="11"/>
  <c r="P32" i="11"/>
  <c r="U32" i="11"/>
  <c r="H24" i="11"/>
  <c r="M24" i="11"/>
  <c r="S24" i="11"/>
  <c r="X24" i="11"/>
  <c r="K25" i="11"/>
  <c r="S25" i="11"/>
  <c r="Q27" i="11"/>
  <c r="H28" i="11"/>
  <c r="M28" i="11"/>
  <c r="S28" i="11"/>
  <c r="X28" i="11"/>
  <c r="K29" i="11"/>
  <c r="S29" i="11"/>
  <c r="S30" i="11"/>
  <c r="N31" i="11"/>
  <c r="I32" i="11"/>
  <c r="O32" i="11"/>
  <c r="T32" i="11"/>
  <c r="L33" i="11"/>
  <c r="T33" i="11"/>
  <c r="K36" i="11"/>
  <c r="P36" i="11"/>
  <c r="U36" i="11"/>
  <c r="K38" i="11"/>
  <c r="H40" i="11"/>
  <c r="M40" i="11"/>
  <c r="S40" i="11"/>
  <c r="X40" i="11"/>
  <c r="J42" i="10"/>
  <c r="I43" i="10"/>
  <c r="O43" i="10"/>
  <c r="T43" i="10"/>
  <c r="L44" i="10"/>
  <c r="T44" i="10"/>
  <c r="G45" i="10"/>
  <c r="W45" i="10"/>
  <c r="K43" i="10"/>
  <c r="P43" i="10"/>
  <c r="U43" i="10"/>
  <c r="K45" i="10"/>
  <c r="S45" i="10"/>
  <c r="G43" i="10"/>
  <c r="L43" i="10"/>
  <c r="Q43" i="10"/>
  <c r="W43" i="10"/>
  <c r="O45" i="10"/>
  <c r="L33" i="10"/>
  <c r="T33" i="10"/>
  <c r="H24" i="10"/>
  <c r="M24" i="10"/>
  <c r="S24" i="10"/>
  <c r="X24" i="10"/>
  <c r="J26" i="10"/>
  <c r="U26" i="10"/>
  <c r="J27" i="10"/>
  <c r="U27" i="10"/>
  <c r="H28" i="10"/>
  <c r="M28" i="10"/>
  <c r="S28" i="10"/>
  <c r="X28" i="10"/>
  <c r="H32" i="10"/>
  <c r="M32" i="10"/>
  <c r="T32" i="10"/>
  <c r="G33" i="10"/>
  <c r="O33" i="10"/>
  <c r="W33" i="10"/>
  <c r="I35" i="10"/>
  <c r="L36" i="10"/>
  <c r="T36" i="10"/>
  <c r="G37" i="10"/>
  <c r="O37" i="10"/>
  <c r="I24" i="10"/>
  <c r="O24" i="10"/>
  <c r="T24" i="10"/>
  <c r="M26" i="10"/>
  <c r="W26" i="10"/>
  <c r="M27" i="10"/>
  <c r="X27" i="10"/>
  <c r="I28" i="10"/>
  <c r="O28" i="10"/>
  <c r="T28" i="10"/>
  <c r="L29" i="10"/>
  <c r="T29" i="10"/>
  <c r="U31" i="10"/>
  <c r="I32" i="10"/>
  <c r="O32" i="10"/>
  <c r="U32" i="10"/>
  <c r="H33" i="10"/>
  <c r="P33" i="10"/>
  <c r="X33" i="10"/>
  <c r="M35" i="10"/>
  <c r="G36" i="10"/>
  <c r="M36" i="10"/>
  <c r="U36" i="10"/>
  <c r="H37" i="10"/>
  <c r="U35" i="10"/>
  <c r="L37" i="10"/>
  <c r="K24" i="10"/>
  <c r="P24" i="10"/>
  <c r="U24" i="10"/>
  <c r="O26" i="10"/>
  <c r="P27" i="10"/>
  <c r="K28" i="10"/>
  <c r="P28" i="10"/>
  <c r="U28" i="10"/>
  <c r="K32" i="10"/>
  <c r="P32" i="10"/>
  <c r="X32" i="10"/>
  <c r="K33" i="10"/>
  <c r="S33" i="10"/>
  <c r="Q35" i="10"/>
  <c r="H36" i="10"/>
  <c r="P36" i="10"/>
  <c r="X36" i="10"/>
  <c r="K37" i="10"/>
  <c r="H42" i="9"/>
  <c r="O42" i="9"/>
  <c r="W42" i="9"/>
  <c r="I43" i="9"/>
  <c r="O43" i="9"/>
  <c r="W43" i="9"/>
  <c r="J44" i="9"/>
  <c r="R44" i="9"/>
  <c r="K45" i="9"/>
  <c r="P45" i="9"/>
  <c r="U45" i="9"/>
  <c r="M44" i="9"/>
  <c r="T44" i="9"/>
  <c r="L42" i="9"/>
  <c r="M43" i="9"/>
  <c r="H44" i="9"/>
  <c r="N44" i="9"/>
  <c r="R37" i="9"/>
  <c r="L24" i="9"/>
  <c r="K27" i="9"/>
  <c r="P27" i="9"/>
  <c r="U27" i="9"/>
  <c r="P28" i="9"/>
  <c r="G31" i="9"/>
  <c r="L31" i="9"/>
  <c r="Q31" i="9"/>
  <c r="W31" i="9"/>
  <c r="K32" i="9"/>
  <c r="G33" i="9"/>
  <c r="V34" i="9"/>
  <c r="I35" i="9"/>
  <c r="O35" i="9"/>
  <c r="T35" i="9"/>
  <c r="L36" i="9"/>
  <c r="T36" i="9"/>
  <c r="G37" i="9"/>
  <c r="W37" i="9"/>
  <c r="M38" i="9"/>
  <c r="K39" i="9"/>
  <c r="P39" i="9"/>
  <c r="U39" i="9"/>
  <c r="I40" i="9"/>
  <c r="P40" i="9"/>
  <c r="X40" i="9"/>
  <c r="I41" i="9"/>
  <c r="O41" i="9"/>
  <c r="T41" i="9"/>
  <c r="V33" i="9"/>
  <c r="H31" i="9"/>
  <c r="M31" i="9"/>
  <c r="S31" i="9"/>
  <c r="X31" i="9"/>
  <c r="K33" i="9"/>
  <c r="K35" i="9"/>
  <c r="P35" i="9"/>
  <c r="U35" i="9"/>
  <c r="J37" i="9"/>
  <c r="Q38" i="9"/>
  <c r="J40" i="9"/>
  <c r="R40" i="9"/>
  <c r="K41" i="9"/>
  <c r="P41" i="9"/>
  <c r="U41" i="9"/>
  <c r="K31" i="9"/>
  <c r="P31" i="9"/>
  <c r="U31" i="9"/>
  <c r="I31" i="9"/>
  <c r="O31" i="9"/>
  <c r="T31" i="9"/>
  <c r="V32" i="9"/>
  <c r="R33" i="9"/>
  <c r="L34" i="9"/>
  <c r="G35" i="9"/>
  <c r="L35" i="9"/>
  <c r="Q35" i="9"/>
  <c r="W35" i="9"/>
  <c r="O37" i="9"/>
  <c r="I38" i="9"/>
  <c r="M40" i="9"/>
  <c r="G41" i="9"/>
  <c r="L41" i="9"/>
  <c r="Q41" i="9"/>
  <c r="W41" i="9"/>
  <c r="L45" i="8"/>
  <c r="T45" i="8"/>
  <c r="S42" i="8"/>
  <c r="G42" i="8"/>
  <c r="W42" i="8"/>
  <c r="K44" i="8"/>
  <c r="P44" i="8"/>
  <c r="U44" i="8"/>
  <c r="G45" i="8"/>
  <c r="O45" i="8"/>
  <c r="W45" i="8"/>
  <c r="K42" i="8"/>
  <c r="G44" i="8"/>
  <c r="L44" i="8"/>
  <c r="Q44" i="8"/>
  <c r="W44" i="8"/>
  <c r="H45" i="8"/>
  <c r="P45" i="8"/>
  <c r="X45" i="8"/>
  <c r="M30" i="8"/>
  <c r="U30" i="8"/>
  <c r="I24" i="8"/>
  <c r="O24" i="8"/>
  <c r="T24" i="8"/>
  <c r="T25" i="8"/>
  <c r="K26" i="8"/>
  <c r="S26" i="8"/>
  <c r="J27" i="8"/>
  <c r="P29" i="8"/>
  <c r="G30" i="8"/>
  <c r="O30" i="8"/>
  <c r="W30" i="8"/>
  <c r="G34" i="8"/>
  <c r="O34" i="8"/>
  <c r="W34" i="8"/>
  <c r="K36" i="8"/>
  <c r="P36" i="8"/>
  <c r="U36" i="8"/>
  <c r="H37" i="8"/>
  <c r="X37" i="8"/>
  <c r="K40" i="8"/>
  <c r="P40" i="8"/>
  <c r="U40" i="8"/>
  <c r="G41" i="8"/>
  <c r="O41" i="8"/>
  <c r="W41" i="8"/>
  <c r="M34" i="8"/>
  <c r="T37" i="8"/>
  <c r="L41" i="8"/>
  <c r="K24" i="8"/>
  <c r="P24" i="8"/>
  <c r="U24" i="8"/>
  <c r="M26" i="8"/>
  <c r="U26" i="8"/>
  <c r="N27" i="8"/>
  <c r="T29" i="8"/>
  <c r="I30" i="8"/>
  <c r="Q30" i="8"/>
  <c r="T33" i="8"/>
  <c r="I34" i="8"/>
  <c r="Q34" i="8"/>
  <c r="G36" i="8"/>
  <c r="L36" i="8"/>
  <c r="Q36" i="8"/>
  <c r="W36" i="8"/>
  <c r="L37" i="8"/>
  <c r="M38" i="8"/>
  <c r="U38" i="8"/>
  <c r="G40" i="8"/>
  <c r="L40" i="8"/>
  <c r="Q40" i="8"/>
  <c r="W40" i="8"/>
  <c r="H41" i="8"/>
  <c r="P41" i="8"/>
  <c r="X41" i="8"/>
  <c r="U34" i="8"/>
  <c r="T41" i="8"/>
  <c r="G24" i="8"/>
  <c r="L24" i="8"/>
  <c r="Q24" i="8"/>
  <c r="W24" i="8"/>
  <c r="G26" i="8"/>
  <c r="O26" i="8"/>
  <c r="W26" i="8"/>
  <c r="K28" i="8"/>
  <c r="P28" i="8"/>
  <c r="U28" i="8"/>
  <c r="H29" i="8"/>
  <c r="X29" i="8"/>
  <c r="K30" i="8"/>
  <c r="S30" i="8"/>
  <c r="K32" i="8"/>
  <c r="P32" i="8"/>
  <c r="U32" i="8"/>
  <c r="H33" i="8"/>
  <c r="X33" i="8"/>
  <c r="K34" i="8"/>
  <c r="S34" i="8"/>
  <c r="J35" i="8"/>
  <c r="H36" i="8"/>
  <c r="M36" i="8"/>
  <c r="S36" i="8"/>
  <c r="X36" i="8"/>
  <c r="P37" i="8"/>
  <c r="G38" i="8"/>
  <c r="O38" i="8"/>
  <c r="W38" i="8"/>
  <c r="H40" i="8"/>
  <c r="M40" i="8"/>
  <c r="S40" i="8"/>
  <c r="X40" i="8"/>
  <c r="K41" i="8"/>
  <c r="S41" i="8"/>
  <c r="R43" i="7"/>
  <c r="L45" i="7"/>
  <c r="T45" i="7"/>
  <c r="G42" i="7"/>
  <c r="I43" i="7"/>
  <c r="K44" i="7"/>
  <c r="P44" i="7"/>
  <c r="U44" i="7"/>
  <c r="G45" i="7"/>
  <c r="O45" i="7"/>
  <c r="W45" i="7"/>
  <c r="O42" i="7"/>
  <c r="J43" i="7"/>
  <c r="H45" i="7"/>
  <c r="P45" i="7"/>
  <c r="X45" i="7"/>
  <c r="R25" i="7"/>
  <c r="T27" i="7"/>
  <c r="K38" i="7"/>
  <c r="G24" i="7"/>
  <c r="I25" i="7"/>
  <c r="K26" i="7"/>
  <c r="P26" i="7"/>
  <c r="U26" i="7"/>
  <c r="G27" i="7"/>
  <c r="O27" i="7"/>
  <c r="W27" i="7"/>
  <c r="K28" i="7"/>
  <c r="G30" i="7"/>
  <c r="L30" i="7"/>
  <c r="Q30" i="7"/>
  <c r="W30" i="7"/>
  <c r="H31" i="7"/>
  <c r="P31" i="7"/>
  <c r="X31" i="7"/>
  <c r="N33" i="7"/>
  <c r="H34" i="7"/>
  <c r="M34" i="7"/>
  <c r="S34" i="7"/>
  <c r="X34" i="7"/>
  <c r="S36" i="7"/>
  <c r="G38" i="7"/>
  <c r="L38" i="7"/>
  <c r="Q38" i="7"/>
  <c r="W38" i="7"/>
  <c r="K40" i="7"/>
  <c r="P40" i="7"/>
  <c r="U40" i="7"/>
  <c r="G41" i="7"/>
  <c r="S41" i="7"/>
  <c r="L27" i="7"/>
  <c r="K30" i="7"/>
  <c r="O24" i="7"/>
  <c r="J25" i="7"/>
  <c r="G26" i="7"/>
  <c r="L26" i="7"/>
  <c r="Q26" i="7"/>
  <c r="W26" i="7"/>
  <c r="H27" i="7"/>
  <c r="P27" i="7"/>
  <c r="X27" i="7"/>
  <c r="O28" i="7"/>
  <c r="J29" i="7"/>
  <c r="H30" i="7"/>
  <c r="M30" i="7"/>
  <c r="S30" i="7"/>
  <c r="X30" i="7"/>
  <c r="K31" i="7"/>
  <c r="S31" i="7"/>
  <c r="S32" i="7"/>
  <c r="I34" i="7"/>
  <c r="O34" i="7"/>
  <c r="T34" i="7"/>
  <c r="L35" i="7"/>
  <c r="T35" i="7"/>
  <c r="G36" i="7"/>
  <c r="W36" i="7"/>
  <c r="H38" i="7"/>
  <c r="M38" i="7"/>
  <c r="S38" i="7"/>
  <c r="X38" i="7"/>
  <c r="K39" i="7"/>
  <c r="S39" i="7"/>
  <c r="G40" i="7"/>
  <c r="L40" i="7"/>
  <c r="Q40" i="7"/>
  <c r="W40" i="7"/>
  <c r="H41" i="7"/>
  <c r="T41" i="7"/>
  <c r="P30" i="7"/>
  <c r="U30" i="7"/>
  <c r="P38" i="7"/>
  <c r="U38" i="7"/>
  <c r="N41" i="7"/>
  <c r="W24" i="7"/>
  <c r="Q25" i="7"/>
  <c r="K27" i="7"/>
  <c r="S27" i="7"/>
  <c r="S28" i="7"/>
  <c r="I30" i="7"/>
  <c r="O30" i="7"/>
  <c r="T30" i="7"/>
  <c r="L31" i="7"/>
  <c r="T31" i="7"/>
  <c r="K34" i="7"/>
  <c r="P34" i="7"/>
  <c r="U34" i="7"/>
  <c r="K36" i="7"/>
  <c r="I38" i="7"/>
  <c r="O38" i="7"/>
  <c r="T38" i="7"/>
  <c r="L39" i="7"/>
  <c r="T39" i="7"/>
  <c r="H40" i="7"/>
  <c r="M40" i="7"/>
  <c r="S40" i="7"/>
  <c r="X40" i="7"/>
  <c r="L41" i="7"/>
  <c r="I79" i="6"/>
  <c r="M79" i="6"/>
  <c r="Q79" i="6"/>
  <c r="U79" i="6"/>
  <c r="J79" i="6"/>
  <c r="N79" i="6"/>
  <c r="R79" i="6"/>
  <c r="V79" i="6"/>
  <c r="H79" i="6"/>
  <c r="P79" i="6"/>
  <c r="X79" i="6"/>
  <c r="G79" i="6"/>
  <c r="K79" i="6"/>
  <c r="O79" i="6"/>
  <c r="S79" i="6"/>
  <c r="W79" i="6"/>
  <c r="L79" i="6"/>
  <c r="T79" i="6"/>
  <c r="I91" i="6"/>
  <c r="M91" i="6"/>
  <c r="Q91" i="6"/>
  <c r="U91" i="6"/>
  <c r="J91" i="6"/>
  <c r="N91" i="6"/>
  <c r="R91" i="6"/>
  <c r="V91" i="6"/>
  <c r="G91" i="6"/>
  <c r="K91" i="6"/>
  <c r="O91" i="6"/>
  <c r="S91" i="6"/>
  <c r="W91" i="6"/>
  <c r="P91" i="6"/>
  <c r="L91" i="6"/>
  <c r="T87" i="6"/>
  <c r="I95" i="6"/>
  <c r="M95" i="6"/>
  <c r="Q95" i="6"/>
  <c r="U95" i="6"/>
  <c r="J95" i="6"/>
  <c r="N95" i="6"/>
  <c r="R95" i="6"/>
  <c r="V95" i="6"/>
  <c r="G95" i="6"/>
  <c r="K95" i="6"/>
  <c r="O95" i="6"/>
  <c r="S95" i="6"/>
  <c r="W95" i="6"/>
  <c r="X95" i="6"/>
  <c r="H95" i="6"/>
  <c r="X87" i="6"/>
  <c r="H87" i="6"/>
  <c r="P95" i="6"/>
  <c r="X91" i="6"/>
  <c r="H91" i="6"/>
  <c r="I83" i="6"/>
  <c r="M83" i="6"/>
  <c r="Q83" i="6"/>
  <c r="U83" i="6"/>
  <c r="H83" i="6"/>
  <c r="J83" i="6"/>
  <c r="N83" i="6"/>
  <c r="R83" i="6"/>
  <c r="V83" i="6"/>
  <c r="T83" i="6"/>
  <c r="G83" i="6"/>
  <c r="K83" i="6"/>
  <c r="O83" i="6"/>
  <c r="S83" i="6"/>
  <c r="W83" i="6"/>
  <c r="L83" i="6"/>
  <c r="P83" i="6"/>
  <c r="I87" i="6"/>
  <c r="M87" i="6"/>
  <c r="Q87" i="6"/>
  <c r="U87" i="6"/>
  <c r="J87" i="6"/>
  <c r="N87" i="6"/>
  <c r="R87" i="6"/>
  <c r="V87" i="6"/>
  <c r="G87" i="6"/>
  <c r="K87" i="6"/>
  <c r="O87" i="6"/>
  <c r="S87" i="6"/>
  <c r="W87" i="6"/>
  <c r="L95" i="6"/>
  <c r="T91" i="6"/>
  <c r="L87" i="6"/>
  <c r="U94" i="6"/>
  <c r="Q94" i="6"/>
  <c r="M94" i="6"/>
  <c r="I94" i="6"/>
  <c r="W93" i="6"/>
  <c r="S93" i="6"/>
  <c r="O93" i="6"/>
  <c r="K93" i="6"/>
  <c r="G93" i="6"/>
  <c r="U92" i="6"/>
  <c r="Q92" i="6"/>
  <c r="M92" i="6"/>
  <c r="I92" i="6"/>
  <c r="U90" i="6"/>
  <c r="Q90" i="6"/>
  <c r="M90" i="6"/>
  <c r="I90" i="6"/>
  <c r="W89" i="6"/>
  <c r="S89" i="6"/>
  <c r="O89" i="6"/>
  <c r="K89" i="6"/>
  <c r="G89" i="6"/>
  <c r="U88" i="6"/>
  <c r="Q88" i="6"/>
  <c r="M88" i="6"/>
  <c r="I88" i="6"/>
  <c r="U86" i="6"/>
  <c r="Q86" i="6"/>
  <c r="M86" i="6"/>
  <c r="I86" i="6"/>
  <c r="W85" i="6"/>
  <c r="S85" i="6"/>
  <c r="O85" i="6"/>
  <c r="K85" i="6"/>
  <c r="G85" i="6"/>
  <c r="U84" i="6"/>
  <c r="Q84" i="6"/>
  <c r="M84" i="6"/>
  <c r="I84" i="6"/>
  <c r="U82" i="6"/>
  <c r="Q82" i="6"/>
  <c r="M82" i="6"/>
  <c r="I82" i="6"/>
  <c r="W81" i="6"/>
  <c r="S81" i="6"/>
  <c r="O81" i="6"/>
  <c r="K81" i="6"/>
  <c r="G81" i="6"/>
  <c r="U80" i="6"/>
  <c r="Q80" i="6"/>
  <c r="M80" i="6"/>
  <c r="I80" i="6"/>
  <c r="U78" i="6"/>
  <c r="Q78" i="6"/>
  <c r="M78" i="6"/>
  <c r="I78" i="6"/>
  <c r="X94" i="6"/>
  <c r="T94" i="6"/>
  <c r="P94" i="6"/>
  <c r="L94" i="6"/>
  <c r="H94" i="6"/>
  <c r="V93" i="6"/>
  <c r="R93" i="6"/>
  <c r="N93" i="6"/>
  <c r="J93" i="6"/>
  <c r="X92" i="6"/>
  <c r="T92" i="6"/>
  <c r="P92" i="6"/>
  <c r="L92" i="6"/>
  <c r="H92" i="6"/>
  <c r="X90" i="6"/>
  <c r="T90" i="6"/>
  <c r="P90" i="6"/>
  <c r="L90" i="6"/>
  <c r="H90" i="6"/>
  <c r="V89" i="6"/>
  <c r="R89" i="6"/>
  <c r="N89" i="6"/>
  <c r="J89" i="6"/>
  <c r="X88" i="6"/>
  <c r="T88" i="6"/>
  <c r="P88" i="6"/>
  <c r="L88" i="6"/>
  <c r="H88" i="6"/>
  <c r="X86" i="6"/>
  <c r="T86" i="6"/>
  <c r="P86" i="6"/>
  <c r="L86" i="6"/>
  <c r="H86" i="6"/>
  <c r="V85" i="6"/>
  <c r="R85" i="6"/>
  <c r="N85" i="6"/>
  <c r="J85" i="6"/>
  <c r="X84" i="6"/>
  <c r="T84" i="6"/>
  <c r="P84" i="6"/>
  <c r="L84" i="6"/>
  <c r="H84" i="6"/>
  <c r="X82" i="6"/>
  <c r="T82" i="6"/>
  <c r="P82" i="6"/>
  <c r="L82" i="6"/>
  <c r="H82" i="6"/>
  <c r="V81" i="6"/>
  <c r="R81" i="6"/>
  <c r="N81" i="6"/>
  <c r="J81" i="6"/>
  <c r="X80" i="6"/>
  <c r="T80" i="6"/>
  <c r="P80" i="6"/>
  <c r="L80" i="6"/>
  <c r="H80" i="6"/>
  <c r="X78" i="6"/>
  <c r="T78" i="6"/>
  <c r="P78" i="6"/>
  <c r="L78" i="6"/>
  <c r="H78" i="6"/>
  <c r="W94" i="6"/>
  <c r="S94" i="6"/>
  <c r="O94" i="6"/>
  <c r="K94" i="6"/>
  <c r="U93" i="6"/>
  <c r="Q93" i="6"/>
  <c r="M93" i="6"/>
  <c r="W92" i="6"/>
  <c r="S92" i="6"/>
  <c r="O92" i="6"/>
  <c r="K92" i="6"/>
  <c r="W90" i="6"/>
  <c r="S90" i="6"/>
  <c r="O90" i="6"/>
  <c r="K90" i="6"/>
  <c r="U89" i="6"/>
  <c r="Q89" i="6"/>
  <c r="M89" i="6"/>
  <c r="W88" i="6"/>
  <c r="S88" i="6"/>
  <c r="O88" i="6"/>
  <c r="K88" i="6"/>
  <c r="W86" i="6"/>
  <c r="S86" i="6"/>
  <c r="O86" i="6"/>
  <c r="K86" i="6"/>
  <c r="U85" i="6"/>
  <c r="Q85" i="6"/>
  <c r="M85" i="6"/>
  <c r="W84" i="6"/>
  <c r="S84" i="6"/>
  <c r="O84" i="6"/>
  <c r="K84" i="6"/>
  <c r="W82" i="6"/>
  <c r="S82" i="6"/>
  <c r="O82" i="6"/>
  <c r="K82" i="6"/>
  <c r="U81" i="6"/>
  <c r="Q81" i="6"/>
  <c r="M81" i="6"/>
  <c r="W80" i="6"/>
  <c r="S80" i="6"/>
  <c r="O80" i="6"/>
  <c r="K80" i="6"/>
  <c r="W78" i="6"/>
  <c r="S78" i="6"/>
  <c r="O78" i="6"/>
  <c r="K78" i="6"/>
  <c r="H70" i="6"/>
  <c r="L70" i="6"/>
  <c r="P70" i="6"/>
  <c r="T70" i="6"/>
  <c r="X70" i="6"/>
  <c r="I70" i="6"/>
  <c r="M70" i="6"/>
  <c r="Q70" i="6"/>
  <c r="U70" i="6"/>
  <c r="J70" i="6"/>
  <c r="N70" i="6"/>
  <c r="R70" i="6"/>
  <c r="V70" i="6"/>
  <c r="O74" i="6"/>
  <c r="W70" i="6"/>
  <c r="O66" i="6"/>
  <c r="K74" i="6"/>
  <c r="S70" i="6"/>
  <c r="H62" i="6"/>
  <c r="L62" i="6"/>
  <c r="P62" i="6"/>
  <c r="T62" i="6"/>
  <c r="X62" i="6"/>
  <c r="I62" i="6"/>
  <c r="M62" i="6"/>
  <c r="Q62" i="6"/>
  <c r="U62" i="6"/>
  <c r="O62" i="6"/>
  <c r="J62" i="6"/>
  <c r="N62" i="6"/>
  <c r="R62" i="6"/>
  <c r="V62" i="6"/>
  <c r="G62" i="6"/>
  <c r="K62" i="6"/>
  <c r="S62" i="6"/>
  <c r="W62" i="6"/>
  <c r="H66" i="6"/>
  <c r="L66" i="6"/>
  <c r="P66" i="6"/>
  <c r="T66" i="6"/>
  <c r="X66" i="6"/>
  <c r="I66" i="6"/>
  <c r="M66" i="6"/>
  <c r="Q66" i="6"/>
  <c r="U66" i="6"/>
  <c r="J66" i="6"/>
  <c r="N66" i="6"/>
  <c r="R66" i="6"/>
  <c r="V66" i="6"/>
  <c r="G70" i="6"/>
  <c r="W74" i="6"/>
  <c r="O70" i="6"/>
  <c r="W66" i="6"/>
  <c r="G66" i="6"/>
  <c r="H74" i="6"/>
  <c r="L74" i="6"/>
  <c r="P74" i="6"/>
  <c r="T74" i="6"/>
  <c r="X74" i="6"/>
  <c r="I74" i="6"/>
  <c r="M74" i="6"/>
  <c r="Q74" i="6"/>
  <c r="U74" i="6"/>
  <c r="J74" i="6"/>
  <c r="N74" i="6"/>
  <c r="R74" i="6"/>
  <c r="V74" i="6"/>
  <c r="S74" i="6"/>
  <c r="K70" i="6"/>
  <c r="S66" i="6"/>
  <c r="X77" i="6"/>
  <c r="T77" i="6"/>
  <c r="P77" i="6"/>
  <c r="L77" i="6"/>
  <c r="H77" i="6"/>
  <c r="V76" i="6"/>
  <c r="R76" i="6"/>
  <c r="N76" i="6"/>
  <c r="J76" i="6"/>
  <c r="X75" i="6"/>
  <c r="T75" i="6"/>
  <c r="P75" i="6"/>
  <c r="L75" i="6"/>
  <c r="H75" i="6"/>
  <c r="X73" i="6"/>
  <c r="T73" i="6"/>
  <c r="P73" i="6"/>
  <c r="L73" i="6"/>
  <c r="H73" i="6"/>
  <c r="V72" i="6"/>
  <c r="R72" i="6"/>
  <c r="N72" i="6"/>
  <c r="J72" i="6"/>
  <c r="X71" i="6"/>
  <c r="T71" i="6"/>
  <c r="P71" i="6"/>
  <c r="L71" i="6"/>
  <c r="H71" i="6"/>
  <c r="X69" i="6"/>
  <c r="T69" i="6"/>
  <c r="P69" i="6"/>
  <c r="L69" i="6"/>
  <c r="H69" i="6"/>
  <c r="V68" i="6"/>
  <c r="R68" i="6"/>
  <c r="N68" i="6"/>
  <c r="J68" i="6"/>
  <c r="X67" i="6"/>
  <c r="T67" i="6"/>
  <c r="P67" i="6"/>
  <c r="L67" i="6"/>
  <c r="H67" i="6"/>
  <c r="X65" i="6"/>
  <c r="T65" i="6"/>
  <c r="P65" i="6"/>
  <c r="L65" i="6"/>
  <c r="H65" i="6"/>
  <c r="V64" i="6"/>
  <c r="R64" i="6"/>
  <c r="N64" i="6"/>
  <c r="J64" i="6"/>
  <c r="X63" i="6"/>
  <c r="T63" i="6"/>
  <c r="P63" i="6"/>
  <c r="L63" i="6"/>
  <c r="H63" i="6"/>
  <c r="X61" i="6"/>
  <c r="T61" i="6"/>
  <c r="P61" i="6"/>
  <c r="L61" i="6"/>
  <c r="H61" i="6"/>
  <c r="V60" i="6"/>
  <c r="R60" i="6"/>
  <c r="N60" i="6"/>
  <c r="J60" i="6"/>
  <c r="W77" i="6"/>
  <c r="S77" i="6"/>
  <c r="O77" i="6"/>
  <c r="K77" i="6"/>
  <c r="G77" i="6"/>
  <c r="U76" i="6"/>
  <c r="Q76" i="6"/>
  <c r="M76" i="6"/>
  <c r="I76" i="6"/>
  <c r="W75" i="6"/>
  <c r="S75" i="6"/>
  <c r="O75" i="6"/>
  <c r="K75" i="6"/>
  <c r="G75" i="6"/>
  <c r="W73" i="6"/>
  <c r="S73" i="6"/>
  <c r="O73" i="6"/>
  <c r="K73" i="6"/>
  <c r="G73" i="6"/>
  <c r="U72" i="6"/>
  <c r="Q72" i="6"/>
  <c r="M72" i="6"/>
  <c r="I72" i="6"/>
  <c r="W71" i="6"/>
  <c r="S71" i="6"/>
  <c r="O71" i="6"/>
  <c r="K71" i="6"/>
  <c r="G71" i="6"/>
  <c r="W69" i="6"/>
  <c r="S69" i="6"/>
  <c r="O69" i="6"/>
  <c r="K69" i="6"/>
  <c r="G69" i="6"/>
  <c r="U68" i="6"/>
  <c r="Q68" i="6"/>
  <c r="M68" i="6"/>
  <c r="I68" i="6"/>
  <c r="W67" i="6"/>
  <c r="S67" i="6"/>
  <c r="O67" i="6"/>
  <c r="K67" i="6"/>
  <c r="G67" i="6"/>
  <c r="W65" i="6"/>
  <c r="S65" i="6"/>
  <c r="O65" i="6"/>
  <c r="K65" i="6"/>
  <c r="G65" i="6"/>
  <c r="U64" i="6"/>
  <c r="Q64" i="6"/>
  <c r="M64" i="6"/>
  <c r="I64" i="6"/>
  <c r="W63" i="6"/>
  <c r="S63" i="6"/>
  <c r="O63" i="6"/>
  <c r="K63" i="6"/>
  <c r="G63" i="6"/>
  <c r="W61" i="6"/>
  <c r="S61" i="6"/>
  <c r="O61" i="6"/>
  <c r="K61" i="6"/>
  <c r="G61" i="6"/>
  <c r="U60" i="6"/>
  <c r="Q60" i="6"/>
  <c r="M60" i="6"/>
  <c r="I60" i="6"/>
  <c r="V77" i="6"/>
  <c r="R77" i="6"/>
  <c r="N77" i="6"/>
  <c r="X76" i="6"/>
  <c r="T76" i="6"/>
  <c r="P76" i="6"/>
  <c r="L76" i="6"/>
  <c r="V75" i="6"/>
  <c r="R75" i="6"/>
  <c r="N75" i="6"/>
  <c r="V73" i="6"/>
  <c r="R73" i="6"/>
  <c r="N73" i="6"/>
  <c r="X72" i="6"/>
  <c r="T72" i="6"/>
  <c r="P72" i="6"/>
  <c r="L72" i="6"/>
  <c r="V71" i="6"/>
  <c r="R71" i="6"/>
  <c r="N71" i="6"/>
  <c r="V69" i="6"/>
  <c r="R69" i="6"/>
  <c r="N69" i="6"/>
  <c r="X68" i="6"/>
  <c r="T68" i="6"/>
  <c r="P68" i="6"/>
  <c r="L68" i="6"/>
  <c r="V67" i="6"/>
  <c r="R67" i="6"/>
  <c r="N67" i="6"/>
  <c r="V65" i="6"/>
  <c r="R65" i="6"/>
  <c r="N65" i="6"/>
  <c r="X64" i="6"/>
  <c r="T64" i="6"/>
  <c r="P64" i="6"/>
  <c r="L64" i="6"/>
  <c r="V63" i="6"/>
  <c r="R63" i="6"/>
  <c r="N63" i="6"/>
  <c r="V61" i="6"/>
  <c r="R61" i="6"/>
  <c r="N61" i="6"/>
  <c r="X60" i="6"/>
  <c r="T60" i="6"/>
  <c r="P60" i="6"/>
  <c r="L60" i="6"/>
  <c r="V57" i="6"/>
  <c r="V53" i="6"/>
  <c r="N53" i="6"/>
  <c r="J53" i="6"/>
  <c r="R49" i="6"/>
  <c r="J49" i="6"/>
  <c r="V45" i="6"/>
  <c r="J45" i="6"/>
  <c r="I43" i="6"/>
  <c r="K44" i="6"/>
  <c r="P44" i="6"/>
  <c r="U44" i="6"/>
  <c r="U59" i="6"/>
  <c r="Q59" i="6"/>
  <c r="M59" i="6"/>
  <c r="I59" i="6"/>
  <c r="W58" i="6"/>
  <c r="S58" i="6"/>
  <c r="O58" i="6"/>
  <c r="K58" i="6"/>
  <c r="G58" i="6"/>
  <c r="U57" i="6"/>
  <c r="Q57" i="6"/>
  <c r="M57" i="6"/>
  <c r="I57" i="6"/>
  <c r="W56" i="6"/>
  <c r="S56" i="6"/>
  <c r="O56" i="6"/>
  <c r="K56" i="6"/>
  <c r="G56" i="6"/>
  <c r="U55" i="6"/>
  <c r="Q55" i="6"/>
  <c r="M55" i="6"/>
  <c r="I55" i="6"/>
  <c r="W54" i="6"/>
  <c r="S54" i="6"/>
  <c r="O54" i="6"/>
  <c r="K54" i="6"/>
  <c r="G54" i="6"/>
  <c r="U53" i="6"/>
  <c r="Q53" i="6"/>
  <c r="M53" i="6"/>
  <c r="I53" i="6"/>
  <c r="W52" i="6"/>
  <c r="S52" i="6"/>
  <c r="O52" i="6"/>
  <c r="K52" i="6"/>
  <c r="G52" i="6"/>
  <c r="U51" i="6"/>
  <c r="Q51" i="6"/>
  <c r="M51" i="6"/>
  <c r="I51" i="6"/>
  <c r="W50" i="6"/>
  <c r="S50" i="6"/>
  <c r="O50" i="6"/>
  <c r="K50" i="6"/>
  <c r="G50" i="6"/>
  <c r="U49" i="6"/>
  <c r="Q49" i="6"/>
  <c r="M49" i="6"/>
  <c r="I49" i="6"/>
  <c r="W48" i="6"/>
  <c r="S48" i="6"/>
  <c r="O48" i="6"/>
  <c r="K48" i="6"/>
  <c r="G48" i="6"/>
  <c r="U47" i="6"/>
  <c r="Q47" i="6"/>
  <c r="M47" i="6"/>
  <c r="I47" i="6"/>
  <c r="W46" i="6"/>
  <c r="S46" i="6"/>
  <c r="O46" i="6"/>
  <c r="K46" i="6"/>
  <c r="G46" i="6"/>
  <c r="U45" i="6"/>
  <c r="Q45" i="6"/>
  <c r="M45" i="6"/>
  <c r="I45" i="6"/>
  <c r="R43" i="6"/>
  <c r="N57" i="6"/>
  <c r="J57" i="6"/>
  <c r="R53" i="6"/>
  <c r="R45" i="6"/>
  <c r="J43" i="6"/>
  <c r="G44" i="6"/>
  <c r="L44" i="6"/>
  <c r="Q44" i="6"/>
  <c r="W44" i="6"/>
  <c r="X59" i="6"/>
  <c r="T59" i="6"/>
  <c r="P59" i="6"/>
  <c r="L59" i="6"/>
  <c r="H59" i="6"/>
  <c r="V58" i="6"/>
  <c r="R58" i="6"/>
  <c r="N58" i="6"/>
  <c r="J58" i="6"/>
  <c r="X57" i="6"/>
  <c r="T57" i="6"/>
  <c r="P57" i="6"/>
  <c r="L57" i="6"/>
  <c r="H57" i="6"/>
  <c r="V56" i="6"/>
  <c r="R56" i="6"/>
  <c r="N56" i="6"/>
  <c r="J56" i="6"/>
  <c r="X55" i="6"/>
  <c r="T55" i="6"/>
  <c r="P55" i="6"/>
  <c r="L55" i="6"/>
  <c r="H55" i="6"/>
  <c r="V54" i="6"/>
  <c r="R54" i="6"/>
  <c r="N54" i="6"/>
  <c r="J54" i="6"/>
  <c r="X53" i="6"/>
  <c r="T53" i="6"/>
  <c r="P53" i="6"/>
  <c r="L53" i="6"/>
  <c r="H53" i="6"/>
  <c r="V52" i="6"/>
  <c r="R52" i="6"/>
  <c r="N52" i="6"/>
  <c r="J52" i="6"/>
  <c r="X51" i="6"/>
  <c r="T51" i="6"/>
  <c r="P51" i="6"/>
  <c r="L51" i="6"/>
  <c r="H51" i="6"/>
  <c r="V50" i="6"/>
  <c r="R50" i="6"/>
  <c r="N50" i="6"/>
  <c r="J50" i="6"/>
  <c r="X49" i="6"/>
  <c r="T49" i="6"/>
  <c r="P49" i="6"/>
  <c r="L49" i="6"/>
  <c r="H49" i="6"/>
  <c r="V48" i="6"/>
  <c r="R48" i="6"/>
  <c r="N48" i="6"/>
  <c r="J48" i="6"/>
  <c r="X47" i="6"/>
  <c r="T47" i="6"/>
  <c r="P47" i="6"/>
  <c r="L47" i="6"/>
  <c r="H47" i="6"/>
  <c r="V46" i="6"/>
  <c r="R46" i="6"/>
  <c r="N46" i="6"/>
  <c r="J46" i="6"/>
  <c r="X45" i="6"/>
  <c r="T45" i="6"/>
  <c r="P45" i="6"/>
  <c r="L45" i="6"/>
  <c r="H45" i="6"/>
  <c r="R57" i="6"/>
  <c r="V49" i="6"/>
  <c r="N49" i="6"/>
  <c r="N45" i="6"/>
  <c r="Q43" i="6"/>
  <c r="H44" i="6"/>
  <c r="M44" i="6"/>
  <c r="S44" i="6"/>
  <c r="X44" i="6"/>
  <c r="W59" i="6"/>
  <c r="S59" i="6"/>
  <c r="O59" i="6"/>
  <c r="K59" i="6"/>
  <c r="U58" i="6"/>
  <c r="Q58" i="6"/>
  <c r="M58" i="6"/>
  <c r="W57" i="6"/>
  <c r="S57" i="6"/>
  <c r="O57" i="6"/>
  <c r="K57" i="6"/>
  <c r="U56" i="6"/>
  <c r="Q56" i="6"/>
  <c r="M56" i="6"/>
  <c r="W55" i="6"/>
  <c r="S55" i="6"/>
  <c r="O55" i="6"/>
  <c r="K55" i="6"/>
  <c r="U54" i="6"/>
  <c r="Q54" i="6"/>
  <c r="M54" i="6"/>
  <c r="W53" i="6"/>
  <c r="S53" i="6"/>
  <c r="O53" i="6"/>
  <c r="K53" i="6"/>
  <c r="U52" i="6"/>
  <c r="Q52" i="6"/>
  <c r="M52" i="6"/>
  <c r="W51" i="6"/>
  <c r="S51" i="6"/>
  <c r="O51" i="6"/>
  <c r="K51" i="6"/>
  <c r="U50" i="6"/>
  <c r="Q50" i="6"/>
  <c r="M50" i="6"/>
  <c r="W49" i="6"/>
  <c r="S49" i="6"/>
  <c r="O49" i="6"/>
  <c r="K49" i="6"/>
  <c r="U48" i="6"/>
  <c r="Q48" i="6"/>
  <c r="M48" i="6"/>
  <c r="W47" i="6"/>
  <c r="S47" i="6"/>
  <c r="O47" i="6"/>
  <c r="K47" i="6"/>
  <c r="U46" i="6"/>
  <c r="Q46" i="6"/>
  <c r="M46" i="6"/>
  <c r="W45" i="6"/>
  <c r="S45" i="6"/>
  <c r="O45" i="6"/>
  <c r="K45" i="6"/>
  <c r="L29" i="6"/>
  <c r="T29" i="6"/>
  <c r="K32" i="6"/>
  <c r="G24" i="6"/>
  <c r="L24" i="6"/>
  <c r="Q24" i="6"/>
  <c r="W24" i="6"/>
  <c r="H25" i="6"/>
  <c r="P25" i="6"/>
  <c r="X25" i="6"/>
  <c r="W26" i="6"/>
  <c r="M27" i="6"/>
  <c r="K28" i="6"/>
  <c r="P28" i="6"/>
  <c r="U28" i="6"/>
  <c r="G29" i="6"/>
  <c r="O29" i="6"/>
  <c r="W29" i="6"/>
  <c r="J31" i="6"/>
  <c r="G32" i="6"/>
  <c r="L32" i="6"/>
  <c r="Q32" i="6"/>
  <c r="W32" i="6"/>
  <c r="H33" i="6"/>
  <c r="P33" i="6"/>
  <c r="X33" i="6"/>
  <c r="O34" i="6"/>
  <c r="I36" i="6"/>
  <c r="O36" i="6"/>
  <c r="T36" i="6"/>
  <c r="L37" i="6"/>
  <c r="T37" i="6"/>
  <c r="G38" i="6"/>
  <c r="W38" i="6"/>
  <c r="H40" i="6"/>
  <c r="M40" i="6"/>
  <c r="S40" i="6"/>
  <c r="X40" i="6"/>
  <c r="P24" i="6"/>
  <c r="P32" i="6"/>
  <c r="U32" i="6"/>
  <c r="S38" i="6"/>
  <c r="H24" i="6"/>
  <c r="M24" i="6"/>
  <c r="S24" i="6"/>
  <c r="X24" i="6"/>
  <c r="Q27" i="6"/>
  <c r="H29" i="6"/>
  <c r="P29" i="6"/>
  <c r="X29" i="6"/>
  <c r="N31" i="6"/>
  <c r="H32" i="6"/>
  <c r="M32" i="6"/>
  <c r="S32" i="6"/>
  <c r="X32" i="6"/>
  <c r="S34" i="6"/>
  <c r="K36" i="6"/>
  <c r="P36" i="6"/>
  <c r="U36" i="6"/>
  <c r="K38" i="6"/>
  <c r="K24" i="6"/>
  <c r="U24" i="6"/>
  <c r="I24" i="6"/>
  <c r="O24" i="6"/>
  <c r="T24" i="6"/>
  <c r="L25" i="6"/>
  <c r="T25" i="6"/>
  <c r="G26" i="6"/>
  <c r="I27" i="6"/>
  <c r="K29" i="6"/>
  <c r="S29" i="6"/>
  <c r="I32" i="6"/>
  <c r="O32" i="6"/>
  <c r="T32" i="6"/>
  <c r="L33" i="6"/>
  <c r="T33" i="6"/>
  <c r="G34" i="6"/>
  <c r="W34" i="6"/>
  <c r="G36" i="6"/>
  <c r="L36" i="6"/>
  <c r="Q36" i="6"/>
  <c r="W36" i="6"/>
  <c r="O38" i="6"/>
  <c r="K40" i="6"/>
  <c r="P40" i="6"/>
  <c r="U40" i="6"/>
  <c r="J78" i="5"/>
  <c r="H95" i="5"/>
  <c r="I94" i="5"/>
  <c r="J93" i="5"/>
  <c r="K92" i="5"/>
  <c r="G92" i="5"/>
  <c r="H91" i="5"/>
  <c r="I90" i="5"/>
  <c r="J89" i="5"/>
  <c r="K88" i="5"/>
  <c r="G88" i="5"/>
  <c r="H87" i="5"/>
  <c r="I86" i="5"/>
  <c r="J85" i="5"/>
  <c r="K84" i="5"/>
  <c r="G84" i="5"/>
  <c r="H83" i="5"/>
  <c r="I82" i="5"/>
  <c r="J81" i="5"/>
  <c r="K80" i="5"/>
  <c r="G80" i="5"/>
  <c r="H79" i="5"/>
  <c r="I78" i="5"/>
  <c r="K95" i="5"/>
  <c r="G95" i="5"/>
  <c r="H94" i="5"/>
  <c r="I93" i="5"/>
  <c r="J92" i="5"/>
  <c r="K91" i="5"/>
  <c r="G91" i="5"/>
  <c r="H90" i="5"/>
  <c r="I89" i="5"/>
  <c r="J88" i="5"/>
  <c r="K87" i="5"/>
  <c r="G87" i="5"/>
  <c r="H86" i="5"/>
  <c r="I85" i="5"/>
  <c r="J84" i="5"/>
  <c r="K83" i="5"/>
  <c r="G83" i="5"/>
  <c r="H82" i="5"/>
  <c r="I81" i="5"/>
  <c r="J80" i="5"/>
  <c r="K79" i="5"/>
  <c r="G79" i="5"/>
  <c r="H78" i="5"/>
  <c r="K81" i="5"/>
  <c r="G81" i="5"/>
  <c r="K94" i="5"/>
  <c r="K90" i="5"/>
  <c r="K86" i="5"/>
  <c r="K82" i="5"/>
  <c r="G82" i="5"/>
  <c r="I80" i="5"/>
  <c r="K78" i="5"/>
  <c r="G78" i="5"/>
  <c r="J77" i="5"/>
  <c r="K76" i="5"/>
  <c r="G76" i="5"/>
  <c r="H75" i="5"/>
  <c r="I74" i="5"/>
  <c r="J73" i="5"/>
  <c r="K72" i="5"/>
  <c r="G72" i="5"/>
  <c r="H71" i="5"/>
  <c r="I70" i="5"/>
  <c r="J69" i="5"/>
  <c r="K68" i="5"/>
  <c r="G68" i="5"/>
  <c r="H67" i="5"/>
  <c r="I66" i="5"/>
  <c r="J65" i="5"/>
  <c r="K64" i="5"/>
  <c r="G64" i="5"/>
  <c r="H63" i="5"/>
  <c r="I62" i="5"/>
  <c r="J61" i="5"/>
  <c r="K60" i="5"/>
  <c r="G60" i="5"/>
  <c r="J75" i="5"/>
  <c r="I72" i="5"/>
  <c r="J67" i="5"/>
  <c r="I64" i="5"/>
  <c r="I75" i="5"/>
  <c r="K73" i="5"/>
  <c r="G73" i="5"/>
  <c r="H72" i="5"/>
  <c r="J70" i="5"/>
  <c r="I67" i="5"/>
  <c r="K65" i="5"/>
  <c r="G65" i="5"/>
  <c r="H64" i="5"/>
  <c r="J62" i="5"/>
  <c r="J76" i="5"/>
  <c r="K75" i="5"/>
  <c r="H74" i="5"/>
  <c r="J72" i="5"/>
  <c r="K71" i="5"/>
  <c r="H70" i="5"/>
  <c r="J68" i="5"/>
  <c r="K67" i="5"/>
  <c r="H66" i="5"/>
  <c r="J64" i="5"/>
  <c r="K63" i="5"/>
  <c r="H62" i="5"/>
  <c r="J60" i="5"/>
  <c r="K56" i="5"/>
  <c r="G56" i="5"/>
  <c r="G48" i="5"/>
  <c r="I57" i="5"/>
  <c r="J56" i="5"/>
  <c r="I53" i="5"/>
  <c r="J52" i="5"/>
  <c r="I49" i="5"/>
  <c r="J48" i="5"/>
  <c r="K52" i="5"/>
  <c r="G52" i="5"/>
  <c r="K48" i="5"/>
  <c r="S42" i="5"/>
  <c r="R43" i="5"/>
  <c r="I44" i="5"/>
  <c r="O44" i="5"/>
  <c r="T44" i="5"/>
  <c r="S45" i="5"/>
  <c r="J59" i="5"/>
  <c r="K58" i="5"/>
  <c r="G58" i="5"/>
  <c r="H57" i="5"/>
  <c r="I56" i="5"/>
  <c r="J55" i="5"/>
  <c r="K54" i="5"/>
  <c r="G54" i="5"/>
  <c r="H53" i="5"/>
  <c r="I52" i="5"/>
  <c r="J51" i="5"/>
  <c r="K50" i="5"/>
  <c r="G50" i="5"/>
  <c r="H49" i="5"/>
  <c r="I48" i="5"/>
  <c r="J47" i="5"/>
  <c r="K46" i="5"/>
  <c r="G46" i="5"/>
  <c r="H45" i="5"/>
  <c r="J43" i="5"/>
  <c r="K44" i="5"/>
  <c r="P44" i="5"/>
  <c r="U44" i="5"/>
  <c r="T45" i="5"/>
  <c r="I59" i="5"/>
  <c r="J58" i="5"/>
  <c r="K57" i="5"/>
  <c r="G57" i="5"/>
  <c r="H56" i="5"/>
  <c r="I55" i="5"/>
  <c r="J54" i="5"/>
  <c r="K53" i="5"/>
  <c r="G53" i="5"/>
  <c r="H52" i="5"/>
  <c r="I51" i="5"/>
  <c r="J50" i="5"/>
  <c r="K49" i="5"/>
  <c r="G49" i="5"/>
  <c r="H48" i="5"/>
  <c r="I47" i="5"/>
  <c r="J46" i="5"/>
  <c r="K45" i="5"/>
  <c r="G45" i="5"/>
  <c r="P24" i="5"/>
  <c r="T29" i="5"/>
  <c r="G24" i="5"/>
  <c r="L24" i="5"/>
  <c r="Q24" i="5"/>
  <c r="W24" i="5"/>
  <c r="K28" i="5"/>
  <c r="P28" i="5"/>
  <c r="U28" i="5"/>
  <c r="H29" i="5"/>
  <c r="X29" i="5"/>
  <c r="S30" i="5"/>
  <c r="N31" i="5"/>
  <c r="T33" i="5"/>
  <c r="I34" i="5"/>
  <c r="Q34" i="5"/>
  <c r="I36" i="5"/>
  <c r="O36" i="5"/>
  <c r="T36" i="5"/>
  <c r="T37" i="5"/>
  <c r="I38" i="5"/>
  <c r="Q38" i="5"/>
  <c r="H40" i="5"/>
  <c r="M40" i="5"/>
  <c r="S40" i="5"/>
  <c r="X40" i="5"/>
  <c r="K41" i="5"/>
  <c r="S41" i="5"/>
  <c r="K24" i="5"/>
  <c r="H24" i="5"/>
  <c r="M24" i="5"/>
  <c r="S24" i="5"/>
  <c r="X24" i="5"/>
  <c r="M26" i="5"/>
  <c r="U26" i="5"/>
  <c r="G28" i="5"/>
  <c r="L28" i="5"/>
  <c r="Q28" i="5"/>
  <c r="W28" i="5"/>
  <c r="L29" i="5"/>
  <c r="M30" i="5"/>
  <c r="U30" i="5"/>
  <c r="K32" i="5"/>
  <c r="P32" i="5"/>
  <c r="U32" i="5"/>
  <c r="H33" i="5"/>
  <c r="X33" i="5"/>
  <c r="K34" i="5"/>
  <c r="S34" i="5"/>
  <c r="K36" i="5"/>
  <c r="P36" i="5"/>
  <c r="U36" i="5"/>
  <c r="H37" i="5"/>
  <c r="X37" i="5"/>
  <c r="K38" i="5"/>
  <c r="S38" i="5"/>
  <c r="L41" i="5"/>
  <c r="T41" i="5"/>
  <c r="U24" i="5"/>
  <c r="I24" i="5"/>
  <c r="O24" i="5"/>
  <c r="T24" i="5"/>
  <c r="G26" i="5"/>
  <c r="O26" i="5"/>
  <c r="W26" i="5"/>
  <c r="H28" i="5"/>
  <c r="M28" i="5"/>
  <c r="S28" i="5"/>
  <c r="X28" i="5"/>
  <c r="P29" i="5"/>
  <c r="G30" i="5"/>
  <c r="O30" i="5"/>
  <c r="W30" i="5"/>
  <c r="G32" i="5"/>
  <c r="L32" i="5"/>
  <c r="Q32" i="5"/>
  <c r="W32" i="5"/>
  <c r="L33" i="5"/>
  <c r="M34" i="5"/>
  <c r="U34" i="5"/>
  <c r="G36" i="5"/>
  <c r="L36" i="5"/>
  <c r="Q36" i="5"/>
  <c r="W36" i="5"/>
  <c r="M38" i="5"/>
  <c r="U38" i="5"/>
  <c r="K40" i="5"/>
  <c r="P40" i="5"/>
  <c r="U40" i="5"/>
  <c r="G41" i="5"/>
  <c r="O41" i="5"/>
  <c r="W41" i="5"/>
  <c r="L81" i="4"/>
  <c r="P81" i="4"/>
  <c r="T81" i="4"/>
  <c r="X81" i="4"/>
  <c r="H81" i="4"/>
  <c r="W81" i="4"/>
  <c r="M81" i="4"/>
  <c r="Q81" i="4"/>
  <c r="U81" i="4"/>
  <c r="I81" i="4"/>
  <c r="S81" i="4"/>
  <c r="N81" i="4"/>
  <c r="R81" i="4"/>
  <c r="V81" i="4"/>
  <c r="J81" i="4"/>
  <c r="O81" i="4"/>
  <c r="L85" i="4"/>
  <c r="P85" i="4"/>
  <c r="T85" i="4"/>
  <c r="X85" i="4"/>
  <c r="H85" i="4"/>
  <c r="S85" i="4"/>
  <c r="M85" i="4"/>
  <c r="Q85" i="4"/>
  <c r="U85" i="4"/>
  <c r="I85" i="4"/>
  <c r="N85" i="4"/>
  <c r="R85" i="4"/>
  <c r="V85" i="4"/>
  <c r="J85" i="4"/>
  <c r="O85" i="4"/>
  <c r="W85" i="4"/>
  <c r="L89" i="4"/>
  <c r="P89" i="4"/>
  <c r="T89" i="4"/>
  <c r="X89" i="4"/>
  <c r="H89" i="4"/>
  <c r="O89" i="4"/>
  <c r="S89" i="4"/>
  <c r="M89" i="4"/>
  <c r="Q89" i="4"/>
  <c r="U89" i="4"/>
  <c r="I89" i="4"/>
  <c r="W89" i="4"/>
  <c r="N89" i="4"/>
  <c r="R89" i="4"/>
  <c r="V89" i="4"/>
  <c r="J89" i="4"/>
  <c r="L93" i="4"/>
  <c r="P93" i="4"/>
  <c r="T93" i="4"/>
  <c r="X93" i="4"/>
  <c r="H93" i="4"/>
  <c r="M93" i="4"/>
  <c r="Q93" i="4"/>
  <c r="U93" i="4"/>
  <c r="I93" i="4"/>
  <c r="N93" i="4"/>
  <c r="R93" i="4"/>
  <c r="V93" i="4"/>
  <c r="J93" i="4"/>
  <c r="K93" i="4"/>
  <c r="G81" i="4"/>
  <c r="S93" i="4"/>
  <c r="G93" i="4"/>
  <c r="K89" i="4"/>
  <c r="O93" i="4"/>
  <c r="G89" i="4"/>
  <c r="K85" i="4"/>
  <c r="H95" i="4"/>
  <c r="I94" i="4"/>
  <c r="K92" i="4"/>
  <c r="G92" i="4"/>
  <c r="H91" i="4"/>
  <c r="I90" i="4"/>
  <c r="K88" i="4"/>
  <c r="G88" i="4"/>
  <c r="H87" i="4"/>
  <c r="I86" i="4"/>
  <c r="K84" i="4"/>
  <c r="G84" i="4"/>
  <c r="H83" i="4"/>
  <c r="I82" i="4"/>
  <c r="K80" i="4"/>
  <c r="G80" i="4"/>
  <c r="H79" i="4"/>
  <c r="I78" i="4"/>
  <c r="X95" i="4"/>
  <c r="T95" i="4"/>
  <c r="P95" i="4"/>
  <c r="L95" i="4"/>
  <c r="U94" i="4"/>
  <c r="Q94" i="4"/>
  <c r="M94" i="4"/>
  <c r="W92" i="4"/>
  <c r="S92" i="4"/>
  <c r="O92" i="4"/>
  <c r="X91" i="4"/>
  <c r="T91" i="4"/>
  <c r="P91" i="4"/>
  <c r="L91" i="4"/>
  <c r="U90" i="4"/>
  <c r="Q90" i="4"/>
  <c r="M90" i="4"/>
  <c r="W88" i="4"/>
  <c r="S88" i="4"/>
  <c r="O88" i="4"/>
  <c r="X87" i="4"/>
  <c r="T87" i="4"/>
  <c r="P87" i="4"/>
  <c r="L87" i="4"/>
  <c r="U86" i="4"/>
  <c r="Q86" i="4"/>
  <c r="M86" i="4"/>
  <c r="W84" i="4"/>
  <c r="S84" i="4"/>
  <c r="O84" i="4"/>
  <c r="X83" i="4"/>
  <c r="T83" i="4"/>
  <c r="P83" i="4"/>
  <c r="L83" i="4"/>
  <c r="U82" i="4"/>
  <c r="Q82" i="4"/>
  <c r="M82" i="4"/>
  <c r="W80" i="4"/>
  <c r="S80" i="4"/>
  <c r="O80" i="4"/>
  <c r="X79" i="4"/>
  <c r="T79" i="4"/>
  <c r="P79" i="4"/>
  <c r="L79" i="4"/>
  <c r="U78" i="4"/>
  <c r="Q78" i="4"/>
  <c r="M78" i="4"/>
  <c r="K95" i="4"/>
  <c r="G95" i="4"/>
  <c r="H94" i="4"/>
  <c r="J92" i="4"/>
  <c r="K91" i="4"/>
  <c r="G91" i="4"/>
  <c r="H90" i="4"/>
  <c r="J88" i="4"/>
  <c r="K87" i="4"/>
  <c r="G87" i="4"/>
  <c r="H86" i="4"/>
  <c r="J84" i="4"/>
  <c r="K83" i="4"/>
  <c r="G83" i="4"/>
  <c r="H82" i="4"/>
  <c r="J80" i="4"/>
  <c r="K79" i="4"/>
  <c r="G79" i="4"/>
  <c r="H78" i="4"/>
  <c r="W95" i="4"/>
  <c r="S95" i="4"/>
  <c r="O95" i="4"/>
  <c r="X94" i="4"/>
  <c r="T94" i="4"/>
  <c r="P94" i="4"/>
  <c r="L94" i="4"/>
  <c r="V92" i="4"/>
  <c r="R92" i="4"/>
  <c r="N92" i="4"/>
  <c r="W91" i="4"/>
  <c r="S91" i="4"/>
  <c r="O91" i="4"/>
  <c r="X90" i="4"/>
  <c r="T90" i="4"/>
  <c r="P90" i="4"/>
  <c r="L90" i="4"/>
  <c r="V88" i="4"/>
  <c r="R88" i="4"/>
  <c r="N88" i="4"/>
  <c r="W87" i="4"/>
  <c r="S87" i="4"/>
  <c r="O87" i="4"/>
  <c r="X86" i="4"/>
  <c r="T86" i="4"/>
  <c r="P86" i="4"/>
  <c r="L86" i="4"/>
  <c r="V84" i="4"/>
  <c r="R84" i="4"/>
  <c r="N84" i="4"/>
  <c r="W83" i="4"/>
  <c r="S83" i="4"/>
  <c r="O83" i="4"/>
  <c r="X82" i="4"/>
  <c r="T82" i="4"/>
  <c r="P82" i="4"/>
  <c r="L82" i="4"/>
  <c r="V80" i="4"/>
  <c r="R80" i="4"/>
  <c r="N80" i="4"/>
  <c r="W79" i="4"/>
  <c r="S79" i="4"/>
  <c r="O79" i="4"/>
  <c r="X78" i="4"/>
  <c r="T78" i="4"/>
  <c r="P78" i="4"/>
  <c r="L78" i="4"/>
  <c r="J95" i="4"/>
  <c r="K94" i="4"/>
  <c r="G94" i="4"/>
  <c r="I92" i="4"/>
  <c r="J91" i="4"/>
  <c r="K90" i="4"/>
  <c r="G90" i="4"/>
  <c r="I88" i="4"/>
  <c r="J87" i="4"/>
  <c r="K86" i="4"/>
  <c r="G86" i="4"/>
  <c r="I84" i="4"/>
  <c r="J83" i="4"/>
  <c r="K82" i="4"/>
  <c r="G82" i="4"/>
  <c r="I80" i="4"/>
  <c r="J79" i="4"/>
  <c r="K78" i="4"/>
  <c r="G78" i="4"/>
  <c r="V95" i="4"/>
  <c r="R95" i="4"/>
  <c r="W94" i="4"/>
  <c r="S94" i="4"/>
  <c r="U92" i="4"/>
  <c r="Q92" i="4"/>
  <c r="V91" i="4"/>
  <c r="R91" i="4"/>
  <c r="W90" i="4"/>
  <c r="S90" i="4"/>
  <c r="U88" i="4"/>
  <c r="Q88" i="4"/>
  <c r="V87" i="4"/>
  <c r="R87" i="4"/>
  <c r="W86" i="4"/>
  <c r="S86" i="4"/>
  <c r="U84" i="4"/>
  <c r="Q84" i="4"/>
  <c r="V83" i="4"/>
  <c r="R83" i="4"/>
  <c r="W82" i="4"/>
  <c r="S82" i="4"/>
  <c r="U80" i="4"/>
  <c r="Q80" i="4"/>
  <c r="V79" i="4"/>
  <c r="R79" i="4"/>
  <c r="W78" i="4"/>
  <c r="S78" i="4"/>
  <c r="O61" i="4"/>
  <c r="S61" i="4"/>
  <c r="W61" i="4"/>
  <c r="H61" i="4"/>
  <c r="N61" i="4"/>
  <c r="R61" i="4"/>
  <c r="L61" i="4"/>
  <c r="P61" i="4"/>
  <c r="T61" i="4"/>
  <c r="X61" i="4"/>
  <c r="I61" i="4"/>
  <c r="M61" i="4"/>
  <c r="Q61" i="4"/>
  <c r="U61" i="4"/>
  <c r="J61" i="4"/>
  <c r="V61" i="4"/>
  <c r="O65" i="4"/>
  <c r="S65" i="4"/>
  <c r="W65" i="4"/>
  <c r="H65" i="4"/>
  <c r="L65" i="4"/>
  <c r="P65" i="4"/>
  <c r="T65" i="4"/>
  <c r="X65" i="4"/>
  <c r="I65" i="4"/>
  <c r="V65" i="4"/>
  <c r="M65" i="4"/>
  <c r="Q65" i="4"/>
  <c r="U65" i="4"/>
  <c r="J65" i="4"/>
  <c r="N65" i="4"/>
  <c r="R65" i="4"/>
  <c r="O69" i="4"/>
  <c r="S69" i="4"/>
  <c r="W69" i="4"/>
  <c r="H69" i="4"/>
  <c r="L69" i="4"/>
  <c r="P69" i="4"/>
  <c r="T69" i="4"/>
  <c r="X69" i="4"/>
  <c r="I69" i="4"/>
  <c r="M69" i="4"/>
  <c r="Q69" i="4"/>
  <c r="U69" i="4"/>
  <c r="J69" i="4"/>
  <c r="N69" i="4"/>
  <c r="O77" i="4"/>
  <c r="S77" i="4"/>
  <c r="W77" i="4"/>
  <c r="H77" i="4"/>
  <c r="L77" i="4"/>
  <c r="P77" i="4"/>
  <c r="T77" i="4"/>
  <c r="X77" i="4"/>
  <c r="I77" i="4"/>
  <c r="M77" i="4"/>
  <c r="Q77" i="4"/>
  <c r="U77" i="4"/>
  <c r="J77" i="4"/>
  <c r="K77" i="4"/>
  <c r="G65" i="4"/>
  <c r="K61" i="4"/>
  <c r="R77" i="4"/>
  <c r="O73" i="4"/>
  <c r="S73" i="4"/>
  <c r="W73" i="4"/>
  <c r="H73" i="4"/>
  <c r="L73" i="4"/>
  <c r="P73" i="4"/>
  <c r="T73" i="4"/>
  <c r="X73" i="4"/>
  <c r="I73" i="4"/>
  <c r="M73" i="4"/>
  <c r="Q73" i="4"/>
  <c r="U73" i="4"/>
  <c r="J73" i="4"/>
  <c r="G77" i="4"/>
  <c r="K73" i="4"/>
  <c r="G61" i="4"/>
  <c r="N77" i="4"/>
  <c r="R73" i="4"/>
  <c r="V69" i="4"/>
  <c r="K76" i="4"/>
  <c r="G76" i="4"/>
  <c r="H75" i="4"/>
  <c r="I74" i="4"/>
  <c r="K72" i="4"/>
  <c r="G72" i="4"/>
  <c r="H71" i="4"/>
  <c r="I70" i="4"/>
  <c r="K68" i="4"/>
  <c r="G68" i="4"/>
  <c r="H67" i="4"/>
  <c r="I66" i="4"/>
  <c r="K64" i="4"/>
  <c r="G64" i="4"/>
  <c r="H63" i="4"/>
  <c r="I62" i="4"/>
  <c r="K60" i="4"/>
  <c r="G60" i="4"/>
  <c r="V76" i="4"/>
  <c r="R76" i="4"/>
  <c r="N76" i="4"/>
  <c r="W75" i="4"/>
  <c r="S75" i="4"/>
  <c r="O75" i="4"/>
  <c r="X74" i="4"/>
  <c r="T74" i="4"/>
  <c r="P74" i="4"/>
  <c r="L74" i="4"/>
  <c r="V72" i="4"/>
  <c r="R72" i="4"/>
  <c r="N72" i="4"/>
  <c r="W71" i="4"/>
  <c r="S71" i="4"/>
  <c r="O71" i="4"/>
  <c r="X70" i="4"/>
  <c r="T70" i="4"/>
  <c r="P70" i="4"/>
  <c r="L70" i="4"/>
  <c r="V68" i="4"/>
  <c r="R68" i="4"/>
  <c r="N68" i="4"/>
  <c r="W67" i="4"/>
  <c r="S67" i="4"/>
  <c r="O67" i="4"/>
  <c r="X66" i="4"/>
  <c r="T66" i="4"/>
  <c r="P66" i="4"/>
  <c r="L66" i="4"/>
  <c r="V64" i="4"/>
  <c r="R64" i="4"/>
  <c r="N64" i="4"/>
  <c r="W63" i="4"/>
  <c r="S63" i="4"/>
  <c r="O63" i="4"/>
  <c r="X62" i="4"/>
  <c r="T62" i="4"/>
  <c r="P62" i="4"/>
  <c r="L62" i="4"/>
  <c r="V60" i="4"/>
  <c r="R60" i="4"/>
  <c r="N60" i="4"/>
  <c r="J76" i="4"/>
  <c r="K75" i="4"/>
  <c r="G75" i="4"/>
  <c r="H74" i="4"/>
  <c r="J72" i="4"/>
  <c r="K71" i="4"/>
  <c r="G71" i="4"/>
  <c r="H70" i="4"/>
  <c r="J68" i="4"/>
  <c r="K67" i="4"/>
  <c r="G67" i="4"/>
  <c r="H66" i="4"/>
  <c r="J64" i="4"/>
  <c r="K63" i="4"/>
  <c r="G63" i="4"/>
  <c r="H62" i="4"/>
  <c r="J60" i="4"/>
  <c r="U76" i="4"/>
  <c r="Q76" i="4"/>
  <c r="M76" i="4"/>
  <c r="V75" i="4"/>
  <c r="R75" i="4"/>
  <c r="N75" i="4"/>
  <c r="W74" i="4"/>
  <c r="S74" i="4"/>
  <c r="O74" i="4"/>
  <c r="U72" i="4"/>
  <c r="Q72" i="4"/>
  <c r="M72" i="4"/>
  <c r="V71" i="4"/>
  <c r="R71" i="4"/>
  <c r="N71" i="4"/>
  <c r="W70" i="4"/>
  <c r="S70" i="4"/>
  <c r="O70" i="4"/>
  <c r="U68" i="4"/>
  <c r="Q68" i="4"/>
  <c r="M68" i="4"/>
  <c r="V67" i="4"/>
  <c r="R67" i="4"/>
  <c r="N67" i="4"/>
  <c r="W66" i="4"/>
  <c r="S66" i="4"/>
  <c r="O66" i="4"/>
  <c r="U64" i="4"/>
  <c r="Q64" i="4"/>
  <c r="M64" i="4"/>
  <c r="V63" i="4"/>
  <c r="R63" i="4"/>
  <c r="N63" i="4"/>
  <c r="W62" i="4"/>
  <c r="S62" i="4"/>
  <c r="O62" i="4"/>
  <c r="U60" i="4"/>
  <c r="Q60" i="4"/>
  <c r="M60" i="4"/>
  <c r="I76" i="4"/>
  <c r="J75" i="4"/>
  <c r="K74" i="4"/>
  <c r="G74" i="4"/>
  <c r="I72" i="4"/>
  <c r="J71" i="4"/>
  <c r="K70" i="4"/>
  <c r="G70" i="4"/>
  <c r="I68" i="4"/>
  <c r="J67" i="4"/>
  <c r="K66" i="4"/>
  <c r="G66" i="4"/>
  <c r="I64" i="4"/>
  <c r="J63" i="4"/>
  <c r="K62" i="4"/>
  <c r="G62" i="4"/>
  <c r="I60" i="4"/>
  <c r="X76" i="4"/>
  <c r="T76" i="4"/>
  <c r="P76" i="4"/>
  <c r="U75" i="4"/>
  <c r="Q75" i="4"/>
  <c r="V74" i="4"/>
  <c r="R74" i="4"/>
  <c r="X72" i="4"/>
  <c r="T72" i="4"/>
  <c r="P72" i="4"/>
  <c r="U71" i="4"/>
  <c r="Q71" i="4"/>
  <c r="V70" i="4"/>
  <c r="R70" i="4"/>
  <c r="X68" i="4"/>
  <c r="T68" i="4"/>
  <c r="P68" i="4"/>
  <c r="U67" i="4"/>
  <c r="Q67" i="4"/>
  <c r="V66" i="4"/>
  <c r="R66" i="4"/>
  <c r="X64" i="4"/>
  <c r="T64" i="4"/>
  <c r="P64" i="4"/>
  <c r="U63" i="4"/>
  <c r="Q63" i="4"/>
  <c r="V62" i="4"/>
  <c r="R62" i="4"/>
  <c r="X60" i="4"/>
  <c r="T60" i="4"/>
  <c r="P60" i="4"/>
  <c r="I58" i="4"/>
  <c r="Q50" i="4"/>
  <c r="U46" i="4"/>
  <c r="Q46" i="4"/>
  <c r="M46" i="4"/>
  <c r="R43" i="4"/>
  <c r="K59" i="4"/>
  <c r="G59" i="4"/>
  <c r="H58" i="4"/>
  <c r="I57" i="4"/>
  <c r="J56" i="4"/>
  <c r="K55" i="4"/>
  <c r="G55" i="4"/>
  <c r="H54" i="4"/>
  <c r="I53" i="4"/>
  <c r="J52" i="4"/>
  <c r="K51" i="4"/>
  <c r="G51" i="4"/>
  <c r="H50" i="4"/>
  <c r="I49" i="4"/>
  <c r="J48" i="4"/>
  <c r="K47" i="4"/>
  <c r="G47" i="4"/>
  <c r="H46" i="4"/>
  <c r="I45" i="4"/>
  <c r="W59" i="4"/>
  <c r="S59" i="4"/>
  <c r="O59" i="4"/>
  <c r="X58" i="4"/>
  <c r="T58" i="4"/>
  <c r="P58" i="4"/>
  <c r="L58" i="4"/>
  <c r="U57" i="4"/>
  <c r="Q57" i="4"/>
  <c r="M57" i="4"/>
  <c r="V56" i="4"/>
  <c r="R56" i="4"/>
  <c r="N56" i="4"/>
  <c r="W55" i="4"/>
  <c r="S55" i="4"/>
  <c r="O55" i="4"/>
  <c r="X54" i="4"/>
  <c r="T54" i="4"/>
  <c r="P54" i="4"/>
  <c r="L54" i="4"/>
  <c r="U53" i="4"/>
  <c r="Q53" i="4"/>
  <c r="M53" i="4"/>
  <c r="V52" i="4"/>
  <c r="R52" i="4"/>
  <c r="N52" i="4"/>
  <c r="W51" i="4"/>
  <c r="S51" i="4"/>
  <c r="O51" i="4"/>
  <c r="X50" i="4"/>
  <c r="T50" i="4"/>
  <c r="P50" i="4"/>
  <c r="L50" i="4"/>
  <c r="U49" i="4"/>
  <c r="Q49" i="4"/>
  <c r="M49" i="4"/>
  <c r="V48" i="4"/>
  <c r="R48" i="4"/>
  <c r="N48" i="4"/>
  <c r="W47" i="4"/>
  <c r="S47" i="4"/>
  <c r="O47" i="4"/>
  <c r="X46" i="4"/>
  <c r="T46" i="4"/>
  <c r="P46" i="4"/>
  <c r="L46" i="4"/>
  <c r="U45" i="4"/>
  <c r="Q45" i="4"/>
  <c r="M45" i="4"/>
  <c r="V44" i="4"/>
  <c r="R44" i="4"/>
  <c r="N44" i="4"/>
  <c r="I54" i="4"/>
  <c r="I50" i="4"/>
  <c r="I46" i="4"/>
  <c r="Q58" i="4"/>
  <c r="Q54" i="4"/>
  <c r="G42" i="4"/>
  <c r="I43" i="4"/>
  <c r="K44" i="4"/>
  <c r="J59" i="4"/>
  <c r="K58" i="4"/>
  <c r="G58" i="4"/>
  <c r="H57" i="4"/>
  <c r="I56" i="4"/>
  <c r="J55" i="4"/>
  <c r="K54" i="4"/>
  <c r="G54" i="4"/>
  <c r="H53" i="4"/>
  <c r="I52" i="4"/>
  <c r="J51" i="4"/>
  <c r="K50" i="4"/>
  <c r="G50" i="4"/>
  <c r="H49" i="4"/>
  <c r="I48" i="4"/>
  <c r="J47" i="4"/>
  <c r="K46" i="4"/>
  <c r="G46" i="4"/>
  <c r="H45" i="4"/>
  <c r="V59" i="4"/>
  <c r="R59" i="4"/>
  <c r="N59" i="4"/>
  <c r="W58" i="4"/>
  <c r="S58" i="4"/>
  <c r="O58" i="4"/>
  <c r="X57" i="4"/>
  <c r="T57" i="4"/>
  <c r="P57" i="4"/>
  <c r="L57" i="4"/>
  <c r="U56" i="4"/>
  <c r="Q56" i="4"/>
  <c r="M56" i="4"/>
  <c r="V55" i="4"/>
  <c r="R55" i="4"/>
  <c r="N55" i="4"/>
  <c r="W54" i="4"/>
  <c r="S54" i="4"/>
  <c r="O54" i="4"/>
  <c r="X53" i="4"/>
  <c r="T53" i="4"/>
  <c r="P53" i="4"/>
  <c r="L53" i="4"/>
  <c r="U52" i="4"/>
  <c r="Q52" i="4"/>
  <c r="M52" i="4"/>
  <c r="V51" i="4"/>
  <c r="R51" i="4"/>
  <c r="N51" i="4"/>
  <c r="W50" i="4"/>
  <c r="S50" i="4"/>
  <c r="O50" i="4"/>
  <c r="X49" i="4"/>
  <c r="T49" i="4"/>
  <c r="P49" i="4"/>
  <c r="L49" i="4"/>
  <c r="U48" i="4"/>
  <c r="Q48" i="4"/>
  <c r="M48" i="4"/>
  <c r="V47" i="4"/>
  <c r="R47" i="4"/>
  <c r="N47" i="4"/>
  <c r="W46" i="4"/>
  <c r="S46" i="4"/>
  <c r="O46" i="4"/>
  <c r="X45" i="4"/>
  <c r="T45" i="4"/>
  <c r="P45" i="4"/>
  <c r="L45" i="4"/>
  <c r="U44" i="4"/>
  <c r="Q44" i="4"/>
  <c r="M44" i="4"/>
  <c r="U58" i="4"/>
  <c r="M58" i="4"/>
  <c r="U54" i="4"/>
  <c r="M54" i="4"/>
  <c r="U50" i="4"/>
  <c r="M50" i="4"/>
  <c r="O42" i="4"/>
  <c r="J43" i="4"/>
  <c r="I59" i="4"/>
  <c r="J58" i="4"/>
  <c r="K57" i="4"/>
  <c r="G57" i="4"/>
  <c r="H56" i="4"/>
  <c r="I55" i="4"/>
  <c r="J54" i="4"/>
  <c r="K53" i="4"/>
  <c r="G53" i="4"/>
  <c r="H52" i="4"/>
  <c r="I51" i="4"/>
  <c r="J50" i="4"/>
  <c r="K49" i="4"/>
  <c r="G49" i="4"/>
  <c r="H48" i="4"/>
  <c r="I47" i="4"/>
  <c r="J46" i="4"/>
  <c r="K45" i="4"/>
  <c r="G45" i="4"/>
  <c r="U59" i="4"/>
  <c r="Q59" i="4"/>
  <c r="V58" i="4"/>
  <c r="R58" i="4"/>
  <c r="W57" i="4"/>
  <c r="S57" i="4"/>
  <c r="X56" i="4"/>
  <c r="T56" i="4"/>
  <c r="P56" i="4"/>
  <c r="U55" i="4"/>
  <c r="Q55" i="4"/>
  <c r="V54" i="4"/>
  <c r="R54" i="4"/>
  <c r="W53" i="4"/>
  <c r="S53" i="4"/>
  <c r="X52" i="4"/>
  <c r="T52" i="4"/>
  <c r="P52" i="4"/>
  <c r="U51" i="4"/>
  <c r="Q51" i="4"/>
  <c r="V50" i="4"/>
  <c r="R50" i="4"/>
  <c r="W49" i="4"/>
  <c r="S49" i="4"/>
  <c r="X48" i="4"/>
  <c r="T48" i="4"/>
  <c r="P48" i="4"/>
  <c r="U47" i="4"/>
  <c r="Q47" i="4"/>
  <c r="V46" i="4"/>
  <c r="R46" i="4"/>
  <c r="W45" i="4"/>
  <c r="S45" i="4"/>
  <c r="X44" i="4"/>
  <c r="T44" i="4"/>
  <c r="P44" i="4"/>
  <c r="S29" i="4"/>
  <c r="S33" i="4"/>
  <c r="P40" i="4"/>
  <c r="H24" i="4"/>
  <c r="P24" i="4"/>
  <c r="X24" i="4"/>
  <c r="O25" i="4"/>
  <c r="N26" i="4"/>
  <c r="I27" i="4"/>
  <c r="O27" i="4"/>
  <c r="T27" i="4"/>
  <c r="L28" i="4"/>
  <c r="T28" i="4"/>
  <c r="G29" i="4"/>
  <c r="W29" i="4"/>
  <c r="R30" i="4"/>
  <c r="I31" i="4"/>
  <c r="O31" i="4"/>
  <c r="T31" i="4"/>
  <c r="L32" i="4"/>
  <c r="T32" i="4"/>
  <c r="G33" i="4"/>
  <c r="W33" i="4"/>
  <c r="H35" i="4"/>
  <c r="M35" i="4"/>
  <c r="S35" i="4"/>
  <c r="X35" i="4"/>
  <c r="K36" i="4"/>
  <c r="S36" i="4"/>
  <c r="S37" i="4"/>
  <c r="R38" i="4"/>
  <c r="I39" i="4"/>
  <c r="O39" i="4"/>
  <c r="T39" i="4"/>
  <c r="G40" i="4"/>
  <c r="L40" i="4"/>
  <c r="Q40" i="4"/>
  <c r="X40" i="4"/>
  <c r="K41" i="4"/>
  <c r="S41" i="4"/>
  <c r="K40" i="4"/>
  <c r="S25" i="4"/>
  <c r="K27" i="4"/>
  <c r="P27" i="4"/>
  <c r="U27" i="4"/>
  <c r="K29" i="4"/>
  <c r="K31" i="4"/>
  <c r="P31" i="4"/>
  <c r="U31" i="4"/>
  <c r="K33" i="4"/>
  <c r="I35" i="4"/>
  <c r="O35" i="4"/>
  <c r="T35" i="4"/>
  <c r="L36" i="4"/>
  <c r="T36" i="4"/>
  <c r="K39" i="4"/>
  <c r="P39" i="4"/>
  <c r="U39" i="4"/>
  <c r="H40" i="4"/>
  <c r="M40" i="4"/>
  <c r="S40" i="4"/>
  <c r="L41" i="4"/>
  <c r="T41" i="4"/>
  <c r="U40" i="4"/>
  <c r="L24" i="4"/>
  <c r="T24" i="4"/>
  <c r="G25" i="4"/>
  <c r="W25" i="4"/>
  <c r="G27" i="4"/>
  <c r="L27" i="4"/>
  <c r="Q27" i="4"/>
  <c r="W27" i="4"/>
  <c r="O29" i="4"/>
  <c r="G31" i="4"/>
  <c r="L31" i="4"/>
  <c r="Q31" i="4"/>
  <c r="W31" i="4"/>
  <c r="O33" i="4"/>
  <c r="K35" i="4"/>
  <c r="P35" i="4"/>
  <c r="U35" i="4"/>
  <c r="I40" i="4"/>
  <c r="O40" i="4"/>
  <c r="T40" i="4"/>
  <c r="W90" i="3"/>
  <c r="L78" i="3"/>
  <c r="P78" i="3"/>
  <c r="T78" i="3"/>
  <c r="X78" i="3"/>
  <c r="H78" i="3"/>
  <c r="S78" i="3"/>
  <c r="M78" i="3"/>
  <c r="Q78" i="3"/>
  <c r="U78" i="3"/>
  <c r="I78" i="3"/>
  <c r="N78" i="3"/>
  <c r="R78" i="3"/>
  <c r="V78" i="3"/>
  <c r="J78" i="3"/>
  <c r="O78" i="3"/>
  <c r="W78" i="3"/>
  <c r="L82" i="3"/>
  <c r="P82" i="3"/>
  <c r="T82" i="3"/>
  <c r="X82" i="3"/>
  <c r="H82" i="3"/>
  <c r="S82" i="3"/>
  <c r="M82" i="3"/>
  <c r="Q82" i="3"/>
  <c r="U82" i="3"/>
  <c r="I82" i="3"/>
  <c r="O82" i="3"/>
  <c r="N82" i="3"/>
  <c r="R82" i="3"/>
  <c r="V82" i="3"/>
  <c r="J82" i="3"/>
  <c r="W82" i="3"/>
  <c r="L86" i="3"/>
  <c r="P86" i="3"/>
  <c r="T86" i="3"/>
  <c r="X86" i="3"/>
  <c r="H86" i="3"/>
  <c r="O86" i="3"/>
  <c r="M86" i="3"/>
  <c r="Q86" i="3"/>
  <c r="U86" i="3"/>
  <c r="I86" i="3"/>
  <c r="N86" i="3"/>
  <c r="R86" i="3"/>
  <c r="V86" i="3"/>
  <c r="J86" i="3"/>
  <c r="L94" i="3"/>
  <c r="P94" i="3"/>
  <c r="T94" i="3"/>
  <c r="X94" i="3"/>
  <c r="H94" i="3"/>
  <c r="M94" i="3"/>
  <c r="Q94" i="3"/>
  <c r="U94" i="3"/>
  <c r="I94" i="3"/>
  <c r="N94" i="3"/>
  <c r="R94" i="3"/>
  <c r="V94" i="3"/>
  <c r="J94" i="3"/>
  <c r="K94" i="3"/>
  <c r="G82" i="3"/>
  <c r="K78" i="3"/>
  <c r="O94" i="3"/>
  <c r="W86" i="3"/>
  <c r="L90" i="3"/>
  <c r="P90" i="3"/>
  <c r="T90" i="3"/>
  <c r="X90" i="3"/>
  <c r="H90" i="3"/>
  <c r="M90" i="3"/>
  <c r="Q90" i="3"/>
  <c r="U90" i="3"/>
  <c r="I90" i="3"/>
  <c r="N90" i="3"/>
  <c r="R90" i="3"/>
  <c r="V90" i="3"/>
  <c r="J90" i="3"/>
  <c r="G94" i="3"/>
  <c r="K90" i="3"/>
  <c r="G78" i="3"/>
  <c r="O90" i="3"/>
  <c r="S86" i="3"/>
  <c r="I95" i="3"/>
  <c r="K93" i="3"/>
  <c r="G93" i="3"/>
  <c r="H92" i="3"/>
  <c r="I91" i="3"/>
  <c r="K89" i="3"/>
  <c r="G89" i="3"/>
  <c r="H88" i="3"/>
  <c r="I87" i="3"/>
  <c r="K85" i="3"/>
  <c r="G85" i="3"/>
  <c r="H84" i="3"/>
  <c r="I83" i="3"/>
  <c r="K81" i="3"/>
  <c r="G81" i="3"/>
  <c r="H80" i="3"/>
  <c r="I79" i="3"/>
  <c r="U95" i="3"/>
  <c r="Q95" i="3"/>
  <c r="M95" i="3"/>
  <c r="W93" i="3"/>
  <c r="S93" i="3"/>
  <c r="O93" i="3"/>
  <c r="X92" i="3"/>
  <c r="T92" i="3"/>
  <c r="P92" i="3"/>
  <c r="L92" i="3"/>
  <c r="U91" i="3"/>
  <c r="Q91" i="3"/>
  <c r="M91" i="3"/>
  <c r="W89" i="3"/>
  <c r="S89" i="3"/>
  <c r="O89" i="3"/>
  <c r="X88" i="3"/>
  <c r="T88" i="3"/>
  <c r="P88" i="3"/>
  <c r="L88" i="3"/>
  <c r="U87" i="3"/>
  <c r="Q87" i="3"/>
  <c r="M87" i="3"/>
  <c r="W85" i="3"/>
  <c r="S85" i="3"/>
  <c r="O85" i="3"/>
  <c r="X84" i="3"/>
  <c r="T84" i="3"/>
  <c r="P84" i="3"/>
  <c r="L84" i="3"/>
  <c r="U83" i="3"/>
  <c r="Q83" i="3"/>
  <c r="M83" i="3"/>
  <c r="W81" i="3"/>
  <c r="S81" i="3"/>
  <c r="O81" i="3"/>
  <c r="X80" i="3"/>
  <c r="T80" i="3"/>
  <c r="P80" i="3"/>
  <c r="L80" i="3"/>
  <c r="U79" i="3"/>
  <c r="Q79" i="3"/>
  <c r="M79" i="3"/>
  <c r="H95" i="3"/>
  <c r="J93" i="3"/>
  <c r="K92" i="3"/>
  <c r="G92" i="3"/>
  <c r="H91" i="3"/>
  <c r="J89" i="3"/>
  <c r="K88" i="3"/>
  <c r="G88" i="3"/>
  <c r="H87" i="3"/>
  <c r="J85" i="3"/>
  <c r="K84" i="3"/>
  <c r="G84" i="3"/>
  <c r="H83" i="3"/>
  <c r="J81" i="3"/>
  <c r="K80" i="3"/>
  <c r="G80" i="3"/>
  <c r="H79" i="3"/>
  <c r="X95" i="3"/>
  <c r="T95" i="3"/>
  <c r="P95" i="3"/>
  <c r="L95" i="3"/>
  <c r="V93" i="3"/>
  <c r="R93" i="3"/>
  <c r="N93" i="3"/>
  <c r="W92" i="3"/>
  <c r="S92" i="3"/>
  <c r="O92" i="3"/>
  <c r="X91" i="3"/>
  <c r="T91" i="3"/>
  <c r="P91" i="3"/>
  <c r="L91" i="3"/>
  <c r="V89" i="3"/>
  <c r="R89" i="3"/>
  <c r="N89" i="3"/>
  <c r="W88" i="3"/>
  <c r="S88" i="3"/>
  <c r="O88" i="3"/>
  <c r="X87" i="3"/>
  <c r="T87" i="3"/>
  <c r="P87" i="3"/>
  <c r="L87" i="3"/>
  <c r="V85" i="3"/>
  <c r="R85" i="3"/>
  <c r="N85" i="3"/>
  <c r="W84" i="3"/>
  <c r="S84" i="3"/>
  <c r="O84" i="3"/>
  <c r="X83" i="3"/>
  <c r="T83" i="3"/>
  <c r="P83" i="3"/>
  <c r="L83" i="3"/>
  <c r="V81" i="3"/>
  <c r="R81" i="3"/>
  <c r="N81" i="3"/>
  <c r="W80" i="3"/>
  <c r="S80" i="3"/>
  <c r="O80" i="3"/>
  <c r="X79" i="3"/>
  <c r="T79" i="3"/>
  <c r="P79" i="3"/>
  <c r="L79" i="3"/>
  <c r="K95" i="3"/>
  <c r="G95" i="3"/>
  <c r="I93" i="3"/>
  <c r="J92" i="3"/>
  <c r="K91" i="3"/>
  <c r="G91" i="3"/>
  <c r="I89" i="3"/>
  <c r="J88" i="3"/>
  <c r="K87" i="3"/>
  <c r="G87" i="3"/>
  <c r="I85" i="3"/>
  <c r="J84" i="3"/>
  <c r="K83" i="3"/>
  <c r="G83" i="3"/>
  <c r="I81" i="3"/>
  <c r="J80" i="3"/>
  <c r="K79" i="3"/>
  <c r="G79" i="3"/>
  <c r="W95" i="3"/>
  <c r="S95" i="3"/>
  <c r="U93" i="3"/>
  <c r="Q93" i="3"/>
  <c r="V92" i="3"/>
  <c r="R92" i="3"/>
  <c r="W91" i="3"/>
  <c r="S91" i="3"/>
  <c r="U89" i="3"/>
  <c r="Q89" i="3"/>
  <c r="V88" i="3"/>
  <c r="R88" i="3"/>
  <c r="W87" i="3"/>
  <c r="S87" i="3"/>
  <c r="U85" i="3"/>
  <c r="Q85" i="3"/>
  <c r="V84" i="3"/>
  <c r="R84" i="3"/>
  <c r="W83" i="3"/>
  <c r="S83" i="3"/>
  <c r="U81" i="3"/>
  <c r="Q81" i="3"/>
  <c r="V80" i="3"/>
  <c r="R80" i="3"/>
  <c r="W79" i="3"/>
  <c r="S79" i="3"/>
  <c r="L67" i="3"/>
  <c r="P67" i="3"/>
  <c r="T67" i="3"/>
  <c r="X67" i="3"/>
  <c r="J67" i="3"/>
  <c r="M67" i="3"/>
  <c r="Q67" i="3"/>
  <c r="U67" i="3"/>
  <c r="G67" i="3"/>
  <c r="K67" i="3"/>
  <c r="O67" i="3"/>
  <c r="S67" i="3"/>
  <c r="W67" i="3"/>
  <c r="N67" i="3"/>
  <c r="R67" i="3"/>
  <c r="V67" i="3"/>
  <c r="H67" i="3"/>
  <c r="L75" i="3"/>
  <c r="P75" i="3"/>
  <c r="T75" i="3"/>
  <c r="X75" i="3"/>
  <c r="J75" i="3"/>
  <c r="M75" i="3"/>
  <c r="Q75" i="3"/>
  <c r="U75" i="3"/>
  <c r="G75" i="3"/>
  <c r="K75" i="3"/>
  <c r="N75" i="3"/>
  <c r="R75" i="3"/>
  <c r="V75" i="3"/>
  <c r="H75" i="3"/>
  <c r="W75" i="3"/>
  <c r="L71" i="3"/>
  <c r="P71" i="3"/>
  <c r="T71" i="3"/>
  <c r="X71" i="3"/>
  <c r="J71" i="3"/>
  <c r="M71" i="3"/>
  <c r="Q71" i="3"/>
  <c r="U71" i="3"/>
  <c r="G71" i="3"/>
  <c r="K71" i="3"/>
  <c r="N71" i="3"/>
  <c r="R71" i="3"/>
  <c r="V71" i="3"/>
  <c r="H71" i="3"/>
  <c r="I67" i="3"/>
  <c r="S75" i="3"/>
  <c r="W71" i="3"/>
  <c r="L63" i="3"/>
  <c r="P63" i="3"/>
  <c r="T63" i="3"/>
  <c r="X63" i="3"/>
  <c r="J63" i="3"/>
  <c r="M63" i="3"/>
  <c r="Q63" i="3"/>
  <c r="U63" i="3"/>
  <c r="G63" i="3"/>
  <c r="K63" i="3"/>
  <c r="S63" i="3"/>
  <c r="N63" i="3"/>
  <c r="R63" i="3"/>
  <c r="V63" i="3"/>
  <c r="H63" i="3"/>
  <c r="O63" i="3"/>
  <c r="W63" i="3"/>
  <c r="I63" i="3"/>
  <c r="O75" i="3"/>
  <c r="S71" i="3"/>
  <c r="J77" i="3"/>
  <c r="K76" i="3"/>
  <c r="G76" i="3"/>
  <c r="I74" i="3"/>
  <c r="J73" i="3"/>
  <c r="K72" i="3"/>
  <c r="G72" i="3"/>
  <c r="I70" i="3"/>
  <c r="J69" i="3"/>
  <c r="K68" i="3"/>
  <c r="G68" i="3"/>
  <c r="I66" i="3"/>
  <c r="J65" i="3"/>
  <c r="K64" i="3"/>
  <c r="G64" i="3"/>
  <c r="I62" i="3"/>
  <c r="J61" i="3"/>
  <c r="K60" i="3"/>
  <c r="G60" i="3"/>
  <c r="X77" i="3"/>
  <c r="T77" i="3"/>
  <c r="P77" i="3"/>
  <c r="L77" i="3"/>
  <c r="U76" i="3"/>
  <c r="Q76" i="3"/>
  <c r="M76" i="3"/>
  <c r="W74" i="3"/>
  <c r="S74" i="3"/>
  <c r="O74" i="3"/>
  <c r="X73" i="3"/>
  <c r="T73" i="3"/>
  <c r="P73" i="3"/>
  <c r="L73" i="3"/>
  <c r="U72" i="3"/>
  <c r="Q72" i="3"/>
  <c r="M72" i="3"/>
  <c r="W70" i="3"/>
  <c r="S70" i="3"/>
  <c r="O70" i="3"/>
  <c r="X69" i="3"/>
  <c r="T69" i="3"/>
  <c r="P69" i="3"/>
  <c r="L69" i="3"/>
  <c r="U68" i="3"/>
  <c r="Q68" i="3"/>
  <c r="M68" i="3"/>
  <c r="W66" i="3"/>
  <c r="S66" i="3"/>
  <c r="O66" i="3"/>
  <c r="X65" i="3"/>
  <c r="T65" i="3"/>
  <c r="P65" i="3"/>
  <c r="L65" i="3"/>
  <c r="U64" i="3"/>
  <c r="Q64" i="3"/>
  <c r="M64" i="3"/>
  <c r="W62" i="3"/>
  <c r="S62" i="3"/>
  <c r="O62" i="3"/>
  <c r="X61" i="3"/>
  <c r="T61" i="3"/>
  <c r="P61" i="3"/>
  <c r="L61" i="3"/>
  <c r="U60" i="3"/>
  <c r="Q60" i="3"/>
  <c r="M60" i="3"/>
  <c r="I77" i="3"/>
  <c r="J76" i="3"/>
  <c r="H74" i="3"/>
  <c r="I73" i="3"/>
  <c r="J72" i="3"/>
  <c r="H70" i="3"/>
  <c r="I69" i="3"/>
  <c r="J68" i="3"/>
  <c r="H66" i="3"/>
  <c r="I65" i="3"/>
  <c r="J64" i="3"/>
  <c r="H62" i="3"/>
  <c r="I61" i="3"/>
  <c r="J60" i="3"/>
  <c r="W77" i="3"/>
  <c r="S77" i="3"/>
  <c r="O77" i="3"/>
  <c r="X76" i="3"/>
  <c r="T76" i="3"/>
  <c r="P76" i="3"/>
  <c r="L76" i="3"/>
  <c r="V74" i="3"/>
  <c r="R74" i="3"/>
  <c r="N74" i="3"/>
  <c r="W73" i="3"/>
  <c r="S73" i="3"/>
  <c r="O73" i="3"/>
  <c r="X72" i="3"/>
  <c r="T72" i="3"/>
  <c r="P72" i="3"/>
  <c r="L72" i="3"/>
  <c r="V70" i="3"/>
  <c r="R70" i="3"/>
  <c r="N70" i="3"/>
  <c r="W69" i="3"/>
  <c r="S69" i="3"/>
  <c r="O69" i="3"/>
  <c r="X68" i="3"/>
  <c r="T68" i="3"/>
  <c r="P68" i="3"/>
  <c r="L68" i="3"/>
  <c r="V66" i="3"/>
  <c r="R66" i="3"/>
  <c r="N66" i="3"/>
  <c r="W65" i="3"/>
  <c r="S65" i="3"/>
  <c r="O65" i="3"/>
  <c r="X64" i="3"/>
  <c r="T64" i="3"/>
  <c r="P64" i="3"/>
  <c r="L64" i="3"/>
  <c r="V62" i="3"/>
  <c r="R62" i="3"/>
  <c r="N62" i="3"/>
  <c r="W61" i="3"/>
  <c r="S61" i="3"/>
  <c r="O61" i="3"/>
  <c r="X60" i="3"/>
  <c r="T60" i="3"/>
  <c r="P60" i="3"/>
  <c r="L60" i="3"/>
  <c r="H77" i="3"/>
  <c r="I76" i="3"/>
  <c r="K74" i="3"/>
  <c r="G74" i="3"/>
  <c r="H73" i="3"/>
  <c r="I72" i="3"/>
  <c r="K70" i="3"/>
  <c r="G70" i="3"/>
  <c r="H69" i="3"/>
  <c r="I68" i="3"/>
  <c r="K66" i="3"/>
  <c r="G66" i="3"/>
  <c r="H65" i="3"/>
  <c r="I64" i="3"/>
  <c r="K62" i="3"/>
  <c r="G62" i="3"/>
  <c r="H61" i="3"/>
  <c r="I60" i="3"/>
  <c r="V77" i="3"/>
  <c r="R77" i="3"/>
  <c r="W76" i="3"/>
  <c r="S76" i="3"/>
  <c r="U74" i="3"/>
  <c r="Q74" i="3"/>
  <c r="V73" i="3"/>
  <c r="R73" i="3"/>
  <c r="W72" i="3"/>
  <c r="S72" i="3"/>
  <c r="U70" i="3"/>
  <c r="Q70" i="3"/>
  <c r="V69" i="3"/>
  <c r="R69" i="3"/>
  <c r="W68" i="3"/>
  <c r="S68" i="3"/>
  <c r="U66" i="3"/>
  <c r="Q66" i="3"/>
  <c r="V65" i="3"/>
  <c r="R65" i="3"/>
  <c r="W64" i="3"/>
  <c r="S64" i="3"/>
  <c r="U62" i="3"/>
  <c r="Q62" i="3"/>
  <c r="V61" i="3"/>
  <c r="R61" i="3"/>
  <c r="W60" i="3"/>
  <c r="S60" i="3"/>
  <c r="L46" i="3"/>
  <c r="P46" i="3"/>
  <c r="T46" i="3"/>
  <c r="X46" i="3"/>
  <c r="H46" i="3"/>
  <c r="M46" i="3"/>
  <c r="Q46" i="3"/>
  <c r="U46" i="3"/>
  <c r="I46" i="3"/>
  <c r="N46" i="3"/>
  <c r="R46" i="3"/>
  <c r="V46" i="3"/>
  <c r="J46" i="3"/>
  <c r="O46" i="3"/>
  <c r="S46" i="3"/>
  <c r="W46" i="3"/>
  <c r="L50" i="3"/>
  <c r="P50" i="3"/>
  <c r="T50" i="3"/>
  <c r="X50" i="3"/>
  <c r="H50" i="3"/>
  <c r="O50" i="3"/>
  <c r="S50" i="3"/>
  <c r="M50" i="3"/>
  <c r="Q50" i="3"/>
  <c r="U50" i="3"/>
  <c r="I50" i="3"/>
  <c r="N50" i="3"/>
  <c r="R50" i="3"/>
  <c r="V50" i="3"/>
  <c r="J50" i="3"/>
  <c r="W50" i="3"/>
  <c r="L54" i="3"/>
  <c r="P54" i="3"/>
  <c r="T54" i="3"/>
  <c r="X54" i="3"/>
  <c r="H54" i="3"/>
  <c r="M54" i="3"/>
  <c r="Q54" i="3"/>
  <c r="U54" i="3"/>
  <c r="I54" i="3"/>
  <c r="N54" i="3"/>
  <c r="R54" i="3"/>
  <c r="V54" i="3"/>
  <c r="J54" i="3"/>
  <c r="L58" i="3"/>
  <c r="P58" i="3"/>
  <c r="T58" i="3"/>
  <c r="X58" i="3"/>
  <c r="H58" i="3"/>
  <c r="M58" i="3"/>
  <c r="Q58" i="3"/>
  <c r="U58" i="3"/>
  <c r="I58" i="3"/>
  <c r="N58" i="3"/>
  <c r="R58" i="3"/>
  <c r="V58" i="3"/>
  <c r="J58" i="3"/>
  <c r="K58" i="3"/>
  <c r="G46" i="3"/>
  <c r="O54" i="3"/>
  <c r="G58" i="3"/>
  <c r="K54" i="3"/>
  <c r="W58" i="3"/>
  <c r="O43" i="3"/>
  <c r="S43" i="3"/>
  <c r="W43" i="3"/>
  <c r="L43" i="3"/>
  <c r="P43" i="3"/>
  <c r="T43" i="3"/>
  <c r="X43" i="3"/>
  <c r="M43" i="3"/>
  <c r="Q43" i="3"/>
  <c r="U43" i="3"/>
  <c r="J43" i="3"/>
  <c r="N43" i="3"/>
  <c r="R43" i="3"/>
  <c r="V43" i="3"/>
  <c r="G54" i="3"/>
  <c r="K50" i="3"/>
  <c r="S58" i="3"/>
  <c r="W54" i="3"/>
  <c r="I59" i="3"/>
  <c r="K57" i="3"/>
  <c r="G57" i="3"/>
  <c r="H56" i="3"/>
  <c r="I55" i="3"/>
  <c r="K53" i="3"/>
  <c r="G53" i="3"/>
  <c r="H52" i="3"/>
  <c r="I51" i="3"/>
  <c r="K49" i="3"/>
  <c r="G49" i="3"/>
  <c r="H48" i="3"/>
  <c r="I47" i="3"/>
  <c r="K45" i="3"/>
  <c r="G45" i="3"/>
  <c r="U59" i="3"/>
  <c r="Q59" i="3"/>
  <c r="M59" i="3"/>
  <c r="W57" i="3"/>
  <c r="S57" i="3"/>
  <c r="O57" i="3"/>
  <c r="X56" i="3"/>
  <c r="T56" i="3"/>
  <c r="P56" i="3"/>
  <c r="L56" i="3"/>
  <c r="U55" i="3"/>
  <c r="Q55" i="3"/>
  <c r="M55" i="3"/>
  <c r="W53" i="3"/>
  <c r="S53" i="3"/>
  <c r="O53" i="3"/>
  <c r="X52" i="3"/>
  <c r="T52" i="3"/>
  <c r="P52" i="3"/>
  <c r="L52" i="3"/>
  <c r="U51" i="3"/>
  <c r="Q51" i="3"/>
  <c r="M51" i="3"/>
  <c r="W49" i="3"/>
  <c r="S49" i="3"/>
  <c r="O49" i="3"/>
  <c r="X48" i="3"/>
  <c r="T48" i="3"/>
  <c r="P48" i="3"/>
  <c r="L48" i="3"/>
  <c r="U47" i="3"/>
  <c r="Q47" i="3"/>
  <c r="M47" i="3"/>
  <c r="W45" i="3"/>
  <c r="S45" i="3"/>
  <c r="O45" i="3"/>
  <c r="X44" i="3"/>
  <c r="T44" i="3"/>
  <c r="P44" i="3"/>
  <c r="L44" i="3"/>
  <c r="V42" i="3"/>
  <c r="R42" i="3"/>
  <c r="N42" i="3"/>
  <c r="G42" i="3"/>
  <c r="K44" i="3"/>
  <c r="H59" i="3"/>
  <c r="J57" i="3"/>
  <c r="K56" i="3"/>
  <c r="G56" i="3"/>
  <c r="H55" i="3"/>
  <c r="J53" i="3"/>
  <c r="K52" i="3"/>
  <c r="G52" i="3"/>
  <c r="H51" i="3"/>
  <c r="J49" i="3"/>
  <c r="K48" i="3"/>
  <c r="G48" i="3"/>
  <c r="H47" i="3"/>
  <c r="J45" i="3"/>
  <c r="X59" i="3"/>
  <c r="T59" i="3"/>
  <c r="P59" i="3"/>
  <c r="L59" i="3"/>
  <c r="V57" i="3"/>
  <c r="R57" i="3"/>
  <c r="N57" i="3"/>
  <c r="W56" i="3"/>
  <c r="S56" i="3"/>
  <c r="O56" i="3"/>
  <c r="X55" i="3"/>
  <c r="T55" i="3"/>
  <c r="P55" i="3"/>
  <c r="L55" i="3"/>
  <c r="V53" i="3"/>
  <c r="R53" i="3"/>
  <c r="N53" i="3"/>
  <c r="W52" i="3"/>
  <c r="S52" i="3"/>
  <c r="O52" i="3"/>
  <c r="X51" i="3"/>
  <c r="T51" i="3"/>
  <c r="P51" i="3"/>
  <c r="L51" i="3"/>
  <c r="V49" i="3"/>
  <c r="R49" i="3"/>
  <c r="N49" i="3"/>
  <c r="W48" i="3"/>
  <c r="S48" i="3"/>
  <c r="O48" i="3"/>
  <c r="X47" i="3"/>
  <c r="T47" i="3"/>
  <c r="P47" i="3"/>
  <c r="L47" i="3"/>
  <c r="V45" i="3"/>
  <c r="R45" i="3"/>
  <c r="N45" i="3"/>
  <c r="W44" i="3"/>
  <c r="S44" i="3"/>
  <c r="O44" i="3"/>
  <c r="U42" i="3"/>
  <c r="Q42" i="3"/>
  <c r="M42" i="3"/>
  <c r="J42" i="3"/>
  <c r="K59" i="3"/>
  <c r="G59" i="3"/>
  <c r="I57" i="3"/>
  <c r="J56" i="3"/>
  <c r="K55" i="3"/>
  <c r="G55" i="3"/>
  <c r="I53" i="3"/>
  <c r="J52" i="3"/>
  <c r="K51" i="3"/>
  <c r="G51" i="3"/>
  <c r="I49" i="3"/>
  <c r="J48" i="3"/>
  <c r="K47" i="3"/>
  <c r="G47" i="3"/>
  <c r="I45" i="3"/>
  <c r="W59" i="3"/>
  <c r="S59" i="3"/>
  <c r="U57" i="3"/>
  <c r="Q57" i="3"/>
  <c r="V56" i="3"/>
  <c r="R56" i="3"/>
  <c r="W55" i="3"/>
  <c r="S55" i="3"/>
  <c r="U53" i="3"/>
  <c r="Q53" i="3"/>
  <c r="V52" i="3"/>
  <c r="R52" i="3"/>
  <c r="W51" i="3"/>
  <c r="S51" i="3"/>
  <c r="U49" i="3"/>
  <c r="Q49" i="3"/>
  <c r="V48" i="3"/>
  <c r="R48" i="3"/>
  <c r="W47" i="3"/>
  <c r="S47" i="3"/>
  <c r="U45" i="3"/>
  <c r="Q45" i="3"/>
  <c r="V44" i="3"/>
  <c r="R44" i="3"/>
  <c r="X42" i="3"/>
  <c r="T42" i="3"/>
  <c r="P42" i="3"/>
  <c r="M32" i="3"/>
  <c r="U28" i="3"/>
  <c r="M28" i="3"/>
  <c r="R27" i="3"/>
  <c r="T24" i="3"/>
  <c r="G27" i="3"/>
  <c r="K29" i="3"/>
  <c r="G31" i="3"/>
  <c r="H32" i="3"/>
  <c r="I37" i="3"/>
  <c r="K40" i="3"/>
  <c r="W41" i="3"/>
  <c r="S41" i="3"/>
  <c r="O41" i="3"/>
  <c r="X40" i="3"/>
  <c r="T40" i="3"/>
  <c r="P40" i="3"/>
  <c r="L40" i="3"/>
  <c r="U39" i="3"/>
  <c r="Q39" i="3"/>
  <c r="M39" i="3"/>
  <c r="V38" i="3"/>
  <c r="R38" i="3"/>
  <c r="N38" i="3"/>
  <c r="W37" i="3"/>
  <c r="S37" i="3"/>
  <c r="O37" i="3"/>
  <c r="X36" i="3"/>
  <c r="T36" i="3"/>
  <c r="P36" i="3"/>
  <c r="L36" i="3"/>
  <c r="U35" i="3"/>
  <c r="Q35" i="3"/>
  <c r="M35" i="3"/>
  <c r="V34" i="3"/>
  <c r="R34" i="3"/>
  <c r="N34" i="3"/>
  <c r="W33" i="3"/>
  <c r="S33" i="3"/>
  <c r="O33" i="3"/>
  <c r="X32" i="3"/>
  <c r="T32" i="3"/>
  <c r="P32" i="3"/>
  <c r="L32" i="3"/>
  <c r="U31" i="3"/>
  <c r="Q31" i="3"/>
  <c r="M31" i="3"/>
  <c r="V30" i="3"/>
  <c r="R30" i="3"/>
  <c r="N30" i="3"/>
  <c r="W29" i="3"/>
  <c r="S29" i="3"/>
  <c r="O29" i="3"/>
  <c r="X28" i="3"/>
  <c r="T28" i="3"/>
  <c r="P28" i="3"/>
  <c r="L28" i="3"/>
  <c r="U27" i="3"/>
  <c r="Q27" i="3"/>
  <c r="M27" i="3"/>
  <c r="V26" i="3"/>
  <c r="R26" i="3"/>
  <c r="N26" i="3"/>
  <c r="U32" i="3"/>
  <c r="Q32" i="3"/>
  <c r="V31" i="3"/>
  <c r="R31" i="3"/>
  <c r="N31" i="3"/>
  <c r="Q28" i="3"/>
  <c r="V27" i="3"/>
  <c r="N27" i="3"/>
  <c r="H24" i="3"/>
  <c r="X24" i="3"/>
  <c r="I27" i="3"/>
  <c r="G29" i="3"/>
  <c r="I31" i="3"/>
  <c r="K33" i="3"/>
  <c r="G35" i="3"/>
  <c r="K37" i="3"/>
  <c r="G39" i="3"/>
  <c r="V41" i="3"/>
  <c r="R41" i="3"/>
  <c r="N41" i="3"/>
  <c r="W40" i="3"/>
  <c r="S40" i="3"/>
  <c r="O40" i="3"/>
  <c r="X39" i="3"/>
  <c r="T39" i="3"/>
  <c r="P39" i="3"/>
  <c r="L39" i="3"/>
  <c r="U38" i="3"/>
  <c r="Q38" i="3"/>
  <c r="M38" i="3"/>
  <c r="V37" i="3"/>
  <c r="R37" i="3"/>
  <c r="N37" i="3"/>
  <c r="W36" i="3"/>
  <c r="S36" i="3"/>
  <c r="O36" i="3"/>
  <c r="X35" i="3"/>
  <c r="T35" i="3"/>
  <c r="P35" i="3"/>
  <c r="L35" i="3"/>
  <c r="U34" i="3"/>
  <c r="Q34" i="3"/>
  <c r="M34" i="3"/>
  <c r="V33" i="3"/>
  <c r="R33" i="3"/>
  <c r="N33" i="3"/>
  <c r="W32" i="3"/>
  <c r="S32" i="3"/>
  <c r="O32" i="3"/>
  <c r="X31" i="3"/>
  <c r="T31" i="3"/>
  <c r="P31" i="3"/>
  <c r="L31" i="3"/>
  <c r="U30" i="3"/>
  <c r="Q30" i="3"/>
  <c r="M30" i="3"/>
  <c r="V29" i="3"/>
  <c r="R29" i="3"/>
  <c r="N29" i="3"/>
  <c r="W28" i="3"/>
  <c r="S28" i="3"/>
  <c r="O28" i="3"/>
  <c r="X27" i="3"/>
  <c r="T27" i="3"/>
  <c r="P27" i="3"/>
  <c r="L27" i="3"/>
  <c r="U26" i="3"/>
  <c r="Q26" i="3"/>
  <c r="M26" i="3"/>
  <c r="L24" i="3"/>
  <c r="K25" i="3"/>
  <c r="P25" i="3"/>
  <c r="U25" i="3"/>
  <c r="J26" i="3"/>
  <c r="K27" i="3"/>
  <c r="H29" i="3"/>
  <c r="H30" i="3"/>
  <c r="K31" i="3"/>
  <c r="G33" i="3"/>
  <c r="I35" i="3"/>
  <c r="G37" i="3"/>
  <c r="I39" i="3"/>
  <c r="H40" i="3"/>
  <c r="G41" i="3"/>
  <c r="U41" i="3"/>
  <c r="Q41" i="3"/>
  <c r="V40" i="3"/>
  <c r="R40" i="3"/>
  <c r="W39" i="3"/>
  <c r="S39" i="3"/>
  <c r="X38" i="3"/>
  <c r="T38" i="3"/>
  <c r="P38" i="3"/>
  <c r="U37" i="3"/>
  <c r="Q37" i="3"/>
  <c r="V36" i="3"/>
  <c r="R36" i="3"/>
  <c r="N36" i="3"/>
  <c r="W35" i="3"/>
  <c r="S35" i="3"/>
  <c r="X34" i="3"/>
  <c r="T34" i="3"/>
  <c r="P34" i="3"/>
  <c r="U33" i="3"/>
  <c r="Q33" i="3"/>
  <c r="V32" i="3"/>
  <c r="R32" i="3"/>
  <c r="W31" i="3"/>
  <c r="S31" i="3"/>
  <c r="X30" i="3"/>
  <c r="T30" i="3"/>
  <c r="P30" i="3"/>
  <c r="U29" i="3"/>
  <c r="Q29" i="3"/>
  <c r="V28" i="3"/>
  <c r="R28" i="3"/>
  <c r="W27" i="3"/>
  <c r="S27" i="3"/>
  <c r="X26" i="3"/>
  <c r="T26" i="3"/>
  <c r="P26" i="3"/>
  <c r="V38" i="1"/>
  <c r="T38" i="1"/>
  <c r="V34" i="1"/>
  <c r="W30" i="1"/>
  <c r="V26" i="1"/>
  <c r="X34" i="1"/>
  <c r="X30" i="1"/>
  <c r="X26" i="1"/>
  <c r="W26" i="1"/>
  <c r="S41" i="13"/>
  <c r="G41" i="13"/>
  <c r="N41" i="13"/>
  <c r="T41" i="13"/>
  <c r="H41" i="13"/>
  <c r="O41" i="13"/>
  <c r="W41" i="13"/>
  <c r="L41" i="13"/>
  <c r="J41" i="13"/>
  <c r="R41" i="13"/>
  <c r="K40" i="13"/>
  <c r="P40" i="13"/>
  <c r="U40" i="13"/>
  <c r="G40" i="13"/>
  <c r="L40" i="13"/>
  <c r="Q40" i="13"/>
  <c r="W40" i="13"/>
  <c r="H40" i="13"/>
  <c r="M40" i="13"/>
  <c r="S40" i="13"/>
  <c r="X40" i="13"/>
  <c r="M39" i="13"/>
  <c r="G39" i="13"/>
  <c r="Q39" i="13"/>
  <c r="H39" i="13"/>
  <c r="S39" i="13"/>
  <c r="I39" i="13"/>
  <c r="O39" i="13"/>
  <c r="T39" i="13"/>
  <c r="K39" i="13"/>
  <c r="P39" i="13"/>
  <c r="U39" i="13"/>
  <c r="J38" i="13"/>
  <c r="M37" i="13"/>
  <c r="U37" i="13"/>
  <c r="G37" i="13"/>
  <c r="O37" i="13"/>
  <c r="W37" i="13"/>
  <c r="T36" i="13"/>
  <c r="H36" i="13"/>
  <c r="X36" i="13"/>
  <c r="L36" i="13"/>
  <c r="P36" i="13"/>
  <c r="K35" i="13"/>
  <c r="P35" i="13"/>
  <c r="U35" i="13"/>
  <c r="G35" i="13"/>
  <c r="L35" i="13"/>
  <c r="Q35" i="13"/>
  <c r="W35" i="13"/>
  <c r="H35" i="13"/>
  <c r="M35" i="13"/>
  <c r="S35" i="13"/>
  <c r="X35" i="13"/>
  <c r="J34" i="13"/>
  <c r="I33" i="13"/>
  <c r="Q33" i="13"/>
  <c r="K33" i="13"/>
  <c r="S33" i="13"/>
  <c r="M33" i="13"/>
  <c r="U33" i="13"/>
  <c r="T32" i="13"/>
  <c r="H32" i="13"/>
  <c r="X32" i="13"/>
  <c r="L32" i="13"/>
  <c r="H31" i="13"/>
  <c r="M31" i="13"/>
  <c r="S31" i="13"/>
  <c r="X31" i="13"/>
  <c r="I31" i="13"/>
  <c r="O31" i="13"/>
  <c r="T31" i="13"/>
  <c r="K31" i="13"/>
  <c r="P31" i="13"/>
  <c r="U31" i="13"/>
  <c r="G31" i="13"/>
  <c r="L31" i="13"/>
  <c r="Q31" i="13"/>
  <c r="W31" i="13"/>
  <c r="M29" i="13"/>
  <c r="U29" i="13"/>
  <c r="G29" i="13"/>
  <c r="O29" i="13"/>
  <c r="W29" i="13"/>
  <c r="I29" i="13"/>
  <c r="Q29" i="13"/>
  <c r="L28" i="13"/>
  <c r="P28" i="13"/>
  <c r="T28" i="13"/>
  <c r="P27" i="13"/>
  <c r="G27" i="13"/>
  <c r="L27" i="13"/>
  <c r="Q27" i="13"/>
  <c r="W27" i="13"/>
  <c r="K27" i="13"/>
  <c r="H27" i="13"/>
  <c r="M27" i="13"/>
  <c r="S27" i="13"/>
  <c r="X27" i="13"/>
  <c r="U27" i="13"/>
  <c r="I27" i="13"/>
  <c r="O27" i="13"/>
  <c r="T27" i="13"/>
  <c r="J26" i="13"/>
  <c r="R26" i="13"/>
  <c r="I25" i="13"/>
  <c r="Q25" i="13"/>
  <c r="K25" i="13"/>
  <c r="S25" i="13"/>
  <c r="M25" i="13"/>
  <c r="U25" i="13"/>
  <c r="P15" i="13"/>
  <c r="N6" i="13"/>
  <c r="J10" i="13"/>
  <c r="R10" i="13"/>
  <c r="V14" i="13"/>
  <c r="G6" i="13"/>
  <c r="K6" i="13"/>
  <c r="O6" i="13"/>
  <c r="S6" i="13"/>
  <c r="W6" i="13"/>
  <c r="J7" i="13"/>
  <c r="N7" i="13"/>
  <c r="R7" i="13"/>
  <c r="V7" i="13"/>
  <c r="I8" i="13"/>
  <c r="M8" i="13"/>
  <c r="Q8" i="13"/>
  <c r="U8" i="13"/>
  <c r="G10" i="13"/>
  <c r="K10" i="13"/>
  <c r="O10" i="13"/>
  <c r="S10" i="13"/>
  <c r="W10" i="13"/>
  <c r="J11" i="13"/>
  <c r="N11" i="13"/>
  <c r="R11" i="13"/>
  <c r="V11" i="13"/>
  <c r="I12" i="13"/>
  <c r="M12" i="13"/>
  <c r="Q12" i="13"/>
  <c r="U12" i="13"/>
  <c r="G14" i="13"/>
  <c r="K14" i="13"/>
  <c r="O14" i="13"/>
  <c r="S14" i="13"/>
  <c r="W14" i="13"/>
  <c r="U16" i="13"/>
  <c r="Q16" i="13"/>
  <c r="M16" i="13"/>
  <c r="I16" i="13"/>
  <c r="K16" i="13"/>
  <c r="P16" i="13"/>
  <c r="V16" i="13"/>
  <c r="X17" i="13"/>
  <c r="T17" i="13"/>
  <c r="P17" i="13"/>
  <c r="L17" i="13"/>
  <c r="H17" i="13"/>
  <c r="K17" i="13"/>
  <c r="Q17" i="13"/>
  <c r="V17" i="13"/>
  <c r="W18" i="13"/>
  <c r="O18" i="13"/>
  <c r="K18" i="13"/>
  <c r="G18" i="13"/>
  <c r="L18" i="13"/>
  <c r="Q18" i="13"/>
  <c r="V18" i="13"/>
  <c r="W20" i="13"/>
  <c r="S20" i="13"/>
  <c r="Q20" i="13"/>
  <c r="M20" i="13"/>
  <c r="I20" i="13"/>
  <c r="K20" i="13"/>
  <c r="P20" i="13"/>
  <c r="X20" i="13"/>
  <c r="L22" i="13"/>
  <c r="H24" i="13"/>
  <c r="P24" i="13"/>
  <c r="L26" i="13"/>
  <c r="U30" i="13"/>
  <c r="Q30" i="13"/>
  <c r="M30" i="13"/>
  <c r="I30" i="13"/>
  <c r="X30" i="13"/>
  <c r="T30" i="13"/>
  <c r="P30" i="13"/>
  <c r="L30" i="13"/>
  <c r="H30" i="13"/>
  <c r="W30" i="13"/>
  <c r="S30" i="13"/>
  <c r="O30" i="13"/>
  <c r="K30" i="13"/>
  <c r="G30" i="13"/>
  <c r="V30" i="13"/>
  <c r="U38" i="13"/>
  <c r="Q38" i="13"/>
  <c r="M38" i="13"/>
  <c r="I38" i="13"/>
  <c r="X38" i="13"/>
  <c r="T38" i="13"/>
  <c r="P38" i="13"/>
  <c r="L38" i="13"/>
  <c r="H38" i="13"/>
  <c r="W38" i="13"/>
  <c r="S38" i="13"/>
  <c r="O38" i="13"/>
  <c r="K38" i="13"/>
  <c r="G38" i="13"/>
  <c r="V38" i="13"/>
  <c r="R6" i="13"/>
  <c r="V6" i="13"/>
  <c r="N14" i="13"/>
  <c r="W24" i="13"/>
  <c r="S24" i="13"/>
  <c r="O24" i="13"/>
  <c r="K24" i="13"/>
  <c r="G24" i="13"/>
  <c r="U24" i="13"/>
  <c r="Q24" i="13"/>
  <c r="M24" i="13"/>
  <c r="I24" i="13"/>
  <c r="H6" i="13"/>
  <c r="L6" i="13"/>
  <c r="P6" i="13"/>
  <c r="T6" i="13"/>
  <c r="X6" i="13"/>
  <c r="J8" i="13"/>
  <c r="N8" i="13"/>
  <c r="R8" i="13"/>
  <c r="V8" i="13"/>
  <c r="H10" i="13"/>
  <c r="L10" i="13"/>
  <c r="P10" i="13"/>
  <c r="T10" i="13"/>
  <c r="X10" i="13"/>
  <c r="J12" i="13"/>
  <c r="N12" i="13"/>
  <c r="R12" i="13"/>
  <c r="V12" i="13"/>
  <c r="H14" i="13"/>
  <c r="L14" i="13"/>
  <c r="P14" i="13"/>
  <c r="T14" i="13"/>
  <c r="X14" i="13"/>
  <c r="U22" i="13"/>
  <c r="Q22" i="13"/>
  <c r="M22" i="13"/>
  <c r="I22" i="13"/>
  <c r="S22" i="13"/>
  <c r="O22" i="13"/>
  <c r="K22" i="13"/>
  <c r="G22" i="13"/>
  <c r="N22" i="13"/>
  <c r="V22" i="13"/>
  <c r="J24" i="13"/>
  <c r="R24" i="13"/>
  <c r="U26" i="13"/>
  <c r="Q26" i="13"/>
  <c r="M26" i="13"/>
  <c r="I26" i="13"/>
  <c r="W26" i="13"/>
  <c r="S26" i="13"/>
  <c r="O26" i="13"/>
  <c r="K26" i="13"/>
  <c r="G26" i="13"/>
  <c r="N26" i="13"/>
  <c r="V26" i="13"/>
  <c r="J6" i="13"/>
  <c r="N10" i="13"/>
  <c r="V10" i="13"/>
  <c r="J14" i="13"/>
  <c r="R14" i="13"/>
  <c r="N24" i="13"/>
  <c r="V24" i="13"/>
  <c r="I6" i="13"/>
  <c r="M6" i="13"/>
  <c r="Q6" i="13"/>
  <c r="H7" i="13"/>
  <c r="L7" i="13"/>
  <c r="P7" i="13"/>
  <c r="T7" i="13"/>
  <c r="G8" i="13"/>
  <c r="K8" i="13"/>
  <c r="O8" i="13"/>
  <c r="S8" i="13"/>
  <c r="J9" i="13"/>
  <c r="N9" i="13"/>
  <c r="R9" i="13"/>
  <c r="I10" i="13"/>
  <c r="M10" i="13"/>
  <c r="Q10" i="13"/>
  <c r="H11" i="13"/>
  <c r="L11" i="13"/>
  <c r="P11" i="13"/>
  <c r="T11" i="13"/>
  <c r="G12" i="13"/>
  <c r="K12" i="13"/>
  <c r="O12" i="13"/>
  <c r="S12" i="13"/>
  <c r="J13" i="13"/>
  <c r="N13" i="13"/>
  <c r="R13" i="13"/>
  <c r="I14" i="13"/>
  <c r="M14" i="13"/>
  <c r="Q14" i="13"/>
  <c r="H16" i="13"/>
  <c r="N16" i="13"/>
  <c r="S16" i="13"/>
  <c r="X16" i="13"/>
  <c r="I17" i="13"/>
  <c r="N17" i="13"/>
  <c r="S17" i="13"/>
  <c r="I18" i="13"/>
  <c r="N18" i="13"/>
  <c r="T18" i="13"/>
  <c r="H20" i="13"/>
  <c r="N20" i="13"/>
  <c r="T20" i="13"/>
  <c r="H22" i="13"/>
  <c r="P22" i="13"/>
  <c r="X22" i="13"/>
  <c r="L24" i="13"/>
  <c r="T24" i="13"/>
  <c r="H26" i="13"/>
  <c r="P26" i="13"/>
  <c r="X26" i="13"/>
  <c r="N30" i="13"/>
  <c r="U34" i="13"/>
  <c r="Q34" i="13"/>
  <c r="M34" i="13"/>
  <c r="I34" i="13"/>
  <c r="X34" i="13"/>
  <c r="T34" i="13"/>
  <c r="P34" i="13"/>
  <c r="L34" i="13"/>
  <c r="H34" i="13"/>
  <c r="W34" i="13"/>
  <c r="S34" i="13"/>
  <c r="O34" i="13"/>
  <c r="K34" i="13"/>
  <c r="G34" i="13"/>
  <c r="V34" i="13"/>
  <c r="N38" i="13"/>
  <c r="J15" i="13"/>
  <c r="N15" i="13"/>
  <c r="R15" i="13"/>
  <c r="J19" i="13"/>
  <c r="N19" i="13"/>
  <c r="R19" i="13"/>
  <c r="H21" i="13"/>
  <c r="L21" i="13"/>
  <c r="P21" i="13"/>
  <c r="T21" i="13"/>
  <c r="X21" i="13"/>
  <c r="J23" i="13"/>
  <c r="N23" i="13"/>
  <c r="R23" i="13"/>
  <c r="H25" i="13"/>
  <c r="L25" i="13"/>
  <c r="P25" i="13"/>
  <c r="T25" i="13"/>
  <c r="X25" i="13"/>
  <c r="J27" i="13"/>
  <c r="N27" i="13"/>
  <c r="R27" i="13"/>
  <c r="I28" i="13"/>
  <c r="M28" i="13"/>
  <c r="Q28" i="13"/>
  <c r="U28" i="13"/>
  <c r="H29" i="13"/>
  <c r="L29" i="13"/>
  <c r="P29" i="13"/>
  <c r="T29" i="13"/>
  <c r="X29" i="13"/>
  <c r="J31" i="13"/>
  <c r="N31" i="13"/>
  <c r="R31" i="13"/>
  <c r="I32" i="13"/>
  <c r="M32" i="13"/>
  <c r="Q32" i="13"/>
  <c r="U32" i="13"/>
  <c r="H33" i="13"/>
  <c r="L33" i="13"/>
  <c r="P33" i="13"/>
  <c r="T33" i="13"/>
  <c r="X33" i="13"/>
  <c r="J35" i="13"/>
  <c r="N35" i="13"/>
  <c r="R35" i="13"/>
  <c r="I36" i="13"/>
  <c r="M36" i="13"/>
  <c r="Q36" i="13"/>
  <c r="U36" i="13"/>
  <c r="H37" i="13"/>
  <c r="L37" i="13"/>
  <c r="P37" i="13"/>
  <c r="T37" i="13"/>
  <c r="X37" i="13"/>
  <c r="J39" i="13"/>
  <c r="N39" i="13"/>
  <c r="R39" i="13"/>
  <c r="V39" i="13"/>
  <c r="U41" i="13"/>
  <c r="Q41" i="13"/>
  <c r="M41" i="13"/>
  <c r="I41" i="13"/>
  <c r="K41" i="13"/>
  <c r="P41" i="13"/>
  <c r="V41" i="13"/>
  <c r="X42" i="13"/>
  <c r="T42" i="13"/>
  <c r="P42" i="13"/>
  <c r="L42" i="13"/>
  <c r="H42" i="13"/>
  <c r="K42" i="13"/>
  <c r="Q42" i="13"/>
  <c r="V42" i="13"/>
  <c r="W43" i="13"/>
  <c r="S43" i="13"/>
  <c r="O43" i="13"/>
  <c r="K43" i="13"/>
  <c r="G43" i="13"/>
  <c r="L43" i="13"/>
  <c r="Q43" i="13"/>
  <c r="V43" i="13"/>
  <c r="J28" i="13"/>
  <c r="N28" i="13"/>
  <c r="R28" i="13"/>
  <c r="V28" i="13"/>
  <c r="J32" i="13"/>
  <c r="N32" i="13"/>
  <c r="R32" i="13"/>
  <c r="V32" i="13"/>
  <c r="J36" i="13"/>
  <c r="N36" i="13"/>
  <c r="R36" i="13"/>
  <c r="V36" i="13"/>
  <c r="J21" i="13"/>
  <c r="N21" i="13"/>
  <c r="R21" i="13"/>
  <c r="J25" i="13"/>
  <c r="N25" i="13"/>
  <c r="R25" i="13"/>
  <c r="G28" i="13"/>
  <c r="K28" i="13"/>
  <c r="O28" i="13"/>
  <c r="S28" i="13"/>
  <c r="J29" i="13"/>
  <c r="N29" i="13"/>
  <c r="R29" i="13"/>
  <c r="G32" i="13"/>
  <c r="K32" i="13"/>
  <c r="O32" i="13"/>
  <c r="S32" i="13"/>
  <c r="J33" i="13"/>
  <c r="N33" i="13"/>
  <c r="R33" i="13"/>
  <c r="G36" i="13"/>
  <c r="K36" i="13"/>
  <c r="O36" i="13"/>
  <c r="S36" i="13"/>
  <c r="J37" i="13"/>
  <c r="N37" i="13"/>
  <c r="R37" i="13"/>
  <c r="J40" i="13"/>
  <c r="N40" i="13"/>
  <c r="R40" i="13"/>
  <c r="J44" i="13"/>
  <c r="N44" i="13"/>
  <c r="R44" i="13"/>
  <c r="I45" i="13"/>
  <c r="M45" i="13"/>
  <c r="Q45" i="13"/>
  <c r="U45" i="13"/>
  <c r="J45" i="13"/>
  <c r="N45" i="13"/>
  <c r="R45" i="13"/>
  <c r="K10" i="12"/>
  <c r="W9" i="12"/>
  <c r="S9" i="12"/>
  <c r="O9" i="12"/>
  <c r="K9" i="12"/>
  <c r="G9" i="12"/>
  <c r="V9" i="12"/>
  <c r="K11" i="12"/>
  <c r="V11" i="12"/>
  <c r="Q12" i="12"/>
  <c r="H7" i="12"/>
  <c r="L7" i="12"/>
  <c r="P7" i="12"/>
  <c r="T7" i="12"/>
  <c r="X7" i="12"/>
  <c r="G8" i="12"/>
  <c r="K8" i="12"/>
  <c r="O8" i="12"/>
  <c r="S8" i="12"/>
  <c r="W8" i="12"/>
  <c r="H9" i="12"/>
  <c r="M9" i="12"/>
  <c r="R9" i="12"/>
  <c r="X9" i="12"/>
  <c r="G11" i="12"/>
  <c r="L11" i="12"/>
  <c r="R11" i="12"/>
  <c r="G12" i="12"/>
  <c r="M12" i="12"/>
  <c r="R12" i="12"/>
  <c r="W12" i="12"/>
  <c r="X16" i="12"/>
  <c r="T16" i="12"/>
  <c r="P16" i="12"/>
  <c r="L16" i="12"/>
  <c r="H16" i="12"/>
  <c r="W16" i="12"/>
  <c r="S16" i="12"/>
  <c r="O16" i="12"/>
  <c r="K16" i="12"/>
  <c r="G16" i="12"/>
  <c r="N16" i="12"/>
  <c r="V16" i="12"/>
  <c r="P21" i="12"/>
  <c r="Q22" i="12"/>
  <c r="Q23" i="12"/>
  <c r="U27" i="12"/>
  <c r="Q27" i="12"/>
  <c r="M27" i="12"/>
  <c r="I27" i="12"/>
  <c r="W27" i="12"/>
  <c r="S27" i="12"/>
  <c r="O27" i="12"/>
  <c r="K27" i="12"/>
  <c r="G27" i="12"/>
  <c r="T27" i="12"/>
  <c r="L27" i="12"/>
  <c r="R27" i="12"/>
  <c r="J27" i="12"/>
  <c r="X27" i="12"/>
  <c r="P27" i="12"/>
  <c r="H27" i="12"/>
  <c r="J8" i="12"/>
  <c r="R8" i="12"/>
  <c r="V8" i="12"/>
  <c r="Q9" i="12"/>
  <c r="U11" i="12"/>
  <c r="Q11" i="12"/>
  <c r="M11" i="12"/>
  <c r="I11" i="12"/>
  <c r="P11" i="12"/>
  <c r="K12" i="12"/>
  <c r="J6" i="12"/>
  <c r="N6" i="12"/>
  <c r="R6" i="12"/>
  <c r="I7" i="12"/>
  <c r="M7" i="12"/>
  <c r="Q7" i="12"/>
  <c r="U7" i="12"/>
  <c r="H8" i="12"/>
  <c r="L8" i="12"/>
  <c r="P8" i="12"/>
  <c r="T8" i="12"/>
  <c r="I9" i="12"/>
  <c r="N9" i="12"/>
  <c r="T9" i="12"/>
  <c r="H11" i="12"/>
  <c r="N11" i="12"/>
  <c r="S11" i="12"/>
  <c r="X11" i="12"/>
  <c r="I12" i="12"/>
  <c r="N12" i="12"/>
  <c r="U15" i="12"/>
  <c r="Q15" i="12"/>
  <c r="M15" i="12"/>
  <c r="I15" i="12"/>
  <c r="X15" i="12"/>
  <c r="T15" i="12"/>
  <c r="L15" i="12"/>
  <c r="H15" i="12"/>
  <c r="N15" i="12"/>
  <c r="V15" i="12"/>
  <c r="I16" i="12"/>
  <c r="N27" i="12"/>
  <c r="W33" i="12"/>
  <c r="S33" i="12"/>
  <c r="O33" i="12"/>
  <c r="K33" i="12"/>
  <c r="G33" i="12"/>
  <c r="U33" i="12"/>
  <c r="Q33" i="12"/>
  <c r="M33" i="12"/>
  <c r="I33" i="12"/>
  <c r="T33" i="12"/>
  <c r="L33" i="12"/>
  <c r="R33" i="12"/>
  <c r="J33" i="12"/>
  <c r="X33" i="12"/>
  <c r="P33" i="12"/>
  <c r="H33" i="12"/>
  <c r="N8" i="12"/>
  <c r="L9" i="12"/>
  <c r="X12" i="12"/>
  <c r="T12" i="12"/>
  <c r="P12" i="12"/>
  <c r="L12" i="12"/>
  <c r="H12" i="12"/>
  <c r="V12" i="12"/>
  <c r="J7" i="12"/>
  <c r="N7" i="12"/>
  <c r="R7" i="12"/>
  <c r="I8" i="12"/>
  <c r="M8" i="12"/>
  <c r="Q8" i="12"/>
  <c r="U8" i="12"/>
  <c r="J9" i="12"/>
  <c r="P9" i="12"/>
  <c r="U9" i="12"/>
  <c r="J11" i="12"/>
  <c r="O11" i="12"/>
  <c r="T11" i="12"/>
  <c r="J12" i="12"/>
  <c r="O12" i="12"/>
  <c r="U12" i="12"/>
  <c r="U21" i="12"/>
  <c r="Q21" i="12"/>
  <c r="M21" i="12"/>
  <c r="I21" i="12"/>
  <c r="T21" i="12"/>
  <c r="O21" i="12"/>
  <c r="J21" i="12"/>
  <c r="X21" i="12"/>
  <c r="S21" i="12"/>
  <c r="N21" i="12"/>
  <c r="H21" i="12"/>
  <c r="W21" i="12"/>
  <c r="R21" i="12"/>
  <c r="L21" i="12"/>
  <c r="G21" i="12"/>
  <c r="X22" i="12"/>
  <c r="T22" i="12"/>
  <c r="P22" i="12"/>
  <c r="L22" i="12"/>
  <c r="H22" i="12"/>
  <c r="U22" i="12"/>
  <c r="O22" i="12"/>
  <c r="J22" i="12"/>
  <c r="S22" i="12"/>
  <c r="N22" i="12"/>
  <c r="I22" i="12"/>
  <c r="R22" i="12"/>
  <c r="M22" i="12"/>
  <c r="G22" i="12"/>
  <c r="U23" i="12"/>
  <c r="W23" i="12"/>
  <c r="S23" i="12"/>
  <c r="O23" i="12"/>
  <c r="K23" i="12"/>
  <c r="G23" i="12"/>
  <c r="V23" i="12"/>
  <c r="P23" i="12"/>
  <c r="J23" i="12"/>
  <c r="T23" i="12"/>
  <c r="N23" i="12"/>
  <c r="I23" i="12"/>
  <c r="R23" i="12"/>
  <c r="M23" i="12"/>
  <c r="H23" i="12"/>
  <c r="V27" i="12"/>
  <c r="N33" i="12"/>
  <c r="J13" i="12"/>
  <c r="N13" i="12"/>
  <c r="R13" i="12"/>
  <c r="V13" i="12"/>
  <c r="J17" i="12"/>
  <c r="N17" i="12"/>
  <c r="V17" i="12"/>
  <c r="H19" i="12"/>
  <c r="L19" i="12"/>
  <c r="P19" i="12"/>
  <c r="X19" i="12"/>
  <c r="J29" i="12"/>
  <c r="R29" i="12"/>
  <c r="U31" i="12"/>
  <c r="Q31" i="12"/>
  <c r="M31" i="12"/>
  <c r="I31" i="12"/>
  <c r="W31" i="12"/>
  <c r="S31" i="12"/>
  <c r="O31" i="12"/>
  <c r="K31" i="12"/>
  <c r="G31" i="12"/>
  <c r="N31" i="12"/>
  <c r="V31" i="12"/>
  <c r="U35" i="12"/>
  <c r="Q35" i="12"/>
  <c r="M35" i="12"/>
  <c r="I35" i="12"/>
  <c r="X35" i="12"/>
  <c r="T35" i="12"/>
  <c r="P35" i="12"/>
  <c r="L35" i="12"/>
  <c r="H35" i="12"/>
  <c r="W35" i="12"/>
  <c r="S35" i="12"/>
  <c r="O35" i="12"/>
  <c r="K35" i="12"/>
  <c r="G35" i="12"/>
  <c r="V35" i="12"/>
  <c r="N39" i="12"/>
  <c r="J10" i="12"/>
  <c r="N10" i="12"/>
  <c r="R10" i="12"/>
  <c r="G13" i="12"/>
  <c r="K13" i="12"/>
  <c r="O13" i="12"/>
  <c r="S13" i="12"/>
  <c r="J14" i="12"/>
  <c r="N14" i="12"/>
  <c r="R14" i="12"/>
  <c r="G17" i="12"/>
  <c r="K17" i="12"/>
  <c r="O17" i="12"/>
  <c r="S17" i="12"/>
  <c r="J18" i="12"/>
  <c r="N18" i="12"/>
  <c r="R18" i="12"/>
  <c r="I19" i="12"/>
  <c r="M19" i="12"/>
  <c r="Q19" i="12"/>
  <c r="U19" i="12"/>
  <c r="W25" i="12"/>
  <c r="S25" i="12"/>
  <c r="O25" i="12"/>
  <c r="K25" i="12"/>
  <c r="G25" i="12"/>
  <c r="U25" i="12"/>
  <c r="Q25" i="12"/>
  <c r="M25" i="12"/>
  <c r="I25" i="12"/>
  <c r="N25" i="12"/>
  <c r="V25" i="12"/>
  <c r="L29" i="12"/>
  <c r="H31" i="12"/>
  <c r="P31" i="12"/>
  <c r="X31" i="12"/>
  <c r="J35" i="12"/>
  <c r="J19" i="12"/>
  <c r="N19" i="12"/>
  <c r="R19" i="12"/>
  <c r="W29" i="12"/>
  <c r="S29" i="12"/>
  <c r="O29" i="12"/>
  <c r="K29" i="12"/>
  <c r="G29" i="12"/>
  <c r="U29" i="12"/>
  <c r="Q29" i="12"/>
  <c r="M29" i="12"/>
  <c r="I29" i="12"/>
  <c r="N29" i="12"/>
  <c r="V29" i="12"/>
  <c r="W39" i="12"/>
  <c r="U39" i="12"/>
  <c r="Q39" i="12"/>
  <c r="M39" i="12"/>
  <c r="I39" i="12"/>
  <c r="T39" i="12"/>
  <c r="P39" i="12"/>
  <c r="L39" i="12"/>
  <c r="H39" i="12"/>
  <c r="X39" i="12"/>
  <c r="S39" i="12"/>
  <c r="O39" i="12"/>
  <c r="K39" i="12"/>
  <c r="G39" i="12"/>
  <c r="V39" i="12"/>
  <c r="J20" i="12"/>
  <c r="N20" i="12"/>
  <c r="R20" i="12"/>
  <c r="J24" i="12"/>
  <c r="N24" i="12"/>
  <c r="R24" i="12"/>
  <c r="H26" i="12"/>
  <c r="L26" i="12"/>
  <c r="P26" i="12"/>
  <c r="T26" i="12"/>
  <c r="X26" i="12"/>
  <c r="J28" i="12"/>
  <c r="N28" i="12"/>
  <c r="R28" i="12"/>
  <c r="H30" i="12"/>
  <c r="L30" i="12"/>
  <c r="P30" i="12"/>
  <c r="T30" i="12"/>
  <c r="X30" i="12"/>
  <c r="J32" i="12"/>
  <c r="N32" i="12"/>
  <c r="R32" i="12"/>
  <c r="H34" i="12"/>
  <c r="L34" i="12"/>
  <c r="P34" i="12"/>
  <c r="T34" i="12"/>
  <c r="X34" i="12"/>
  <c r="J36" i="12"/>
  <c r="N36" i="12"/>
  <c r="R36" i="12"/>
  <c r="I37" i="12"/>
  <c r="M37" i="12"/>
  <c r="Q37" i="12"/>
  <c r="U37" i="12"/>
  <c r="H38" i="12"/>
  <c r="L38" i="12"/>
  <c r="P38" i="12"/>
  <c r="T38" i="12"/>
  <c r="X38" i="12"/>
  <c r="J42" i="12"/>
  <c r="M43" i="12"/>
  <c r="J37" i="12"/>
  <c r="N37" i="12"/>
  <c r="R37" i="12"/>
  <c r="V37" i="12"/>
  <c r="X43" i="12"/>
  <c r="T43" i="12"/>
  <c r="P43" i="12"/>
  <c r="L43" i="12"/>
  <c r="H43" i="12"/>
  <c r="W43" i="12"/>
  <c r="S43" i="12"/>
  <c r="O43" i="12"/>
  <c r="K43" i="12"/>
  <c r="G43" i="12"/>
  <c r="N43" i="12"/>
  <c r="V43" i="12"/>
  <c r="J26" i="12"/>
  <c r="N26" i="12"/>
  <c r="R26" i="12"/>
  <c r="J30" i="12"/>
  <c r="N30" i="12"/>
  <c r="R30" i="12"/>
  <c r="J34" i="12"/>
  <c r="N34" i="12"/>
  <c r="R34" i="12"/>
  <c r="G37" i="12"/>
  <c r="K37" i="12"/>
  <c r="O37" i="12"/>
  <c r="S37" i="12"/>
  <c r="J38" i="12"/>
  <c r="N38" i="12"/>
  <c r="R38" i="12"/>
  <c r="U42" i="12"/>
  <c r="Q42" i="12"/>
  <c r="M42" i="12"/>
  <c r="I42" i="12"/>
  <c r="X42" i="12"/>
  <c r="T42" i="12"/>
  <c r="P42" i="12"/>
  <c r="L42" i="12"/>
  <c r="H42" i="12"/>
  <c r="N42" i="12"/>
  <c r="V42" i="12"/>
  <c r="I43" i="12"/>
  <c r="Q43" i="12"/>
  <c r="J40" i="12"/>
  <c r="N40" i="12"/>
  <c r="R40" i="12"/>
  <c r="I41" i="12"/>
  <c r="M41" i="12"/>
  <c r="Q41" i="12"/>
  <c r="U41" i="12"/>
  <c r="J44" i="12"/>
  <c r="N44" i="12"/>
  <c r="R44" i="12"/>
  <c r="I45" i="12"/>
  <c r="M45" i="12"/>
  <c r="Q45" i="12"/>
  <c r="U45" i="12"/>
  <c r="J41" i="12"/>
  <c r="N41" i="12"/>
  <c r="R41" i="12"/>
  <c r="J45" i="12"/>
  <c r="N45" i="12"/>
  <c r="R45" i="12"/>
  <c r="U8" i="11"/>
  <c r="Q8" i="11"/>
  <c r="M8" i="11"/>
  <c r="I8" i="11"/>
  <c r="X8" i="11"/>
  <c r="T8" i="11"/>
  <c r="P8" i="11"/>
  <c r="L8" i="11"/>
  <c r="H8" i="11"/>
  <c r="W8" i="11"/>
  <c r="S8" i="11"/>
  <c r="O8" i="11"/>
  <c r="K8" i="11"/>
  <c r="G8" i="11"/>
  <c r="V8" i="11"/>
  <c r="J8" i="11"/>
  <c r="K10" i="11"/>
  <c r="V12" i="11"/>
  <c r="R12" i="11"/>
  <c r="N12" i="11"/>
  <c r="J12" i="11"/>
  <c r="T12" i="11"/>
  <c r="O12" i="11"/>
  <c r="I12" i="11"/>
  <c r="X12" i="11"/>
  <c r="S12" i="11"/>
  <c r="H12" i="11"/>
  <c r="U12" i="11"/>
  <c r="K12" i="11"/>
  <c r="W12" i="11"/>
  <c r="Q12" i="11"/>
  <c r="L12" i="11"/>
  <c r="G12" i="11"/>
  <c r="P12" i="11"/>
  <c r="W15" i="11"/>
  <c r="S15" i="11"/>
  <c r="O15" i="11"/>
  <c r="K15" i="11"/>
  <c r="G15" i="11"/>
  <c r="X18" i="11"/>
  <c r="T18" i="11"/>
  <c r="P18" i="11"/>
  <c r="L18" i="11"/>
  <c r="H18" i="11"/>
  <c r="Q18" i="11"/>
  <c r="V18" i="11"/>
  <c r="L19" i="11"/>
  <c r="Q19" i="11"/>
  <c r="U26" i="11"/>
  <c r="Q26" i="11"/>
  <c r="M26" i="11"/>
  <c r="I26" i="11"/>
  <c r="X26" i="11"/>
  <c r="T26" i="11"/>
  <c r="P26" i="11"/>
  <c r="L26" i="11"/>
  <c r="H26" i="11"/>
  <c r="I6" i="11"/>
  <c r="M6" i="11"/>
  <c r="Q6" i="11"/>
  <c r="U6" i="11"/>
  <c r="H7" i="11"/>
  <c r="L7" i="11"/>
  <c r="P7" i="11"/>
  <c r="T7" i="11"/>
  <c r="X7" i="11"/>
  <c r="J9" i="11"/>
  <c r="N9" i="11"/>
  <c r="R9" i="11"/>
  <c r="I10" i="11"/>
  <c r="M10" i="11"/>
  <c r="Q10" i="11"/>
  <c r="U10" i="11"/>
  <c r="H11" i="11"/>
  <c r="P11" i="11"/>
  <c r="T11" i="11"/>
  <c r="X11" i="11"/>
  <c r="G13" i="11"/>
  <c r="L13" i="11"/>
  <c r="R13" i="11"/>
  <c r="W13" i="11"/>
  <c r="G14" i="11"/>
  <c r="M14" i="11"/>
  <c r="R14" i="11"/>
  <c r="H15" i="11"/>
  <c r="M15" i="11"/>
  <c r="R15" i="11"/>
  <c r="X15" i="11"/>
  <c r="G17" i="11"/>
  <c r="L17" i="11"/>
  <c r="W17" i="11"/>
  <c r="G18" i="11"/>
  <c r="M18" i="11"/>
  <c r="R18" i="11"/>
  <c r="W18" i="11"/>
  <c r="H19" i="11"/>
  <c r="M19" i="11"/>
  <c r="R19" i="11"/>
  <c r="J22" i="11"/>
  <c r="R22" i="11"/>
  <c r="M23" i="11"/>
  <c r="G26" i="11"/>
  <c r="O26" i="11"/>
  <c r="W26" i="11"/>
  <c r="W39" i="11"/>
  <c r="U39" i="11"/>
  <c r="Q39" i="11"/>
  <c r="M39" i="11"/>
  <c r="I39" i="11"/>
  <c r="T39" i="11"/>
  <c r="P39" i="11"/>
  <c r="L39" i="11"/>
  <c r="H39" i="11"/>
  <c r="X39" i="11"/>
  <c r="S39" i="11"/>
  <c r="O39" i="11"/>
  <c r="K39" i="11"/>
  <c r="G39" i="11"/>
  <c r="V39" i="11"/>
  <c r="V41" i="11"/>
  <c r="R41" i="11"/>
  <c r="N41" i="11"/>
  <c r="J41" i="11"/>
  <c r="U41" i="11"/>
  <c r="Q41" i="11"/>
  <c r="M41" i="11"/>
  <c r="I41" i="11"/>
  <c r="S41" i="11"/>
  <c r="K41" i="11"/>
  <c r="X41" i="11"/>
  <c r="P41" i="11"/>
  <c r="H41" i="11"/>
  <c r="W41" i="11"/>
  <c r="O41" i="11"/>
  <c r="G41" i="11"/>
  <c r="X14" i="11"/>
  <c r="T14" i="11"/>
  <c r="P14" i="11"/>
  <c r="L14" i="11"/>
  <c r="H14" i="11"/>
  <c r="Q14" i="11"/>
  <c r="L15" i="11"/>
  <c r="W19" i="11"/>
  <c r="S19" i="11"/>
  <c r="O19" i="11"/>
  <c r="K19" i="11"/>
  <c r="G19" i="11"/>
  <c r="V19" i="11"/>
  <c r="J6" i="11"/>
  <c r="N6" i="11"/>
  <c r="R6" i="11"/>
  <c r="I7" i="11"/>
  <c r="M7" i="11"/>
  <c r="Q7" i="11"/>
  <c r="U7" i="11"/>
  <c r="J10" i="11"/>
  <c r="N10" i="11"/>
  <c r="R10" i="11"/>
  <c r="I11" i="11"/>
  <c r="M11" i="11"/>
  <c r="Q11" i="11"/>
  <c r="U11" i="11"/>
  <c r="H13" i="11"/>
  <c r="N13" i="11"/>
  <c r="S13" i="11"/>
  <c r="I14" i="11"/>
  <c r="N14" i="11"/>
  <c r="S14" i="11"/>
  <c r="I15" i="11"/>
  <c r="N15" i="11"/>
  <c r="T15" i="11"/>
  <c r="H17" i="11"/>
  <c r="N17" i="11"/>
  <c r="S17" i="11"/>
  <c r="I18" i="11"/>
  <c r="N18" i="11"/>
  <c r="I19" i="11"/>
  <c r="N19" i="11"/>
  <c r="K22" i="11"/>
  <c r="T23" i="11"/>
  <c r="P23" i="11"/>
  <c r="L23" i="11"/>
  <c r="H23" i="11"/>
  <c r="W23" i="11"/>
  <c r="S23" i="11"/>
  <c r="O23" i="11"/>
  <c r="K23" i="11"/>
  <c r="G23" i="11"/>
  <c r="N23" i="11"/>
  <c r="V23" i="11"/>
  <c r="J26" i="11"/>
  <c r="R26" i="11"/>
  <c r="M27" i="11"/>
  <c r="U35" i="11"/>
  <c r="Q35" i="11"/>
  <c r="M35" i="11"/>
  <c r="I35" i="11"/>
  <c r="X35" i="11"/>
  <c r="T35" i="11"/>
  <c r="P35" i="11"/>
  <c r="L35" i="11"/>
  <c r="H35" i="11"/>
  <c r="W35" i="11"/>
  <c r="S35" i="11"/>
  <c r="O35" i="11"/>
  <c r="K35" i="11"/>
  <c r="G35" i="11"/>
  <c r="V35" i="11"/>
  <c r="J39" i="11"/>
  <c r="L41" i="11"/>
  <c r="U13" i="11"/>
  <c r="Q13" i="11"/>
  <c r="M13" i="11"/>
  <c r="I13" i="11"/>
  <c r="K13" i="11"/>
  <c r="P13" i="11"/>
  <c r="V13" i="11"/>
  <c r="K14" i="11"/>
  <c r="V14" i="11"/>
  <c r="Q15" i="11"/>
  <c r="V15" i="11"/>
  <c r="U17" i="11"/>
  <c r="Q17" i="11"/>
  <c r="M17" i="11"/>
  <c r="I17" i="11"/>
  <c r="K17" i="11"/>
  <c r="P17" i="11"/>
  <c r="V17" i="11"/>
  <c r="K18" i="11"/>
  <c r="N26" i="11"/>
  <c r="V26" i="11"/>
  <c r="J7" i="11"/>
  <c r="N7" i="11"/>
  <c r="R7" i="11"/>
  <c r="J11" i="11"/>
  <c r="N11" i="11"/>
  <c r="R11" i="11"/>
  <c r="J13" i="11"/>
  <c r="O13" i="11"/>
  <c r="T13" i="11"/>
  <c r="J14" i="11"/>
  <c r="U14" i="11"/>
  <c r="J15" i="11"/>
  <c r="U15" i="11"/>
  <c r="J17" i="11"/>
  <c r="O17" i="11"/>
  <c r="T17" i="11"/>
  <c r="J18" i="11"/>
  <c r="O18" i="11"/>
  <c r="U18" i="11"/>
  <c r="J19" i="11"/>
  <c r="P19" i="11"/>
  <c r="U19" i="11"/>
  <c r="U22" i="11"/>
  <c r="Q22" i="11"/>
  <c r="M22" i="11"/>
  <c r="I22" i="11"/>
  <c r="X22" i="11"/>
  <c r="T22" i="11"/>
  <c r="P22" i="11"/>
  <c r="L22" i="11"/>
  <c r="H22" i="11"/>
  <c r="N22" i="11"/>
  <c r="V22" i="11"/>
  <c r="I23" i="11"/>
  <c r="Q23" i="11"/>
  <c r="K26" i="11"/>
  <c r="S26" i="11"/>
  <c r="X27" i="11"/>
  <c r="T27" i="11"/>
  <c r="P27" i="11"/>
  <c r="L27" i="11"/>
  <c r="H27" i="11"/>
  <c r="W27" i="11"/>
  <c r="S27" i="11"/>
  <c r="O27" i="11"/>
  <c r="K27" i="11"/>
  <c r="G27" i="11"/>
  <c r="N27" i="11"/>
  <c r="V27" i="11"/>
  <c r="U31" i="11"/>
  <c r="Q31" i="11"/>
  <c r="M31" i="11"/>
  <c r="I31" i="11"/>
  <c r="X31" i="11"/>
  <c r="T31" i="11"/>
  <c r="P31" i="11"/>
  <c r="L31" i="11"/>
  <c r="H31" i="11"/>
  <c r="W31" i="11"/>
  <c r="S31" i="11"/>
  <c r="O31" i="11"/>
  <c r="K31" i="11"/>
  <c r="G31" i="11"/>
  <c r="V31" i="11"/>
  <c r="J35" i="11"/>
  <c r="N39" i="11"/>
  <c r="T41" i="11"/>
  <c r="J16" i="11"/>
  <c r="N16" i="11"/>
  <c r="R16" i="11"/>
  <c r="J20" i="11"/>
  <c r="N20" i="11"/>
  <c r="R20" i="11"/>
  <c r="I21" i="11"/>
  <c r="M21" i="11"/>
  <c r="Q21" i="11"/>
  <c r="U21" i="11"/>
  <c r="J24" i="11"/>
  <c r="N24" i="11"/>
  <c r="R24" i="11"/>
  <c r="I25" i="11"/>
  <c r="M25" i="11"/>
  <c r="Q25" i="11"/>
  <c r="U25" i="11"/>
  <c r="J28" i="11"/>
  <c r="N28" i="11"/>
  <c r="R28" i="11"/>
  <c r="I29" i="11"/>
  <c r="M29" i="11"/>
  <c r="Q29" i="11"/>
  <c r="U29" i="11"/>
  <c r="H30" i="11"/>
  <c r="L30" i="11"/>
  <c r="P30" i="11"/>
  <c r="T30" i="11"/>
  <c r="X30" i="11"/>
  <c r="J32" i="11"/>
  <c r="N32" i="11"/>
  <c r="R32" i="11"/>
  <c r="I33" i="11"/>
  <c r="M33" i="11"/>
  <c r="Q33" i="11"/>
  <c r="U33" i="11"/>
  <c r="H34" i="11"/>
  <c r="L34" i="11"/>
  <c r="P34" i="11"/>
  <c r="T34" i="11"/>
  <c r="X34" i="11"/>
  <c r="J36" i="11"/>
  <c r="N36" i="11"/>
  <c r="R36" i="11"/>
  <c r="I37" i="11"/>
  <c r="M37" i="11"/>
  <c r="Q37" i="11"/>
  <c r="U37" i="11"/>
  <c r="H38" i="11"/>
  <c r="L38" i="11"/>
  <c r="P38" i="11"/>
  <c r="T38" i="11"/>
  <c r="X38" i="11"/>
  <c r="J42" i="11"/>
  <c r="R42" i="11"/>
  <c r="M43" i="11"/>
  <c r="J21" i="11"/>
  <c r="N21" i="11"/>
  <c r="R21" i="11"/>
  <c r="J25" i="11"/>
  <c r="N25" i="11"/>
  <c r="R25" i="11"/>
  <c r="J29" i="11"/>
  <c r="N29" i="11"/>
  <c r="R29" i="11"/>
  <c r="I30" i="11"/>
  <c r="M30" i="11"/>
  <c r="Q30" i="11"/>
  <c r="U30" i="11"/>
  <c r="J33" i="11"/>
  <c r="N33" i="11"/>
  <c r="R33" i="11"/>
  <c r="I34" i="11"/>
  <c r="M34" i="11"/>
  <c r="Q34" i="11"/>
  <c r="U34" i="11"/>
  <c r="J37" i="11"/>
  <c r="N37" i="11"/>
  <c r="R37" i="11"/>
  <c r="I38" i="11"/>
  <c r="M38" i="11"/>
  <c r="Q38" i="11"/>
  <c r="U38" i="11"/>
  <c r="K42" i="11"/>
  <c r="X43" i="11"/>
  <c r="T43" i="11"/>
  <c r="P43" i="11"/>
  <c r="L43" i="11"/>
  <c r="H43" i="11"/>
  <c r="W43" i="11"/>
  <c r="S43" i="11"/>
  <c r="O43" i="11"/>
  <c r="K43" i="11"/>
  <c r="G43" i="11"/>
  <c r="N43" i="11"/>
  <c r="V43" i="11"/>
  <c r="J30" i="11"/>
  <c r="N30" i="11"/>
  <c r="R30" i="11"/>
  <c r="J34" i="11"/>
  <c r="N34" i="11"/>
  <c r="R34" i="11"/>
  <c r="J38" i="11"/>
  <c r="N38" i="11"/>
  <c r="R38" i="11"/>
  <c r="U42" i="11"/>
  <c r="Q42" i="11"/>
  <c r="M42" i="11"/>
  <c r="I42" i="11"/>
  <c r="X42" i="11"/>
  <c r="T42" i="11"/>
  <c r="P42" i="11"/>
  <c r="L42" i="11"/>
  <c r="H42" i="11"/>
  <c r="N42" i="11"/>
  <c r="V42" i="11"/>
  <c r="J40" i="11"/>
  <c r="N40" i="11"/>
  <c r="R40" i="11"/>
  <c r="J44" i="11"/>
  <c r="N44" i="11"/>
  <c r="R44" i="11"/>
  <c r="I45" i="11"/>
  <c r="M45" i="11"/>
  <c r="Q45" i="11"/>
  <c r="U45" i="11"/>
  <c r="J45" i="11"/>
  <c r="N45" i="11"/>
  <c r="R45" i="11"/>
  <c r="H6" i="10"/>
  <c r="L6" i="10"/>
  <c r="P6" i="10"/>
  <c r="T6" i="10"/>
  <c r="X6" i="10"/>
  <c r="G7" i="10"/>
  <c r="K7" i="10"/>
  <c r="O7" i="10"/>
  <c r="S7" i="10"/>
  <c r="W7" i="10"/>
  <c r="J8" i="10"/>
  <c r="N8" i="10"/>
  <c r="R8" i="10"/>
  <c r="I9" i="10"/>
  <c r="M9" i="10"/>
  <c r="Q9" i="10"/>
  <c r="U9" i="10"/>
  <c r="H10" i="10"/>
  <c r="L10" i="10"/>
  <c r="P10" i="10"/>
  <c r="T10" i="10"/>
  <c r="X10" i="10"/>
  <c r="G11" i="10"/>
  <c r="K11" i="10"/>
  <c r="O11" i="10"/>
  <c r="S11" i="10"/>
  <c r="W11" i="10"/>
  <c r="J12" i="10"/>
  <c r="N12" i="10"/>
  <c r="R12" i="10"/>
  <c r="I13" i="10"/>
  <c r="M13" i="10"/>
  <c r="Q13" i="10"/>
  <c r="U13" i="10"/>
  <c r="H14" i="10"/>
  <c r="L14" i="10"/>
  <c r="P14" i="10"/>
  <c r="T14" i="10"/>
  <c r="X14" i="10"/>
  <c r="G15" i="10"/>
  <c r="K15" i="10"/>
  <c r="O15" i="10"/>
  <c r="S15" i="10"/>
  <c r="W15" i="10"/>
  <c r="J16" i="10"/>
  <c r="N16" i="10"/>
  <c r="R16" i="10"/>
  <c r="I17" i="10"/>
  <c r="M17" i="10"/>
  <c r="Q17" i="10"/>
  <c r="U17" i="10"/>
  <c r="H18" i="10"/>
  <c r="L18" i="10"/>
  <c r="P18" i="10"/>
  <c r="T18" i="10"/>
  <c r="X18" i="10"/>
  <c r="G19" i="10"/>
  <c r="K19" i="10"/>
  <c r="O19" i="10"/>
  <c r="S19" i="10"/>
  <c r="W19" i="10"/>
  <c r="J20" i="10"/>
  <c r="N20" i="10"/>
  <c r="R20" i="10"/>
  <c r="I21" i="10"/>
  <c r="M21" i="10"/>
  <c r="Q21" i="10"/>
  <c r="U21" i="10"/>
  <c r="H22" i="10"/>
  <c r="L22" i="10"/>
  <c r="P22" i="10"/>
  <c r="T22" i="10"/>
  <c r="X22" i="10"/>
  <c r="G23" i="10"/>
  <c r="K23" i="10"/>
  <c r="O23" i="10"/>
  <c r="S23" i="10"/>
  <c r="W23" i="10"/>
  <c r="J24" i="10"/>
  <c r="N24" i="10"/>
  <c r="R24" i="10"/>
  <c r="I25" i="10"/>
  <c r="N25" i="10"/>
  <c r="S25" i="10"/>
  <c r="I26" i="10"/>
  <c r="N26" i="10"/>
  <c r="I27" i="10"/>
  <c r="N27" i="10"/>
  <c r="H7" i="10"/>
  <c r="L7" i="10"/>
  <c r="P7" i="10"/>
  <c r="T7" i="10"/>
  <c r="X7" i="10"/>
  <c r="J9" i="10"/>
  <c r="N9" i="10"/>
  <c r="R9" i="10"/>
  <c r="V9" i="10"/>
  <c r="H11" i="10"/>
  <c r="P11" i="10"/>
  <c r="T11" i="10"/>
  <c r="X11" i="10"/>
  <c r="J13" i="10"/>
  <c r="R13" i="10"/>
  <c r="V13" i="10"/>
  <c r="H15" i="10"/>
  <c r="L15" i="10"/>
  <c r="T15" i="10"/>
  <c r="X15" i="10"/>
  <c r="J17" i="10"/>
  <c r="N17" i="10"/>
  <c r="V17" i="10"/>
  <c r="H19" i="10"/>
  <c r="L19" i="10"/>
  <c r="P19" i="10"/>
  <c r="X19" i="10"/>
  <c r="J21" i="10"/>
  <c r="N21" i="10"/>
  <c r="R21" i="10"/>
  <c r="H23" i="10"/>
  <c r="L23" i="10"/>
  <c r="P23" i="10"/>
  <c r="T23" i="10"/>
  <c r="U25" i="10"/>
  <c r="Q25" i="10"/>
  <c r="M25" i="10"/>
  <c r="J25" i="10"/>
  <c r="O25" i="10"/>
  <c r="T25" i="10"/>
  <c r="U30" i="10"/>
  <c r="Q30" i="10"/>
  <c r="M30" i="10"/>
  <c r="I30" i="10"/>
  <c r="X30" i="10"/>
  <c r="T30" i="10"/>
  <c r="P30" i="10"/>
  <c r="L30" i="10"/>
  <c r="H30" i="10"/>
  <c r="W30" i="10"/>
  <c r="S30" i="10"/>
  <c r="O30" i="10"/>
  <c r="K30" i="10"/>
  <c r="G30" i="10"/>
  <c r="V30" i="10"/>
  <c r="J6" i="10"/>
  <c r="N6" i="10"/>
  <c r="R6" i="10"/>
  <c r="I7" i="10"/>
  <c r="M7" i="10"/>
  <c r="Q7" i="10"/>
  <c r="U7" i="10"/>
  <c r="G9" i="10"/>
  <c r="K9" i="10"/>
  <c r="O9" i="10"/>
  <c r="S9" i="10"/>
  <c r="J10" i="10"/>
  <c r="N10" i="10"/>
  <c r="R10" i="10"/>
  <c r="I11" i="10"/>
  <c r="M11" i="10"/>
  <c r="Q11" i="10"/>
  <c r="U11" i="10"/>
  <c r="G13" i="10"/>
  <c r="K13" i="10"/>
  <c r="O13" i="10"/>
  <c r="S13" i="10"/>
  <c r="J14" i="10"/>
  <c r="N14" i="10"/>
  <c r="R14" i="10"/>
  <c r="I15" i="10"/>
  <c r="M15" i="10"/>
  <c r="Q15" i="10"/>
  <c r="U15" i="10"/>
  <c r="G17" i="10"/>
  <c r="K17" i="10"/>
  <c r="O17" i="10"/>
  <c r="S17" i="10"/>
  <c r="J18" i="10"/>
  <c r="N18" i="10"/>
  <c r="R18" i="10"/>
  <c r="I19" i="10"/>
  <c r="M19" i="10"/>
  <c r="Q19" i="10"/>
  <c r="U19" i="10"/>
  <c r="G21" i="10"/>
  <c r="K21" i="10"/>
  <c r="O21" i="10"/>
  <c r="S21" i="10"/>
  <c r="W21" i="10"/>
  <c r="J22" i="10"/>
  <c r="N22" i="10"/>
  <c r="R22" i="10"/>
  <c r="I23" i="10"/>
  <c r="M23" i="10"/>
  <c r="Q23" i="10"/>
  <c r="U23" i="10"/>
  <c r="G25" i="10"/>
  <c r="K25" i="10"/>
  <c r="P25" i="10"/>
  <c r="V25" i="10"/>
  <c r="X26" i="10"/>
  <c r="T26" i="10"/>
  <c r="P26" i="10"/>
  <c r="L26" i="10"/>
  <c r="H26" i="10"/>
  <c r="K26" i="10"/>
  <c r="Q26" i="10"/>
  <c r="V26" i="10"/>
  <c r="W27" i="10"/>
  <c r="S27" i="10"/>
  <c r="O27" i="10"/>
  <c r="K27" i="10"/>
  <c r="G27" i="10"/>
  <c r="L27" i="10"/>
  <c r="Q27" i="10"/>
  <c r="V27" i="10"/>
  <c r="J30" i="10"/>
  <c r="J7" i="10"/>
  <c r="N7" i="10"/>
  <c r="R7" i="10"/>
  <c r="J11" i="10"/>
  <c r="N11" i="10"/>
  <c r="R11" i="10"/>
  <c r="J15" i="10"/>
  <c r="N15" i="10"/>
  <c r="R15" i="10"/>
  <c r="J19" i="10"/>
  <c r="N19" i="10"/>
  <c r="R19" i="10"/>
  <c r="T21" i="10"/>
  <c r="J23" i="10"/>
  <c r="N23" i="10"/>
  <c r="R23" i="10"/>
  <c r="H25" i="10"/>
  <c r="L25" i="10"/>
  <c r="R25" i="10"/>
  <c r="W25" i="10"/>
  <c r="N30" i="10"/>
  <c r="J34" i="10"/>
  <c r="N34" i="10"/>
  <c r="R34" i="10"/>
  <c r="V34" i="10"/>
  <c r="S37" i="10"/>
  <c r="W37" i="10"/>
  <c r="J38" i="10"/>
  <c r="N38" i="10"/>
  <c r="R38" i="10"/>
  <c r="V38" i="10"/>
  <c r="I39" i="10"/>
  <c r="M39" i="10"/>
  <c r="Q39" i="10"/>
  <c r="U39" i="10"/>
  <c r="J40" i="10"/>
  <c r="O40" i="10"/>
  <c r="J41" i="10"/>
  <c r="O41" i="10"/>
  <c r="J31" i="10"/>
  <c r="N31" i="10"/>
  <c r="R31" i="10"/>
  <c r="V31" i="10"/>
  <c r="G34" i="10"/>
  <c r="K34" i="10"/>
  <c r="O34" i="10"/>
  <c r="S34" i="10"/>
  <c r="W34" i="10"/>
  <c r="J35" i="10"/>
  <c r="N35" i="10"/>
  <c r="R35" i="10"/>
  <c r="V35" i="10"/>
  <c r="P37" i="10"/>
  <c r="T37" i="10"/>
  <c r="X37" i="10"/>
  <c r="G38" i="10"/>
  <c r="K38" i="10"/>
  <c r="O38" i="10"/>
  <c r="S38" i="10"/>
  <c r="W38" i="10"/>
  <c r="J39" i="10"/>
  <c r="N39" i="10"/>
  <c r="R39" i="10"/>
  <c r="V39" i="10"/>
  <c r="U40" i="10"/>
  <c r="Q40" i="10"/>
  <c r="M40" i="10"/>
  <c r="I40" i="10"/>
  <c r="K40" i="10"/>
  <c r="P40" i="10"/>
  <c r="V40" i="10"/>
  <c r="X41" i="10"/>
  <c r="T41" i="10"/>
  <c r="P41" i="10"/>
  <c r="L41" i="10"/>
  <c r="H41" i="10"/>
  <c r="K41" i="10"/>
  <c r="Q41" i="10"/>
  <c r="V41" i="10"/>
  <c r="X42" i="10"/>
  <c r="T42" i="10"/>
  <c r="P42" i="10"/>
  <c r="L42" i="10"/>
  <c r="W42" i="10"/>
  <c r="S42" i="10"/>
  <c r="O42" i="10"/>
  <c r="K42" i="10"/>
  <c r="G42" i="10"/>
  <c r="M42" i="10"/>
  <c r="U42" i="10"/>
  <c r="J28" i="10"/>
  <c r="N28" i="10"/>
  <c r="R28" i="10"/>
  <c r="I29" i="10"/>
  <c r="M29" i="10"/>
  <c r="Q29" i="10"/>
  <c r="U29" i="10"/>
  <c r="G31" i="10"/>
  <c r="K31" i="10"/>
  <c r="O31" i="10"/>
  <c r="S31" i="10"/>
  <c r="W31" i="10"/>
  <c r="J32" i="10"/>
  <c r="N32" i="10"/>
  <c r="R32" i="10"/>
  <c r="V32" i="10"/>
  <c r="I33" i="10"/>
  <c r="M33" i="10"/>
  <c r="Q33" i="10"/>
  <c r="U33" i="10"/>
  <c r="H34" i="10"/>
  <c r="L34" i="10"/>
  <c r="P34" i="10"/>
  <c r="T34" i="10"/>
  <c r="X34" i="10"/>
  <c r="G35" i="10"/>
  <c r="K35" i="10"/>
  <c r="O35" i="10"/>
  <c r="S35" i="10"/>
  <c r="W35" i="10"/>
  <c r="J36" i="10"/>
  <c r="N36" i="10"/>
  <c r="R36" i="10"/>
  <c r="V36" i="10"/>
  <c r="I37" i="10"/>
  <c r="M37" i="10"/>
  <c r="Q37" i="10"/>
  <c r="U37" i="10"/>
  <c r="H38" i="10"/>
  <c r="L38" i="10"/>
  <c r="P38" i="10"/>
  <c r="T38" i="10"/>
  <c r="X38" i="10"/>
  <c r="G39" i="10"/>
  <c r="K39" i="10"/>
  <c r="O39" i="10"/>
  <c r="S39" i="10"/>
  <c r="W39" i="10"/>
  <c r="G40" i="10"/>
  <c r="L40" i="10"/>
  <c r="R40" i="10"/>
  <c r="W40" i="10"/>
  <c r="G41" i="10"/>
  <c r="M41" i="10"/>
  <c r="R41" i="10"/>
  <c r="W41" i="10"/>
  <c r="H42" i="10"/>
  <c r="N42" i="10"/>
  <c r="V42" i="10"/>
  <c r="J29" i="10"/>
  <c r="N29" i="10"/>
  <c r="R29" i="10"/>
  <c r="H31" i="10"/>
  <c r="L31" i="10"/>
  <c r="P31" i="10"/>
  <c r="T31" i="10"/>
  <c r="S32" i="10"/>
  <c r="J33" i="10"/>
  <c r="N33" i="10"/>
  <c r="R33" i="10"/>
  <c r="I34" i="10"/>
  <c r="M34" i="10"/>
  <c r="Q34" i="10"/>
  <c r="H35" i="10"/>
  <c r="L35" i="10"/>
  <c r="P35" i="10"/>
  <c r="T35" i="10"/>
  <c r="K36" i="10"/>
  <c r="O36" i="10"/>
  <c r="S36" i="10"/>
  <c r="J37" i="10"/>
  <c r="N37" i="10"/>
  <c r="R37" i="10"/>
  <c r="I38" i="10"/>
  <c r="M38" i="10"/>
  <c r="Q38" i="10"/>
  <c r="H39" i="10"/>
  <c r="L39" i="10"/>
  <c r="P39" i="10"/>
  <c r="T39" i="10"/>
  <c r="H40" i="10"/>
  <c r="N40" i="10"/>
  <c r="S40" i="10"/>
  <c r="X40" i="10"/>
  <c r="I41" i="10"/>
  <c r="N41" i="10"/>
  <c r="S41" i="10"/>
  <c r="I42" i="10"/>
  <c r="Q42" i="10"/>
  <c r="J43" i="10"/>
  <c r="N43" i="10"/>
  <c r="R43" i="10"/>
  <c r="I44" i="10"/>
  <c r="M44" i="10"/>
  <c r="Q44" i="10"/>
  <c r="U44" i="10"/>
  <c r="H45" i="10"/>
  <c r="L45" i="10"/>
  <c r="P45" i="10"/>
  <c r="T45" i="10"/>
  <c r="X45" i="10"/>
  <c r="J44" i="10"/>
  <c r="N44" i="10"/>
  <c r="R44" i="10"/>
  <c r="I45" i="10"/>
  <c r="M45" i="10"/>
  <c r="Q45" i="10"/>
  <c r="U45" i="10"/>
  <c r="J45" i="10"/>
  <c r="N45" i="10"/>
  <c r="R45" i="10"/>
  <c r="M12" i="9"/>
  <c r="J7" i="9"/>
  <c r="N7" i="9"/>
  <c r="R7" i="9"/>
  <c r="V7" i="9"/>
  <c r="I8" i="9"/>
  <c r="X29" i="9"/>
  <c r="T29" i="9"/>
  <c r="P29" i="9"/>
  <c r="L29" i="9"/>
  <c r="H29" i="9"/>
  <c r="U29" i="9"/>
  <c r="O29" i="9"/>
  <c r="J29" i="9"/>
  <c r="S29" i="9"/>
  <c r="N29" i="9"/>
  <c r="I29" i="9"/>
  <c r="Q29" i="9"/>
  <c r="G7" i="9"/>
  <c r="K7" i="9"/>
  <c r="O7" i="9"/>
  <c r="S7" i="9"/>
  <c r="W7" i="9"/>
  <c r="J8" i="9"/>
  <c r="N8" i="9"/>
  <c r="R8" i="9"/>
  <c r="V8" i="9"/>
  <c r="X10" i="9"/>
  <c r="T10" i="9"/>
  <c r="P10" i="9"/>
  <c r="L10" i="9"/>
  <c r="H10" i="9"/>
  <c r="K10" i="9"/>
  <c r="Q10" i="9"/>
  <c r="V10" i="9"/>
  <c r="W11" i="9"/>
  <c r="S11" i="9"/>
  <c r="O11" i="9"/>
  <c r="K11" i="9"/>
  <c r="G11" i="9"/>
  <c r="L11" i="9"/>
  <c r="Q11" i="9"/>
  <c r="V11" i="9"/>
  <c r="X13" i="9"/>
  <c r="T13" i="9"/>
  <c r="P13" i="9"/>
  <c r="L13" i="9"/>
  <c r="S13" i="9"/>
  <c r="N13" i="9"/>
  <c r="I13" i="9"/>
  <c r="K13" i="9"/>
  <c r="R13" i="9"/>
  <c r="U16" i="9"/>
  <c r="M16" i="9"/>
  <c r="I16" i="9"/>
  <c r="T16" i="9"/>
  <c r="O16" i="9"/>
  <c r="J16" i="9"/>
  <c r="X16" i="9"/>
  <c r="S16" i="9"/>
  <c r="N16" i="9"/>
  <c r="H16" i="9"/>
  <c r="P16" i="9"/>
  <c r="X17" i="9"/>
  <c r="T17" i="9"/>
  <c r="P17" i="9"/>
  <c r="L17" i="9"/>
  <c r="H17" i="9"/>
  <c r="U17" i="9"/>
  <c r="O17" i="9"/>
  <c r="J17" i="9"/>
  <c r="S17" i="9"/>
  <c r="N17" i="9"/>
  <c r="I17" i="9"/>
  <c r="Q17" i="9"/>
  <c r="W18" i="9"/>
  <c r="O18" i="9"/>
  <c r="K18" i="9"/>
  <c r="G18" i="9"/>
  <c r="U18" i="9"/>
  <c r="P18" i="9"/>
  <c r="J18" i="9"/>
  <c r="T18" i="9"/>
  <c r="N18" i="9"/>
  <c r="I18" i="9"/>
  <c r="Q18" i="9"/>
  <c r="U24" i="9"/>
  <c r="Q24" i="9"/>
  <c r="M24" i="9"/>
  <c r="I24" i="9"/>
  <c r="T24" i="9"/>
  <c r="O24" i="9"/>
  <c r="J24" i="9"/>
  <c r="X24" i="9"/>
  <c r="S24" i="9"/>
  <c r="N24" i="9"/>
  <c r="H24" i="9"/>
  <c r="P24" i="9"/>
  <c r="X25" i="9"/>
  <c r="T25" i="9"/>
  <c r="P25" i="9"/>
  <c r="L25" i="9"/>
  <c r="H25" i="9"/>
  <c r="U25" i="9"/>
  <c r="O25" i="9"/>
  <c r="J25" i="9"/>
  <c r="S25" i="9"/>
  <c r="N25" i="9"/>
  <c r="I25" i="9"/>
  <c r="Q25" i="9"/>
  <c r="W26" i="9"/>
  <c r="S26" i="9"/>
  <c r="O26" i="9"/>
  <c r="K26" i="9"/>
  <c r="G26" i="9"/>
  <c r="U26" i="9"/>
  <c r="P26" i="9"/>
  <c r="J26" i="9"/>
  <c r="T26" i="9"/>
  <c r="N26" i="9"/>
  <c r="I26" i="9"/>
  <c r="Q26" i="9"/>
  <c r="G28" i="9"/>
  <c r="G29" i="9"/>
  <c r="R29" i="9"/>
  <c r="H30" i="9"/>
  <c r="U28" i="9"/>
  <c r="Q28" i="9"/>
  <c r="M28" i="9"/>
  <c r="I28" i="9"/>
  <c r="T28" i="9"/>
  <c r="O28" i="9"/>
  <c r="J28" i="9"/>
  <c r="X28" i="9"/>
  <c r="S28" i="9"/>
  <c r="N28" i="9"/>
  <c r="H28" i="9"/>
  <c r="W30" i="9"/>
  <c r="S30" i="9"/>
  <c r="O30" i="9"/>
  <c r="K30" i="9"/>
  <c r="G30" i="9"/>
  <c r="U30" i="9"/>
  <c r="P30" i="9"/>
  <c r="J30" i="9"/>
  <c r="T30" i="9"/>
  <c r="N30" i="9"/>
  <c r="I30" i="9"/>
  <c r="Q30" i="9"/>
  <c r="I6" i="9"/>
  <c r="M6" i="9"/>
  <c r="Q6" i="9"/>
  <c r="U6" i="9"/>
  <c r="H7" i="9"/>
  <c r="L7" i="9"/>
  <c r="P7" i="9"/>
  <c r="T7" i="9"/>
  <c r="X7" i="9"/>
  <c r="G8" i="9"/>
  <c r="K8" i="9"/>
  <c r="O8" i="9"/>
  <c r="S8" i="9"/>
  <c r="W8" i="9"/>
  <c r="J9" i="9"/>
  <c r="N9" i="9"/>
  <c r="R9" i="9"/>
  <c r="W9" i="9"/>
  <c r="G10" i="9"/>
  <c r="M10" i="9"/>
  <c r="R10" i="9"/>
  <c r="W10" i="9"/>
  <c r="H11" i="9"/>
  <c r="M11" i="9"/>
  <c r="R11" i="9"/>
  <c r="X11" i="9"/>
  <c r="G13" i="9"/>
  <c r="M13" i="9"/>
  <c r="U13" i="9"/>
  <c r="W14" i="9"/>
  <c r="S14" i="9"/>
  <c r="O14" i="9"/>
  <c r="K14" i="9"/>
  <c r="G14" i="9"/>
  <c r="U14" i="9"/>
  <c r="P14" i="9"/>
  <c r="J14" i="9"/>
  <c r="T14" i="9"/>
  <c r="N14" i="9"/>
  <c r="I14" i="9"/>
  <c r="Q14" i="9"/>
  <c r="G16" i="9"/>
  <c r="R16" i="9"/>
  <c r="G17" i="9"/>
  <c r="H18" i="9"/>
  <c r="R18" i="9"/>
  <c r="L20" i="9"/>
  <c r="M21" i="9"/>
  <c r="M22" i="9"/>
  <c r="G24" i="9"/>
  <c r="R24" i="9"/>
  <c r="G25" i="9"/>
  <c r="R25" i="9"/>
  <c r="H26" i="9"/>
  <c r="R26" i="9"/>
  <c r="K28" i="9"/>
  <c r="V28" i="9"/>
  <c r="K29" i="9"/>
  <c r="V29" i="9"/>
  <c r="L30" i="9"/>
  <c r="V30" i="9"/>
  <c r="L32" i="9"/>
  <c r="M33" i="9"/>
  <c r="M34" i="9"/>
  <c r="J6" i="9"/>
  <c r="N6" i="9"/>
  <c r="R6" i="9"/>
  <c r="I7" i="9"/>
  <c r="M7" i="9"/>
  <c r="Q7" i="9"/>
  <c r="H8" i="9"/>
  <c r="L8" i="9"/>
  <c r="P8" i="9"/>
  <c r="T8" i="9"/>
  <c r="I10" i="9"/>
  <c r="N10" i="9"/>
  <c r="S10" i="9"/>
  <c r="I11" i="9"/>
  <c r="N11" i="9"/>
  <c r="T11" i="9"/>
  <c r="H13" i="9"/>
  <c r="O13" i="9"/>
  <c r="V13" i="9"/>
  <c r="K16" i="9"/>
  <c r="V16" i="9"/>
  <c r="K17" i="9"/>
  <c r="V17" i="9"/>
  <c r="L18" i="9"/>
  <c r="V18" i="9"/>
  <c r="Q20" i="9"/>
  <c r="M20" i="9"/>
  <c r="I20" i="9"/>
  <c r="T20" i="9"/>
  <c r="O20" i="9"/>
  <c r="J20" i="9"/>
  <c r="X20" i="9"/>
  <c r="S20" i="9"/>
  <c r="N20" i="9"/>
  <c r="H20" i="9"/>
  <c r="P20" i="9"/>
  <c r="X21" i="9"/>
  <c r="T21" i="9"/>
  <c r="P21" i="9"/>
  <c r="L21" i="9"/>
  <c r="H21" i="9"/>
  <c r="U21" i="9"/>
  <c r="O21" i="9"/>
  <c r="J21" i="9"/>
  <c r="S21" i="9"/>
  <c r="N21" i="9"/>
  <c r="I21" i="9"/>
  <c r="Q21" i="9"/>
  <c r="S22" i="9"/>
  <c r="O22" i="9"/>
  <c r="K22" i="9"/>
  <c r="G22" i="9"/>
  <c r="U22" i="9"/>
  <c r="P22" i="9"/>
  <c r="J22" i="9"/>
  <c r="T22" i="9"/>
  <c r="N22" i="9"/>
  <c r="I22" i="9"/>
  <c r="Q22" i="9"/>
  <c r="K24" i="9"/>
  <c r="V24" i="9"/>
  <c r="K25" i="9"/>
  <c r="V25" i="9"/>
  <c r="L26" i="9"/>
  <c r="V26" i="9"/>
  <c r="L28" i="9"/>
  <c r="W28" i="9"/>
  <c r="M29" i="9"/>
  <c r="W29" i="9"/>
  <c r="M30" i="9"/>
  <c r="X30" i="9"/>
  <c r="U32" i="9"/>
  <c r="Q32" i="9"/>
  <c r="M32" i="9"/>
  <c r="I32" i="9"/>
  <c r="T32" i="9"/>
  <c r="O32" i="9"/>
  <c r="J32" i="9"/>
  <c r="X32" i="9"/>
  <c r="S32" i="9"/>
  <c r="N32" i="9"/>
  <c r="H32" i="9"/>
  <c r="P32" i="9"/>
  <c r="X33" i="9"/>
  <c r="T33" i="9"/>
  <c r="P33" i="9"/>
  <c r="L33" i="9"/>
  <c r="H33" i="9"/>
  <c r="U33" i="9"/>
  <c r="O33" i="9"/>
  <c r="J33" i="9"/>
  <c r="S33" i="9"/>
  <c r="N33" i="9"/>
  <c r="I33" i="9"/>
  <c r="Q33" i="9"/>
  <c r="W34" i="9"/>
  <c r="S34" i="9"/>
  <c r="O34" i="9"/>
  <c r="K34" i="9"/>
  <c r="G34" i="9"/>
  <c r="U34" i="9"/>
  <c r="P34" i="9"/>
  <c r="J34" i="9"/>
  <c r="T34" i="9"/>
  <c r="N34" i="9"/>
  <c r="I34" i="9"/>
  <c r="Q34" i="9"/>
  <c r="J12" i="9"/>
  <c r="N12" i="9"/>
  <c r="R12" i="9"/>
  <c r="K37" i="9"/>
  <c r="X38" i="9"/>
  <c r="T38" i="9"/>
  <c r="P38" i="9"/>
  <c r="L38" i="9"/>
  <c r="H38" i="9"/>
  <c r="W38" i="9"/>
  <c r="S38" i="9"/>
  <c r="O38" i="9"/>
  <c r="K38" i="9"/>
  <c r="G38" i="9"/>
  <c r="N38" i="9"/>
  <c r="V38" i="9"/>
  <c r="U37" i="9"/>
  <c r="Q37" i="9"/>
  <c r="M37" i="9"/>
  <c r="I37" i="9"/>
  <c r="X37" i="9"/>
  <c r="T37" i="9"/>
  <c r="P37" i="9"/>
  <c r="L37" i="9"/>
  <c r="H37" i="9"/>
  <c r="N37" i="9"/>
  <c r="V37" i="9"/>
  <c r="J15" i="9"/>
  <c r="N15" i="9"/>
  <c r="R15" i="9"/>
  <c r="J19" i="9"/>
  <c r="N19" i="9"/>
  <c r="R19" i="9"/>
  <c r="J23" i="9"/>
  <c r="N23" i="9"/>
  <c r="R23" i="9"/>
  <c r="J27" i="9"/>
  <c r="N27" i="9"/>
  <c r="R27" i="9"/>
  <c r="J31" i="9"/>
  <c r="N31" i="9"/>
  <c r="R31" i="9"/>
  <c r="J35" i="9"/>
  <c r="N35" i="9"/>
  <c r="R35" i="9"/>
  <c r="I36" i="9"/>
  <c r="M36" i="9"/>
  <c r="Q36" i="9"/>
  <c r="U36" i="9"/>
  <c r="J39" i="9"/>
  <c r="N39" i="9"/>
  <c r="R39" i="9"/>
  <c r="V39" i="9"/>
  <c r="W40" i="9"/>
  <c r="S40" i="9"/>
  <c r="O40" i="9"/>
  <c r="K40" i="9"/>
  <c r="G40" i="9"/>
  <c r="L40" i="9"/>
  <c r="Q40" i="9"/>
  <c r="V40" i="9"/>
  <c r="U42" i="9"/>
  <c r="Q42" i="9"/>
  <c r="M42" i="9"/>
  <c r="I42" i="9"/>
  <c r="K42" i="9"/>
  <c r="P42" i="9"/>
  <c r="V42" i="9"/>
  <c r="X43" i="9"/>
  <c r="T43" i="9"/>
  <c r="P43" i="9"/>
  <c r="L43" i="9"/>
  <c r="H43" i="9"/>
  <c r="K43" i="9"/>
  <c r="Q43" i="9"/>
  <c r="V43" i="9"/>
  <c r="W44" i="9"/>
  <c r="S44" i="9"/>
  <c r="O44" i="9"/>
  <c r="K44" i="9"/>
  <c r="G44" i="9"/>
  <c r="L44" i="9"/>
  <c r="Q44" i="9"/>
  <c r="V44" i="9"/>
  <c r="J36" i="9"/>
  <c r="N36" i="9"/>
  <c r="R36" i="9"/>
  <c r="J41" i="9"/>
  <c r="N41" i="9"/>
  <c r="R41" i="9"/>
  <c r="J45" i="9"/>
  <c r="N45" i="9"/>
  <c r="R45" i="9"/>
  <c r="N7" i="8"/>
  <c r="V7" i="8"/>
  <c r="R11" i="8"/>
  <c r="H6" i="8"/>
  <c r="L6" i="8"/>
  <c r="P6" i="8"/>
  <c r="T6" i="8"/>
  <c r="X6" i="8"/>
  <c r="G7" i="8"/>
  <c r="K7" i="8"/>
  <c r="O7" i="8"/>
  <c r="S7" i="8"/>
  <c r="W7" i="8"/>
  <c r="J8" i="8"/>
  <c r="N8" i="8"/>
  <c r="R8" i="8"/>
  <c r="I9" i="8"/>
  <c r="M9" i="8"/>
  <c r="Q9" i="8"/>
  <c r="U9" i="8"/>
  <c r="H10" i="8"/>
  <c r="L10" i="8"/>
  <c r="P10" i="8"/>
  <c r="T10" i="8"/>
  <c r="X10" i="8"/>
  <c r="G11" i="8"/>
  <c r="K11" i="8"/>
  <c r="O11" i="8"/>
  <c r="S11" i="8"/>
  <c r="W11" i="8"/>
  <c r="V12" i="8"/>
  <c r="R12" i="8"/>
  <c r="N12" i="8"/>
  <c r="J12" i="8"/>
  <c r="O12" i="8"/>
  <c r="T12" i="8"/>
  <c r="J13" i="8"/>
  <c r="O13" i="8"/>
  <c r="J14" i="8"/>
  <c r="J15" i="8"/>
  <c r="J17" i="8"/>
  <c r="O17" i="8"/>
  <c r="J18" i="8"/>
  <c r="O18" i="8"/>
  <c r="J19" i="8"/>
  <c r="P19" i="8"/>
  <c r="J21" i="8"/>
  <c r="O21" i="8"/>
  <c r="J22" i="8"/>
  <c r="L23" i="8"/>
  <c r="W25" i="8"/>
  <c r="S25" i="8"/>
  <c r="O25" i="8"/>
  <c r="K25" i="8"/>
  <c r="G25" i="8"/>
  <c r="U25" i="8"/>
  <c r="Q25" i="8"/>
  <c r="M25" i="8"/>
  <c r="I25" i="8"/>
  <c r="N25" i="8"/>
  <c r="V25" i="8"/>
  <c r="J31" i="8"/>
  <c r="J7" i="8"/>
  <c r="R7" i="8"/>
  <c r="J11" i="8"/>
  <c r="V31" i="8"/>
  <c r="W39" i="8"/>
  <c r="U39" i="8"/>
  <c r="Q39" i="8"/>
  <c r="M39" i="8"/>
  <c r="I39" i="8"/>
  <c r="T39" i="8"/>
  <c r="P39" i="8"/>
  <c r="L39" i="8"/>
  <c r="H39" i="8"/>
  <c r="X39" i="8"/>
  <c r="S39" i="8"/>
  <c r="O39" i="8"/>
  <c r="K39" i="8"/>
  <c r="G39" i="8"/>
  <c r="H7" i="8"/>
  <c r="L7" i="8"/>
  <c r="P7" i="8"/>
  <c r="T7" i="8"/>
  <c r="X7" i="8"/>
  <c r="J9" i="8"/>
  <c r="N9" i="8"/>
  <c r="R9" i="8"/>
  <c r="V9" i="8"/>
  <c r="H11" i="8"/>
  <c r="P11" i="8"/>
  <c r="T11" i="8"/>
  <c r="X11" i="8"/>
  <c r="U13" i="8"/>
  <c r="Q13" i="8"/>
  <c r="M13" i="8"/>
  <c r="I13" i="8"/>
  <c r="K13" i="8"/>
  <c r="P13" i="8"/>
  <c r="V13" i="8"/>
  <c r="X14" i="8"/>
  <c r="T14" i="8"/>
  <c r="P14" i="8"/>
  <c r="L14" i="8"/>
  <c r="H14" i="8"/>
  <c r="K14" i="8"/>
  <c r="Q14" i="8"/>
  <c r="V14" i="8"/>
  <c r="W15" i="8"/>
  <c r="S15" i="8"/>
  <c r="O15" i="8"/>
  <c r="K15" i="8"/>
  <c r="G15" i="8"/>
  <c r="L15" i="8"/>
  <c r="Q15" i="8"/>
  <c r="V15" i="8"/>
  <c r="U17" i="8"/>
  <c r="Q17" i="8"/>
  <c r="M17" i="8"/>
  <c r="I17" i="8"/>
  <c r="K17" i="8"/>
  <c r="P17" i="8"/>
  <c r="V17" i="8"/>
  <c r="X18" i="8"/>
  <c r="T18" i="8"/>
  <c r="P18" i="8"/>
  <c r="L18" i="8"/>
  <c r="H18" i="8"/>
  <c r="K18" i="8"/>
  <c r="Q18" i="8"/>
  <c r="V18" i="8"/>
  <c r="W19" i="8"/>
  <c r="S19" i="8"/>
  <c r="O19" i="8"/>
  <c r="K19" i="8"/>
  <c r="G19" i="8"/>
  <c r="L19" i="8"/>
  <c r="Q19" i="8"/>
  <c r="V19" i="8"/>
  <c r="U21" i="8"/>
  <c r="Q21" i="8"/>
  <c r="M21" i="8"/>
  <c r="I21" i="8"/>
  <c r="K21" i="8"/>
  <c r="P21" i="8"/>
  <c r="V22" i="8"/>
  <c r="R22" i="8"/>
  <c r="N22" i="8"/>
  <c r="X22" i="8"/>
  <c r="T22" i="8"/>
  <c r="P22" i="8"/>
  <c r="L22" i="8"/>
  <c r="H22" i="8"/>
  <c r="K22" i="8"/>
  <c r="S22" i="8"/>
  <c r="U23" i="8"/>
  <c r="Q23" i="8"/>
  <c r="M23" i="8"/>
  <c r="I23" i="8"/>
  <c r="W23" i="8"/>
  <c r="S23" i="8"/>
  <c r="O23" i="8"/>
  <c r="K23" i="8"/>
  <c r="G23" i="8"/>
  <c r="N23" i="8"/>
  <c r="V23" i="8"/>
  <c r="H25" i="8"/>
  <c r="P25" i="8"/>
  <c r="X25" i="8"/>
  <c r="U27" i="8"/>
  <c r="Q27" i="8"/>
  <c r="M27" i="8"/>
  <c r="I27" i="8"/>
  <c r="X27" i="8"/>
  <c r="T27" i="8"/>
  <c r="P27" i="8"/>
  <c r="L27" i="8"/>
  <c r="H27" i="8"/>
  <c r="W27" i="8"/>
  <c r="S27" i="8"/>
  <c r="O27" i="8"/>
  <c r="K27" i="8"/>
  <c r="G27" i="8"/>
  <c r="V27" i="8"/>
  <c r="U35" i="8"/>
  <c r="Q35" i="8"/>
  <c r="M35" i="8"/>
  <c r="I35" i="8"/>
  <c r="X35" i="8"/>
  <c r="T35" i="8"/>
  <c r="P35" i="8"/>
  <c r="L35" i="8"/>
  <c r="H35" i="8"/>
  <c r="W35" i="8"/>
  <c r="S35" i="8"/>
  <c r="O35" i="8"/>
  <c r="K35" i="8"/>
  <c r="G35" i="8"/>
  <c r="V35" i="8"/>
  <c r="N39" i="8"/>
  <c r="N11" i="8"/>
  <c r="V11" i="8"/>
  <c r="U31" i="8"/>
  <c r="Q31" i="8"/>
  <c r="M31" i="8"/>
  <c r="I31" i="8"/>
  <c r="X31" i="8"/>
  <c r="T31" i="8"/>
  <c r="P31" i="8"/>
  <c r="L31" i="8"/>
  <c r="H31" i="8"/>
  <c r="W31" i="8"/>
  <c r="S31" i="8"/>
  <c r="O31" i="8"/>
  <c r="K31" i="8"/>
  <c r="G31" i="8"/>
  <c r="V39" i="8"/>
  <c r="J6" i="8"/>
  <c r="N6" i="8"/>
  <c r="R6" i="8"/>
  <c r="I7" i="8"/>
  <c r="M7" i="8"/>
  <c r="Q7" i="8"/>
  <c r="G9" i="8"/>
  <c r="K9" i="8"/>
  <c r="O9" i="8"/>
  <c r="S9" i="8"/>
  <c r="J10" i="8"/>
  <c r="N10" i="8"/>
  <c r="R10" i="8"/>
  <c r="I11" i="8"/>
  <c r="M11" i="8"/>
  <c r="Q11" i="8"/>
  <c r="W12" i="8"/>
  <c r="G13" i="8"/>
  <c r="L13" i="8"/>
  <c r="R13" i="8"/>
  <c r="W13" i="8"/>
  <c r="G14" i="8"/>
  <c r="M14" i="8"/>
  <c r="R14" i="8"/>
  <c r="W14" i="8"/>
  <c r="H15" i="8"/>
  <c r="M15" i="8"/>
  <c r="R15" i="8"/>
  <c r="X15" i="8"/>
  <c r="G17" i="8"/>
  <c r="L17" i="8"/>
  <c r="W17" i="8"/>
  <c r="G18" i="8"/>
  <c r="M18" i="8"/>
  <c r="R18" i="8"/>
  <c r="W18" i="8"/>
  <c r="H19" i="8"/>
  <c r="M19" i="8"/>
  <c r="R19" i="8"/>
  <c r="X19" i="8"/>
  <c r="G21" i="8"/>
  <c r="L21" i="8"/>
  <c r="R21" i="8"/>
  <c r="W21" i="8"/>
  <c r="G22" i="8"/>
  <c r="M22" i="8"/>
  <c r="U22" i="8"/>
  <c r="H23" i="8"/>
  <c r="P23" i="8"/>
  <c r="R31" i="8"/>
  <c r="R39" i="8"/>
  <c r="J16" i="8"/>
  <c r="N16" i="8"/>
  <c r="R16" i="8"/>
  <c r="J20" i="8"/>
  <c r="N20" i="8"/>
  <c r="R20" i="8"/>
  <c r="J24" i="8"/>
  <c r="N24" i="8"/>
  <c r="R24" i="8"/>
  <c r="H26" i="8"/>
  <c r="L26" i="8"/>
  <c r="P26" i="8"/>
  <c r="T26" i="8"/>
  <c r="X26" i="8"/>
  <c r="J28" i="8"/>
  <c r="N28" i="8"/>
  <c r="R28" i="8"/>
  <c r="I29" i="8"/>
  <c r="M29" i="8"/>
  <c r="Q29" i="8"/>
  <c r="U29" i="8"/>
  <c r="H30" i="8"/>
  <c r="L30" i="8"/>
  <c r="P30" i="8"/>
  <c r="T30" i="8"/>
  <c r="X30" i="8"/>
  <c r="J32" i="8"/>
  <c r="N32" i="8"/>
  <c r="R32" i="8"/>
  <c r="I33" i="8"/>
  <c r="M33" i="8"/>
  <c r="Q33" i="8"/>
  <c r="U33" i="8"/>
  <c r="H34" i="8"/>
  <c r="L34" i="8"/>
  <c r="P34" i="8"/>
  <c r="T34" i="8"/>
  <c r="X34" i="8"/>
  <c r="J36" i="8"/>
  <c r="N36" i="8"/>
  <c r="R36" i="8"/>
  <c r="I37" i="8"/>
  <c r="M37" i="8"/>
  <c r="Q37" i="8"/>
  <c r="U37" i="8"/>
  <c r="H38" i="8"/>
  <c r="L38" i="8"/>
  <c r="P38" i="8"/>
  <c r="T38" i="8"/>
  <c r="X38" i="8"/>
  <c r="J42" i="8"/>
  <c r="M43" i="8"/>
  <c r="J29" i="8"/>
  <c r="N29" i="8"/>
  <c r="R29" i="8"/>
  <c r="V29" i="8"/>
  <c r="J33" i="8"/>
  <c r="N33" i="8"/>
  <c r="R33" i="8"/>
  <c r="V33" i="8"/>
  <c r="J37" i="8"/>
  <c r="N37" i="8"/>
  <c r="R37" i="8"/>
  <c r="V37" i="8"/>
  <c r="X43" i="8"/>
  <c r="T43" i="8"/>
  <c r="P43" i="8"/>
  <c r="L43" i="8"/>
  <c r="H43" i="8"/>
  <c r="W43" i="8"/>
  <c r="S43" i="8"/>
  <c r="O43" i="8"/>
  <c r="K43" i="8"/>
  <c r="G43" i="8"/>
  <c r="N43" i="8"/>
  <c r="V43" i="8"/>
  <c r="J26" i="8"/>
  <c r="N26" i="8"/>
  <c r="R26" i="8"/>
  <c r="G29" i="8"/>
  <c r="K29" i="8"/>
  <c r="O29" i="8"/>
  <c r="S29" i="8"/>
  <c r="J30" i="8"/>
  <c r="N30" i="8"/>
  <c r="R30" i="8"/>
  <c r="G33" i="8"/>
  <c r="K33" i="8"/>
  <c r="O33" i="8"/>
  <c r="S33" i="8"/>
  <c r="J34" i="8"/>
  <c r="N34" i="8"/>
  <c r="R34" i="8"/>
  <c r="G37" i="8"/>
  <c r="K37" i="8"/>
  <c r="O37" i="8"/>
  <c r="S37" i="8"/>
  <c r="J38" i="8"/>
  <c r="N38" i="8"/>
  <c r="R38" i="8"/>
  <c r="U42" i="8"/>
  <c r="Q42" i="8"/>
  <c r="M42" i="8"/>
  <c r="I42" i="8"/>
  <c r="X42" i="8"/>
  <c r="T42" i="8"/>
  <c r="P42" i="8"/>
  <c r="L42" i="8"/>
  <c r="H42" i="8"/>
  <c r="N42" i="8"/>
  <c r="V42" i="8"/>
  <c r="I43" i="8"/>
  <c r="Q43" i="8"/>
  <c r="J40" i="8"/>
  <c r="N40" i="8"/>
  <c r="R40" i="8"/>
  <c r="I41" i="8"/>
  <c r="M41" i="8"/>
  <c r="Q41" i="8"/>
  <c r="U41" i="8"/>
  <c r="J44" i="8"/>
  <c r="N44" i="8"/>
  <c r="R44" i="8"/>
  <c r="I45" i="8"/>
  <c r="M45" i="8"/>
  <c r="Q45" i="8"/>
  <c r="U45" i="8"/>
  <c r="J41" i="8"/>
  <c r="N41" i="8"/>
  <c r="R41" i="8"/>
  <c r="J45" i="8"/>
  <c r="N45" i="8"/>
  <c r="R45" i="8"/>
  <c r="N7" i="7"/>
  <c r="R7" i="7"/>
  <c r="V7" i="7"/>
  <c r="N11" i="7"/>
  <c r="U37" i="7"/>
  <c r="Q37" i="7"/>
  <c r="M37" i="7"/>
  <c r="I37" i="7"/>
  <c r="X37" i="7"/>
  <c r="T37" i="7"/>
  <c r="P37" i="7"/>
  <c r="L37" i="7"/>
  <c r="H37" i="7"/>
  <c r="W37" i="7"/>
  <c r="S37" i="7"/>
  <c r="O37" i="7"/>
  <c r="K37" i="7"/>
  <c r="G37" i="7"/>
  <c r="G7" i="7"/>
  <c r="K7" i="7"/>
  <c r="O7" i="7"/>
  <c r="S7" i="7"/>
  <c r="W7" i="7"/>
  <c r="J8" i="7"/>
  <c r="N8" i="7"/>
  <c r="R8" i="7"/>
  <c r="V8" i="7"/>
  <c r="G11" i="7"/>
  <c r="K11" i="7"/>
  <c r="O11" i="7"/>
  <c r="S11" i="7"/>
  <c r="W11" i="7"/>
  <c r="X12" i="7"/>
  <c r="T12" i="7"/>
  <c r="P12" i="7"/>
  <c r="L12" i="7"/>
  <c r="H12" i="7"/>
  <c r="K12" i="7"/>
  <c r="Q12" i="7"/>
  <c r="V12" i="7"/>
  <c r="W13" i="7"/>
  <c r="S13" i="7"/>
  <c r="O13" i="7"/>
  <c r="K13" i="7"/>
  <c r="G13" i="7"/>
  <c r="L13" i="7"/>
  <c r="Q13" i="7"/>
  <c r="V13" i="7"/>
  <c r="U15" i="7"/>
  <c r="Q15" i="7"/>
  <c r="M15" i="7"/>
  <c r="I15" i="7"/>
  <c r="K15" i="7"/>
  <c r="V15" i="7"/>
  <c r="X16" i="7"/>
  <c r="T16" i="7"/>
  <c r="P16" i="7"/>
  <c r="L16" i="7"/>
  <c r="H16" i="7"/>
  <c r="K16" i="7"/>
  <c r="V16" i="7"/>
  <c r="W17" i="7"/>
  <c r="S17" i="7"/>
  <c r="O17" i="7"/>
  <c r="K17" i="7"/>
  <c r="G17" i="7"/>
  <c r="L17" i="7"/>
  <c r="Q17" i="7"/>
  <c r="V17" i="7"/>
  <c r="U19" i="7"/>
  <c r="Q19" i="7"/>
  <c r="M19" i="7"/>
  <c r="I19" i="7"/>
  <c r="K19" i="7"/>
  <c r="P19" i="7"/>
  <c r="V19" i="7"/>
  <c r="X20" i="7"/>
  <c r="T20" i="7"/>
  <c r="P20" i="7"/>
  <c r="L20" i="7"/>
  <c r="H20" i="7"/>
  <c r="K20" i="7"/>
  <c r="Q20" i="7"/>
  <c r="V20" i="7"/>
  <c r="W21" i="7"/>
  <c r="S21" i="7"/>
  <c r="O21" i="7"/>
  <c r="K21" i="7"/>
  <c r="G21" i="7"/>
  <c r="L21" i="7"/>
  <c r="Q21" i="7"/>
  <c r="J24" i="7"/>
  <c r="R24" i="7"/>
  <c r="M25" i="7"/>
  <c r="U33" i="7"/>
  <c r="Q33" i="7"/>
  <c r="M33" i="7"/>
  <c r="I33" i="7"/>
  <c r="X33" i="7"/>
  <c r="T33" i="7"/>
  <c r="P33" i="7"/>
  <c r="L33" i="7"/>
  <c r="H33" i="7"/>
  <c r="W33" i="7"/>
  <c r="S33" i="7"/>
  <c r="O33" i="7"/>
  <c r="K33" i="7"/>
  <c r="G33" i="7"/>
  <c r="V33" i="7"/>
  <c r="J37" i="7"/>
  <c r="J7" i="7"/>
  <c r="J11" i="7"/>
  <c r="V11" i="7"/>
  <c r="V37" i="7"/>
  <c r="I6" i="7"/>
  <c r="M6" i="7"/>
  <c r="Q6" i="7"/>
  <c r="U6" i="7"/>
  <c r="H7" i="7"/>
  <c r="L7" i="7"/>
  <c r="P7" i="7"/>
  <c r="T7" i="7"/>
  <c r="X7" i="7"/>
  <c r="G8" i="7"/>
  <c r="K8" i="7"/>
  <c r="O8" i="7"/>
  <c r="S8" i="7"/>
  <c r="W8" i="7"/>
  <c r="N9" i="7"/>
  <c r="R9" i="7"/>
  <c r="I10" i="7"/>
  <c r="M10" i="7"/>
  <c r="Q10" i="7"/>
  <c r="U10" i="7"/>
  <c r="H11" i="7"/>
  <c r="P11" i="7"/>
  <c r="T11" i="7"/>
  <c r="X11" i="7"/>
  <c r="G12" i="7"/>
  <c r="R12" i="7"/>
  <c r="W12" i="7"/>
  <c r="H13" i="7"/>
  <c r="M13" i="7"/>
  <c r="R13" i="7"/>
  <c r="X13" i="7"/>
  <c r="G15" i="7"/>
  <c r="L15" i="7"/>
  <c r="R15" i="7"/>
  <c r="W15" i="7"/>
  <c r="G16" i="7"/>
  <c r="M16" i="7"/>
  <c r="R16" i="7"/>
  <c r="W16" i="7"/>
  <c r="H17" i="7"/>
  <c r="M17" i="7"/>
  <c r="X17" i="7"/>
  <c r="G19" i="7"/>
  <c r="L19" i="7"/>
  <c r="R19" i="7"/>
  <c r="W19" i="7"/>
  <c r="G20" i="7"/>
  <c r="M20" i="7"/>
  <c r="R20" i="7"/>
  <c r="W20" i="7"/>
  <c r="H21" i="7"/>
  <c r="M21" i="7"/>
  <c r="R21" i="7"/>
  <c r="X21" i="7"/>
  <c r="K24" i="7"/>
  <c r="X25" i="7"/>
  <c r="T25" i="7"/>
  <c r="P25" i="7"/>
  <c r="L25" i="7"/>
  <c r="H25" i="7"/>
  <c r="W25" i="7"/>
  <c r="S25" i="7"/>
  <c r="O25" i="7"/>
  <c r="K25" i="7"/>
  <c r="G25" i="7"/>
  <c r="N25" i="7"/>
  <c r="V25" i="7"/>
  <c r="U29" i="7"/>
  <c r="Q29" i="7"/>
  <c r="M29" i="7"/>
  <c r="I29" i="7"/>
  <c r="X29" i="7"/>
  <c r="T29" i="7"/>
  <c r="P29" i="7"/>
  <c r="L29" i="7"/>
  <c r="H29" i="7"/>
  <c r="W29" i="7"/>
  <c r="S29" i="7"/>
  <c r="O29" i="7"/>
  <c r="K29" i="7"/>
  <c r="G29" i="7"/>
  <c r="V29" i="7"/>
  <c r="J33" i="7"/>
  <c r="N37" i="7"/>
  <c r="R11" i="7"/>
  <c r="J6" i="7"/>
  <c r="N6" i="7"/>
  <c r="R6" i="7"/>
  <c r="I7" i="7"/>
  <c r="M7" i="7"/>
  <c r="Q7" i="7"/>
  <c r="H8" i="7"/>
  <c r="L8" i="7"/>
  <c r="P8" i="7"/>
  <c r="T8" i="7"/>
  <c r="J10" i="7"/>
  <c r="N10" i="7"/>
  <c r="R10" i="7"/>
  <c r="I11" i="7"/>
  <c r="M11" i="7"/>
  <c r="Q11" i="7"/>
  <c r="I12" i="7"/>
  <c r="N12" i="7"/>
  <c r="S12" i="7"/>
  <c r="I13" i="7"/>
  <c r="T13" i="7"/>
  <c r="H15" i="7"/>
  <c r="N15" i="7"/>
  <c r="S15" i="7"/>
  <c r="X15" i="7"/>
  <c r="I16" i="7"/>
  <c r="N16" i="7"/>
  <c r="S16" i="7"/>
  <c r="I17" i="7"/>
  <c r="N17" i="7"/>
  <c r="T17" i="7"/>
  <c r="H19" i="7"/>
  <c r="N19" i="7"/>
  <c r="S19" i="7"/>
  <c r="X19" i="7"/>
  <c r="U24" i="7"/>
  <c r="Q24" i="7"/>
  <c r="M24" i="7"/>
  <c r="I24" i="7"/>
  <c r="X24" i="7"/>
  <c r="T24" i="7"/>
  <c r="P24" i="7"/>
  <c r="L24" i="7"/>
  <c r="H24" i="7"/>
  <c r="N24" i="7"/>
  <c r="V24" i="7"/>
  <c r="R37" i="7"/>
  <c r="J14" i="7"/>
  <c r="N14" i="7"/>
  <c r="R14" i="7"/>
  <c r="J18" i="7"/>
  <c r="N18" i="7"/>
  <c r="R18" i="7"/>
  <c r="J22" i="7"/>
  <c r="N22" i="7"/>
  <c r="R22" i="7"/>
  <c r="I23" i="7"/>
  <c r="M23" i="7"/>
  <c r="Q23" i="7"/>
  <c r="U23" i="7"/>
  <c r="J26" i="7"/>
  <c r="N26" i="7"/>
  <c r="R26" i="7"/>
  <c r="I27" i="7"/>
  <c r="M27" i="7"/>
  <c r="Q27" i="7"/>
  <c r="U27" i="7"/>
  <c r="H28" i="7"/>
  <c r="L28" i="7"/>
  <c r="P28" i="7"/>
  <c r="T28" i="7"/>
  <c r="X28" i="7"/>
  <c r="J30" i="7"/>
  <c r="N30" i="7"/>
  <c r="R30" i="7"/>
  <c r="I31" i="7"/>
  <c r="M31" i="7"/>
  <c r="Q31" i="7"/>
  <c r="U31" i="7"/>
  <c r="H32" i="7"/>
  <c r="L32" i="7"/>
  <c r="P32" i="7"/>
  <c r="T32" i="7"/>
  <c r="X32" i="7"/>
  <c r="J34" i="7"/>
  <c r="N34" i="7"/>
  <c r="R34" i="7"/>
  <c r="I35" i="7"/>
  <c r="M35" i="7"/>
  <c r="Q35" i="7"/>
  <c r="U35" i="7"/>
  <c r="H36" i="7"/>
  <c r="L36" i="7"/>
  <c r="P36" i="7"/>
  <c r="T36" i="7"/>
  <c r="X36" i="7"/>
  <c r="J38" i="7"/>
  <c r="N38" i="7"/>
  <c r="R38" i="7"/>
  <c r="I39" i="7"/>
  <c r="M39" i="7"/>
  <c r="Q39" i="7"/>
  <c r="U39" i="7"/>
  <c r="J41" i="7"/>
  <c r="O41" i="7"/>
  <c r="J42" i="7"/>
  <c r="R42" i="7"/>
  <c r="M43" i="7"/>
  <c r="J23" i="7"/>
  <c r="N23" i="7"/>
  <c r="R23" i="7"/>
  <c r="J27" i="7"/>
  <c r="N27" i="7"/>
  <c r="R27" i="7"/>
  <c r="I28" i="7"/>
  <c r="M28" i="7"/>
  <c r="Q28" i="7"/>
  <c r="U28" i="7"/>
  <c r="J31" i="7"/>
  <c r="N31" i="7"/>
  <c r="R31" i="7"/>
  <c r="I32" i="7"/>
  <c r="M32" i="7"/>
  <c r="Q32" i="7"/>
  <c r="U32" i="7"/>
  <c r="J35" i="7"/>
  <c r="N35" i="7"/>
  <c r="R35" i="7"/>
  <c r="I36" i="7"/>
  <c r="M36" i="7"/>
  <c r="Q36" i="7"/>
  <c r="U36" i="7"/>
  <c r="J39" i="7"/>
  <c r="N39" i="7"/>
  <c r="R39" i="7"/>
  <c r="V39" i="7"/>
  <c r="V41" i="7"/>
  <c r="R41" i="7"/>
  <c r="U41" i="7"/>
  <c r="Q41" i="7"/>
  <c r="M41" i="7"/>
  <c r="I41" i="7"/>
  <c r="K41" i="7"/>
  <c r="P41" i="7"/>
  <c r="X41" i="7"/>
  <c r="K42" i="7"/>
  <c r="X43" i="7"/>
  <c r="T43" i="7"/>
  <c r="P43" i="7"/>
  <c r="L43" i="7"/>
  <c r="H43" i="7"/>
  <c r="W43" i="7"/>
  <c r="S43" i="7"/>
  <c r="O43" i="7"/>
  <c r="K43" i="7"/>
  <c r="G43" i="7"/>
  <c r="N43" i="7"/>
  <c r="V43" i="7"/>
  <c r="J28" i="7"/>
  <c r="N28" i="7"/>
  <c r="R28" i="7"/>
  <c r="J32" i="7"/>
  <c r="N32" i="7"/>
  <c r="R32" i="7"/>
  <c r="J36" i="7"/>
  <c r="N36" i="7"/>
  <c r="R36" i="7"/>
  <c r="U42" i="7"/>
  <c r="Q42" i="7"/>
  <c r="M42" i="7"/>
  <c r="I42" i="7"/>
  <c r="X42" i="7"/>
  <c r="T42" i="7"/>
  <c r="P42" i="7"/>
  <c r="L42" i="7"/>
  <c r="H42" i="7"/>
  <c r="N42" i="7"/>
  <c r="V42" i="7"/>
  <c r="J40" i="7"/>
  <c r="N40" i="7"/>
  <c r="R40" i="7"/>
  <c r="J44" i="7"/>
  <c r="N44" i="7"/>
  <c r="R44" i="7"/>
  <c r="I45" i="7"/>
  <c r="M45" i="7"/>
  <c r="Q45" i="7"/>
  <c r="U45" i="7"/>
  <c r="J45" i="7"/>
  <c r="N45" i="7"/>
  <c r="R45" i="7"/>
  <c r="L11" i="6"/>
  <c r="J9" i="6"/>
  <c r="R9" i="6"/>
  <c r="N13" i="6"/>
  <c r="J17" i="6"/>
  <c r="U42" i="6"/>
  <c r="X42" i="6"/>
  <c r="T42" i="6"/>
  <c r="P42" i="6"/>
  <c r="L42" i="6"/>
  <c r="H42" i="6"/>
  <c r="V42" i="6"/>
  <c r="O42" i="6"/>
  <c r="J42" i="6"/>
  <c r="S42" i="6"/>
  <c r="N42" i="6"/>
  <c r="I42" i="6"/>
  <c r="R42" i="6"/>
  <c r="M42" i="6"/>
  <c r="G42" i="6"/>
  <c r="J6" i="6"/>
  <c r="N6" i="6"/>
  <c r="R6" i="6"/>
  <c r="V6" i="6"/>
  <c r="H8" i="6"/>
  <c r="L8" i="6"/>
  <c r="P8" i="6"/>
  <c r="T8" i="6"/>
  <c r="X8" i="6"/>
  <c r="G9" i="6"/>
  <c r="K9" i="6"/>
  <c r="O9" i="6"/>
  <c r="S9" i="6"/>
  <c r="W9" i="6"/>
  <c r="J10" i="6"/>
  <c r="N10" i="6"/>
  <c r="R10" i="6"/>
  <c r="V10" i="6"/>
  <c r="H12" i="6"/>
  <c r="L12" i="6"/>
  <c r="P12" i="6"/>
  <c r="T12" i="6"/>
  <c r="X12" i="6"/>
  <c r="G13" i="6"/>
  <c r="K13" i="6"/>
  <c r="O13" i="6"/>
  <c r="S13" i="6"/>
  <c r="W13" i="6"/>
  <c r="J14" i="6"/>
  <c r="N14" i="6"/>
  <c r="R14" i="6"/>
  <c r="V14" i="6"/>
  <c r="H16" i="6"/>
  <c r="L16" i="6"/>
  <c r="P16" i="6"/>
  <c r="T16" i="6"/>
  <c r="X16" i="6"/>
  <c r="G17" i="6"/>
  <c r="K17" i="6"/>
  <c r="O17" i="6"/>
  <c r="S17" i="6"/>
  <c r="W17" i="6"/>
  <c r="J18" i="6"/>
  <c r="N18" i="6"/>
  <c r="R18" i="6"/>
  <c r="V18" i="6"/>
  <c r="H21" i="6"/>
  <c r="P21" i="6"/>
  <c r="X21" i="6"/>
  <c r="T23" i="6"/>
  <c r="P23" i="6"/>
  <c r="L23" i="6"/>
  <c r="H23" i="6"/>
  <c r="W23" i="6"/>
  <c r="S23" i="6"/>
  <c r="O23" i="6"/>
  <c r="K23" i="6"/>
  <c r="G23" i="6"/>
  <c r="N23" i="6"/>
  <c r="V23" i="6"/>
  <c r="J26" i="6"/>
  <c r="R26" i="6"/>
  <c r="G30" i="6"/>
  <c r="U35" i="6"/>
  <c r="Q35" i="6"/>
  <c r="M35" i="6"/>
  <c r="I35" i="6"/>
  <c r="X35" i="6"/>
  <c r="T35" i="6"/>
  <c r="P35" i="6"/>
  <c r="L35" i="6"/>
  <c r="H35" i="6"/>
  <c r="W35" i="6"/>
  <c r="S35" i="6"/>
  <c r="O35" i="6"/>
  <c r="K35" i="6"/>
  <c r="G35" i="6"/>
  <c r="V35" i="6"/>
  <c r="K42" i="6"/>
  <c r="J13" i="6"/>
  <c r="R13" i="6"/>
  <c r="V13" i="6"/>
  <c r="N17" i="6"/>
  <c r="V17" i="6"/>
  <c r="V30" i="6"/>
  <c r="R30" i="6"/>
  <c r="N30" i="6"/>
  <c r="J30" i="6"/>
  <c r="U30" i="6"/>
  <c r="Q30" i="6"/>
  <c r="M30" i="6"/>
  <c r="I30" i="6"/>
  <c r="X30" i="6"/>
  <c r="T30" i="6"/>
  <c r="P30" i="6"/>
  <c r="L30" i="6"/>
  <c r="H30" i="6"/>
  <c r="W39" i="6"/>
  <c r="U39" i="6"/>
  <c r="Q39" i="6"/>
  <c r="M39" i="6"/>
  <c r="I39" i="6"/>
  <c r="T39" i="6"/>
  <c r="P39" i="6"/>
  <c r="L39" i="6"/>
  <c r="H39" i="6"/>
  <c r="X39" i="6"/>
  <c r="S39" i="6"/>
  <c r="O39" i="6"/>
  <c r="K39" i="6"/>
  <c r="G39" i="6"/>
  <c r="U41" i="6"/>
  <c r="Q41" i="6"/>
  <c r="M41" i="6"/>
  <c r="I41" i="6"/>
  <c r="T41" i="6"/>
  <c r="O41" i="6"/>
  <c r="J41" i="6"/>
  <c r="X41" i="6"/>
  <c r="S41" i="6"/>
  <c r="N41" i="6"/>
  <c r="H41" i="6"/>
  <c r="W41" i="6"/>
  <c r="R41" i="6"/>
  <c r="L41" i="6"/>
  <c r="G41" i="6"/>
  <c r="G6" i="6"/>
  <c r="K6" i="6"/>
  <c r="O6" i="6"/>
  <c r="S6" i="6"/>
  <c r="J7" i="6"/>
  <c r="N7" i="6"/>
  <c r="R7" i="6"/>
  <c r="I8" i="6"/>
  <c r="M8" i="6"/>
  <c r="Q8" i="6"/>
  <c r="U8" i="6"/>
  <c r="H9" i="6"/>
  <c r="L9" i="6"/>
  <c r="P9" i="6"/>
  <c r="T9" i="6"/>
  <c r="X9" i="6"/>
  <c r="G10" i="6"/>
  <c r="K10" i="6"/>
  <c r="O10" i="6"/>
  <c r="S10" i="6"/>
  <c r="J11" i="6"/>
  <c r="N11" i="6"/>
  <c r="R11" i="6"/>
  <c r="I12" i="6"/>
  <c r="M12" i="6"/>
  <c r="Q12" i="6"/>
  <c r="U12" i="6"/>
  <c r="H13" i="6"/>
  <c r="L13" i="6"/>
  <c r="P13" i="6"/>
  <c r="T13" i="6"/>
  <c r="X13" i="6"/>
  <c r="G14" i="6"/>
  <c r="K14" i="6"/>
  <c r="O14" i="6"/>
  <c r="S14" i="6"/>
  <c r="J15" i="6"/>
  <c r="N15" i="6"/>
  <c r="R15" i="6"/>
  <c r="I16" i="6"/>
  <c r="M16" i="6"/>
  <c r="U16" i="6"/>
  <c r="H17" i="6"/>
  <c r="L17" i="6"/>
  <c r="P17" i="6"/>
  <c r="T17" i="6"/>
  <c r="X17" i="6"/>
  <c r="G18" i="6"/>
  <c r="K18" i="6"/>
  <c r="O18" i="6"/>
  <c r="W18" i="6"/>
  <c r="J19" i="6"/>
  <c r="N19" i="6"/>
  <c r="R19" i="6"/>
  <c r="K21" i="6"/>
  <c r="U22" i="6"/>
  <c r="Q22" i="6"/>
  <c r="M22" i="6"/>
  <c r="I22" i="6"/>
  <c r="X22" i="6"/>
  <c r="T22" i="6"/>
  <c r="P22" i="6"/>
  <c r="L22" i="6"/>
  <c r="H22" i="6"/>
  <c r="N22" i="6"/>
  <c r="V22" i="6"/>
  <c r="I23" i="6"/>
  <c r="Q23" i="6"/>
  <c r="K26" i="6"/>
  <c r="X27" i="6"/>
  <c r="T27" i="6"/>
  <c r="P27" i="6"/>
  <c r="L27" i="6"/>
  <c r="H27" i="6"/>
  <c r="W27" i="6"/>
  <c r="S27" i="6"/>
  <c r="O27" i="6"/>
  <c r="K27" i="6"/>
  <c r="G27" i="6"/>
  <c r="N27" i="6"/>
  <c r="V27" i="6"/>
  <c r="K30" i="6"/>
  <c r="U31" i="6"/>
  <c r="Q31" i="6"/>
  <c r="M31" i="6"/>
  <c r="I31" i="6"/>
  <c r="X31" i="6"/>
  <c r="T31" i="6"/>
  <c r="P31" i="6"/>
  <c r="L31" i="6"/>
  <c r="H31" i="6"/>
  <c r="W31" i="6"/>
  <c r="S31" i="6"/>
  <c r="O31" i="6"/>
  <c r="K31" i="6"/>
  <c r="G31" i="6"/>
  <c r="V31" i="6"/>
  <c r="J35" i="6"/>
  <c r="N39" i="6"/>
  <c r="P41" i="6"/>
  <c r="Q42" i="6"/>
  <c r="N9" i="6"/>
  <c r="V9" i="6"/>
  <c r="S30" i="6"/>
  <c r="V39" i="6"/>
  <c r="J8" i="6"/>
  <c r="N8" i="6"/>
  <c r="R8" i="6"/>
  <c r="I9" i="6"/>
  <c r="M9" i="6"/>
  <c r="Q9" i="6"/>
  <c r="J12" i="6"/>
  <c r="N12" i="6"/>
  <c r="R12" i="6"/>
  <c r="I13" i="6"/>
  <c r="M13" i="6"/>
  <c r="Q13" i="6"/>
  <c r="J16" i="6"/>
  <c r="N16" i="6"/>
  <c r="R16" i="6"/>
  <c r="I17" i="6"/>
  <c r="M17" i="6"/>
  <c r="Q17" i="6"/>
  <c r="T18" i="6"/>
  <c r="R21" i="6"/>
  <c r="N21" i="6"/>
  <c r="J21" i="6"/>
  <c r="U21" i="6"/>
  <c r="Q21" i="6"/>
  <c r="M21" i="6"/>
  <c r="I21" i="6"/>
  <c r="L21" i="6"/>
  <c r="T21" i="6"/>
  <c r="J23" i="6"/>
  <c r="R23" i="6"/>
  <c r="U26" i="6"/>
  <c r="Q26" i="6"/>
  <c r="M26" i="6"/>
  <c r="I26" i="6"/>
  <c r="X26" i="6"/>
  <c r="T26" i="6"/>
  <c r="P26" i="6"/>
  <c r="L26" i="6"/>
  <c r="H26" i="6"/>
  <c r="N26" i="6"/>
  <c r="V26" i="6"/>
  <c r="O30" i="6"/>
  <c r="N35" i="6"/>
  <c r="R39" i="6"/>
  <c r="V41" i="6"/>
  <c r="W42" i="6"/>
  <c r="J20" i="6"/>
  <c r="N20" i="6"/>
  <c r="R20" i="6"/>
  <c r="J24" i="6"/>
  <c r="N24" i="6"/>
  <c r="R24" i="6"/>
  <c r="I25" i="6"/>
  <c r="M25" i="6"/>
  <c r="Q25" i="6"/>
  <c r="U25" i="6"/>
  <c r="J28" i="6"/>
  <c r="N28" i="6"/>
  <c r="R28" i="6"/>
  <c r="I29" i="6"/>
  <c r="M29" i="6"/>
  <c r="Q29" i="6"/>
  <c r="U29" i="6"/>
  <c r="J32" i="6"/>
  <c r="N32" i="6"/>
  <c r="R32" i="6"/>
  <c r="I33" i="6"/>
  <c r="M33" i="6"/>
  <c r="Q33" i="6"/>
  <c r="U33" i="6"/>
  <c r="H34" i="6"/>
  <c r="L34" i="6"/>
  <c r="P34" i="6"/>
  <c r="T34" i="6"/>
  <c r="X34" i="6"/>
  <c r="J36" i="6"/>
  <c r="N36" i="6"/>
  <c r="R36" i="6"/>
  <c r="I37" i="6"/>
  <c r="M37" i="6"/>
  <c r="Q37" i="6"/>
  <c r="U37" i="6"/>
  <c r="H38" i="6"/>
  <c r="L38" i="6"/>
  <c r="P38" i="6"/>
  <c r="T38" i="6"/>
  <c r="X38" i="6"/>
  <c r="M43" i="6"/>
  <c r="J25" i="6"/>
  <c r="N25" i="6"/>
  <c r="R25" i="6"/>
  <c r="J29" i="6"/>
  <c r="N29" i="6"/>
  <c r="R29" i="6"/>
  <c r="J33" i="6"/>
  <c r="N33" i="6"/>
  <c r="R33" i="6"/>
  <c r="I34" i="6"/>
  <c r="M34" i="6"/>
  <c r="Q34" i="6"/>
  <c r="U34" i="6"/>
  <c r="J37" i="6"/>
  <c r="N37" i="6"/>
  <c r="R37" i="6"/>
  <c r="I38" i="6"/>
  <c r="M38" i="6"/>
  <c r="Q38" i="6"/>
  <c r="U38" i="6"/>
  <c r="X43" i="6"/>
  <c r="T43" i="6"/>
  <c r="P43" i="6"/>
  <c r="L43" i="6"/>
  <c r="H43" i="6"/>
  <c r="W43" i="6"/>
  <c r="S43" i="6"/>
  <c r="O43" i="6"/>
  <c r="K43" i="6"/>
  <c r="G43" i="6"/>
  <c r="N43" i="6"/>
  <c r="V43" i="6"/>
  <c r="J34" i="6"/>
  <c r="N34" i="6"/>
  <c r="R34" i="6"/>
  <c r="J38" i="6"/>
  <c r="N38" i="6"/>
  <c r="R38" i="6"/>
  <c r="J40" i="6"/>
  <c r="N40" i="6"/>
  <c r="R40" i="6"/>
  <c r="J44" i="6"/>
  <c r="N44" i="6"/>
  <c r="R44" i="6"/>
  <c r="K10" i="5"/>
  <c r="R8" i="5"/>
  <c r="U17" i="5"/>
  <c r="Q17" i="5"/>
  <c r="M17" i="5"/>
  <c r="I17" i="5"/>
  <c r="K17" i="5"/>
  <c r="P17" i="5"/>
  <c r="V17" i="5"/>
  <c r="K18" i="5"/>
  <c r="V18" i="5"/>
  <c r="V22" i="5"/>
  <c r="R22" i="5"/>
  <c r="N22" i="5"/>
  <c r="J22" i="5"/>
  <c r="X22" i="5"/>
  <c r="T22" i="5"/>
  <c r="P22" i="5"/>
  <c r="L22" i="5"/>
  <c r="H22" i="5"/>
  <c r="U22" i="5"/>
  <c r="U27" i="5"/>
  <c r="Q27" i="5"/>
  <c r="M27" i="5"/>
  <c r="I27" i="5"/>
  <c r="X27" i="5"/>
  <c r="T27" i="5"/>
  <c r="P27" i="5"/>
  <c r="L27" i="5"/>
  <c r="H27" i="5"/>
  <c r="W27" i="5"/>
  <c r="S27" i="5"/>
  <c r="O27" i="5"/>
  <c r="K27" i="5"/>
  <c r="G27" i="5"/>
  <c r="V27" i="5"/>
  <c r="U35" i="5"/>
  <c r="Q35" i="5"/>
  <c r="M35" i="5"/>
  <c r="I35" i="5"/>
  <c r="X35" i="5"/>
  <c r="T35" i="5"/>
  <c r="P35" i="5"/>
  <c r="L35" i="5"/>
  <c r="H35" i="5"/>
  <c r="W35" i="5"/>
  <c r="S35" i="5"/>
  <c r="O35" i="5"/>
  <c r="K35" i="5"/>
  <c r="G35" i="5"/>
  <c r="I6" i="5"/>
  <c r="M6" i="5"/>
  <c r="Q6" i="5"/>
  <c r="U6" i="5"/>
  <c r="H7" i="5"/>
  <c r="L7" i="5"/>
  <c r="P7" i="5"/>
  <c r="T7" i="5"/>
  <c r="X7" i="5"/>
  <c r="G8" i="5"/>
  <c r="K8" i="5"/>
  <c r="O8" i="5"/>
  <c r="S8" i="5"/>
  <c r="W8" i="5"/>
  <c r="J9" i="5"/>
  <c r="N9" i="5"/>
  <c r="R9" i="5"/>
  <c r="I10" i="5"/>
  <c r="M10" i="5"/>
  <c r="Q10" i="5"/>
  <c r="U10" i="5"/>
  <c r="H11" i="5"/>
  <c r="P11" i="5"/>
  <c r="T11" i="5"/>
  <c r="X11" i="5"/>
  <c r="G12" i="5"/>
  <c r="K12" i="5"/>
  <c r="O12" i="5"/>
  <c r="S12" i="5"/>
  <c r="W12" i="5"/>
  <c r="J13" i="5"/>
  <c r="R13" i="5"/>
  <c r="I14" i="5"/>
  <c r="M14" i="5"/>
  <c r="Q14" i="5"/>
  <c r="U14" i="5"/>
  <c r="H15" i="5"/>
  <c r="L15" i="5"/>
  <c r="T15" i="5"/>
  <c r="X15" i="5"/>
  <c r="G17" i="5"/>
  <c r="L17" i="5"/>
  <c r="W17" i="5"/>
  <c r="G18" i="5"/>
  <c r="M18" i="5"/>
  <c r="R18" i="5"/>
  <c r="H19" i="5"/>
  <c r="M19" i="5"/>
  <c r="R19" i="5"/>
  <c r="X19" i="5"/>
  <c r="G21" i="5"/>
  <c r="L21" i="5"/>
  <c r="R21" i="5"/>
  <c r="G22" i="5"/>
  <c r="O22" i="5"/>
  <c r="J23" i="5"/>
  <c r="R23" i="5"/>
  <c r="L25" i="5"/>
  <c r="J27" i="5"/>
  <c r="J35" i="5"/>
  <c r="J8" i="5"/>
  <c r="J12" i="5"/>
  <c r="R12" i="5"/>
  <c r="X18" i="5"/>
  <c r="T18" i="5"/>
  <c r="P18" i="5"/>
  <c r="L18" i="5"/>
  <c r="H18" i="5"/>
  <c r="Q18" i="5"/>
  <c r="U21" i="5"/>
  <c r="Q21" i="5"/>
  <c r="M21" i="5"/>
  <c r="I21" i="5"/>
  <c r="K21" i="5"/>
  <c r="P21" i="5"/>
  <c r="V35" i="5"/>
  <c r="J6" i="5"/>
  <c r="N6" i="5"/>
  <c r="R6" i="5"/>
  <c r="I7" i="5"/>
  <c r="M7" i="5"/>
  <c r="Q7" i="5"/>
  <c r="U7" i="5"/>
  <c r="H8" i="5"/>
  <c r="L8" i="5"/>
  <c r="P8" i="5"/>
  <c r="T8" i="5"/>
  <c r="X8" i="5"/>
  <c r="J10" i="5"/>
  <c r="N10" i="5"/>
  <c r="R10" i="5"/>
  <c r="I11" i="5"/>
  <c r="M11" i="5"/>
  <c r="Q11" i="5"/>
  <c r="U11" i="5"/>
  <c r="H12" i="5"/>
  <c r="L12" i="5"/>
  <c r="P12" i="5"/>
  <c r="T12" i="5"/>
  <c r="X12" i="5"/>
  <c r="J14" i="5"/>
  <c r="N14" i="5"/>
  <c r="R14" i="5"/>
  <c r="I15" i="5"/>
  <c r="M15" i="5"/>
  <c r="Q15" i="5"/>
  <c r="U15" i="5"/>
  <c r="H17" i="5"/>
  <c r="N17" i="5"/>
  <c r="S17" i="5"/>
  <c r="X17" i="5"/>
  <c r="I18" i="5"/>
  <c r="N18" i="5"/>
  <c r="I19" i="5"/>
  <c r="N19" i="5"/>
  <c r="H21" i="5"/>
  <c r="N21" i="5"/>
  <c r="S21" i="5"/>
  <c r="X21" i="5"/>
  <c r="I22" i="5"/>
  <c r="Q22" i="5"/>
  <c r="L23" i="5"/>
  <c r="W25" i="5"/>
  <c r="S25" i="5"/>
  <c r="O25" i="5"/>
  <c r="K25" i="5"/>
  <c r="G25" i="5"/>
  <c r="U25" i="5"/>
  <c r="Q25" i="5"/>
  <c r="M25" i="5"/>
  <c r="I25" i="5"/>
  <c r="N25" i="5"/>
  <c r="V25" i="5"/>
  <c r="N27" i="5"/>
  <c r="U31" i="5"/>
  <c r="Q31" i="5"/>
  <c r="M31" i="5"/>
  <c r="I31" i="5"/>
  <c r="X31" i="5"/>
  <c r="T31" i="5"/>
  <c r="P31" i="5"/>
  <c r="L31" i="5"/>
  <c r="H31" i="5"/>
  <c r="W31" i="5"/>
  <c r="S31" i="5"/>
  <c r="O31" i="5"/>
  <c r="K31" i="5"/>
  <c r="G31" i="5"/>
  <c r="V31" i="5"/>
  <c r="N35" i="5"/>
  <c r="W39" i="5"/>
  <c r="U39" i="5"/>
  <c r="Q39" i="5"/>
  <c r="M39" i="5"/>
  <c r="I39" i="5"/>
  <c r="T39" i="5"/>
  <c r="P39" i="5"/>
  <c r="L39" i="5"/>
  <c r="H39" i="5"/>
  <c r="X39" i="5"/>
  <c r="S39" i="5"/>
  <c r="O39" i="5"/>
  <c r="K39" i="5"/>
  <c r="G39" i="5"/>
  <c r="V39" i="5"/>
  <c r="N8" i="5"/>
  <c r="V8" i="5"/>
  <c r="N12" i="5"/>
  <c r="V12" i="5"/>
  <c r="W19" i="5"/>
  <c r="S19" i="5"/>
  <c r="O19" i="5"/>
  <c r="K19" i="5"/>
  <c r="G19" i="5"/>
  <c r="L19" i="5"/>
  <c r="Q19" i="5"/>
  <c r="V19" i="5"/>
  <c r="M22" i="5"/>
  <c r="J7" i="5"/>
  <c r="N7" i="5"/>
  <c r="R7" i="5"/>
  <c r="I8" i="5"/>
  <c r="M8" i="5"/>
  <c r="Q8" i="5"/>
  <c r="J11" i="5"/>
  <c r="N11" i="5"/>
  <c r="R11" i="5"/>
  <c r="I12" i="5"/>
  <c r="M12" i="5"/>
  <c r="Q12" i="5"/>
  <c r="J15" i="5"/>
  <c r="N15" i="5"/>
  <c r="R15" i="5"/>
  <c r="J17" i="5"/>
  <c r="O17" i="5"/>
  <c r="T17" i="5"/>
  <c r="J18" i="5"/>
  <c r="O18" i="5"/>
  <c r="U18" i="5"/>
  <c r="J19" i="5"/>
  <c r="P19" i="5"/>
  <c r="U19" i="5"/>
  <c r="J21" i="5"/>
  <c r="O21" i="5"/>
  <c r="T21" i="5"/>
  <c r="K22" i="5"/>
  <c r="S22" i="5"/>
  <c r="U23" i="5"/>
  <c r="Q23" i="5"/>
  <c r="M23" i="5"/>
  <c r="I23" i="5"/>
  <c r="W23" i="5"/>
  <c r="S23" i="5"/>
  <c r="O23" i="5"/>
  <c r="K23" i="5"/>
  <c r="G23" i="5"/>
  <c r="N23" i="5"/>
  <c r="V23" i="5"/>
  <c r="H25" i="5"/>
  <c r="P25" i="5"/>
  <c r="X25" i="5"/>
  <c r="R27" i="5"/>
  <c r="J31" i="5"/>
  <c r="R35" i="5"/>
  <c r="J39" i="5"/>
  <c r="J16" i="5"/>
  <c r="N16" i="5"/>
  <c r="R16" i="5"/>
  <c r="J20" i="5"/>
  <c r="N20" i="5"/>
  <c r="R20" i="5"/>
  <c r="J24" i="5"/>
  <c r="N24" i="5"/>
  <c r="R24" i="5"/>
  <c r="H26" i="5"/>
  <c r="L26" i="5"/>
  <c r="P26" i="5"/>
  <c r="T26" i="5"/>
  <c r="X26" i="5"/>
  <c r="J28" i="5"/>
  <c r="N28" i="5"/>
  <c r="R28" i="5"/>
  <c r="I29" i="5"/>
  <c r="M29" i="5"/>
  <c r="Q29" i="5"/>
  <c r="U29" i="5"/>
  <c r="H30" i="5"/>
  <c r="L30" i="5"/>
  <c r="P30" i="5"/>
  <c r="T30" i="5"/>
  <c r="X30" i="5"/>
  <c r="J32" i="5"/>
  <c r="N32" i="5"/>
  <c r="R32" i="5"/>
  <c r="I33" i="5"/>
  <c r="M33" i="5"/>
  <c r="Q33" i="5"/>
  <c r="U33" i="5"/>
  <c r="H34" i="5"/>
  <c r="L34" i="5"/>
  <c r="P34" i="5"/>
  <c r="T34" i="5"/>
  <c r="X34" i="5"/>
  <c r="J36" i="5"/>
  <c r="N36" i="5"/>
  <c r="R36" i="5"/>
  <c r="I37" i="5"/>
  <c r="M37" i="5"/>
  <c r="Q37" i="5"/>
  <c r="U37" i="5"/>
  <c r="H38" i="5"/>
  <c r="L38" i="5"/>
  <c r="P38" i="5"/>
  <c r="T38" i="5"/>
  <c r="X38" i="5"/>
  <c r="J42" i="5"/>
  <c r="M43" i="5"/>
  <c r="J29" i="5"/>
  <c r="N29" i="5"/>
  <c r="R29" i="5"/>
  <c r="V29" i="5"/>
  <c r="J33" i="5"/>
  <c r="N33" i="5"/>
  <c r="R33" i="5"/>
  <c r="V33" i="5"/>
  <c r="J37" i="5"/>
  <c r="N37" i="5"/>
  <c r="R37" i="5"/>
  <c r="V37" i="5"/>
  <c r="X43" i="5"/>
  <c r="T43" i="5"/>
  <c r="P43" i="5"/>
  <c r="L43" i="5"/>
  <c r="H43" i="5"/>
  <c r="W43" i="5"/>
  <c r="S43" i="5"/>
  <c r="O43" i="5"/>
  <c r="K43" i="5"/>
  <c r="G43" i="5"/>
  <c r="N43" i="5"/>
  <c r="V43" i="5"/>
  <c r="J26" i="5"/>
  <c r="N26" i="5"/>
  <c r="R26" i="5"/>
  <c r="G29" i="5"/>
  <c r="K29" i="5"/>
  <c r="O29" i="5"/>
  <c r="S29" i="5"/>
  <c r="J30" i="5"/>
  <c r="N30" i="5"/>
  <c r="R30" i="5"/>
  <c r="G33" i="5"/>
  <c r="K33" i="5"/>
  <c r="O33" i="5"/>
  <c r="S33" i="5"/>
  <c r="J34" i="5"/>
  <c r="N34" i="5"/>
  <c r="R34" i="5"/>
  <c r="G37" i="5"/>
  <c r="K37" i="5"/>
  <c r="O37" i="5"/>
  <c r="S37" i="5"/>
  <c r="J38" i="5"/>
  <c r="N38" i="5"/>
  <c r="R38" i="5"/>
  <c r="U42" i="5"/>
  <c r="Q42" i="5"/>
  <c r="M42" i="5"/>
  <c r="I42" i="5"/>
  <c r="X42" i="5"/>
  <c r="T42" i="5"/>
  <c r="P42" i="5"/>
  <c r="L42" i="5"/>
  <c r="H42" i="5"/>
  <c r="N42" i="5"/>
  <c r="V42" i="5"/>
  <c r="I43" i="5"/>
  <c r="Q43" i="5"/>
  <c r="J40" i="5"/>
  <c r="N40" i="5"/>
  <c r="R40" i="5"/>
  <c r="I41" i="5"/>
  <c r="M41" i="5"/>
  <c r="Q41" i="5"/>
  <c r="U41" i="5"/>
  <c r="J44" i="5"/>
  <c r="N44" i="5"/>
  <c r="R44" i="5"/>
  <c r="M45" i="5"/>
  <c r="Q45" i="5"/>
  <c r="U45" i="5"/>
  <c r="J41" i="5"/>
  <c r="N41" i="5"/>
  <c r="R41" i="5"/>
  <c r="N45" i="5"/>
  <c r="R45" i="5"/>
  <c r="K10" i="4"/>
  <c r="N7" i="4"/>
  <c r="I8" i="4"/>
  <c r="V11" i="4"/>
  <c r="R11" i="4"/>
  <c r="N11" i="4"/>
  <c r="J11" i="4"/>
  <c r="P11" i="4"/>
  <c r="W14" i="4"/>
  <c r="S14" i="4"/>
  <c r="O14" i="4"/>
  <c r="K14" i="4"/>
  <c r="G14" i="4"/>
  <c r="L14" i="4"/>
  <c r="V14" i="4"/>
  <c r="X17" i="4"/>
  <c r="T17" i="4"/>
  <c r="P17" i="4"/>
  <c r="L17" i="4"/>
  <c r="H17" i="4"/>
  <c r="Q17" i="4"/>
  <c r="L18" i="4"/>
  <c r="V18" i="4"/>
  <c r="H6" i="4"/>
  <c r="L6" i="4"/>
  <c r="P6" i="4"/>
  <c r="T6" i="4"/>
  <c r="X6" i="4"/>
  <c r="G7" i="4"/>
  <c r="K7" i="4"/>
  <c r="O7" i="4"/>
  <c r="S7" i="4"/>
  <c r="W7" i="4"/>
  <c r="J8" i="4"/>
  <c r="N8" i="4"/>
  <c r="R8" i="4"/>
  <c r="I9" i="4"/>
  <c r="M9" i="4"/>
  <c r="Q9" i="4"/>
  <c r="U9" i="4"/>
  <c r="H10" i="4"/>
  <c r="L10" i="4"/>
  <c r="P10" i="4"/>
  <c r="T10" i="4"/>
  <c r="X10" i="4"/>
  <c r="G11" i="4"/>
  <c r="L11" i="4"/>
  <c r="Q11" i="4"/>
  <c r="W11" i="4"/>
  <c r="G12" i="4"/>
  <c r="L12" i="4"/>
  <c r="R12" i="4"/>
  <c r="G13" i="4"/>
  <c r="M13" i="4"/>
  <c r="R13" i="4"/>
  <c r="W13" i="4"/>
  <c r="H14" i="4"/>
  <c r="M14" i="4"/>
  <c r="R14" i="4"/>
  <c r="X14" i="4"/>
  <c r="G16" i="4"/>
  <c r="L16" i="4"/>
  <c r="R16" i="4"/>
  <c r="W16" i="4"/>
  <c r="G17" i="4"/>
  <c r="M17" i="4"/>
  <c r="W17" i="4"/>
  <c r="H18" i="4"/>
  <c r="M18" i="4"/>
  <c r="R18" i="4"/>
  <c r="J21" i="4"/>
  <c r="M22" i="4"/>
  <c r="U30" i="4"/>
  <c r="Q30" i="4"/>
  <c r="M30" i="4"/>
  <c r="I30" i="4"/>
  <c r="X30" i="4"/>
  <c r="T30" i="4"/>
  <c r="P30" i="4"/>
  <c r="L30" i="4"/>
  <c r="H30" i="4"/>
  <c r="W30" i="4"/>
  <c r="S30" i="4"/>
  <c r="O30" i="4"/>
  <c r="K30" i="4"/>
  <c r="G30" i="4"/>
  <c r="V30" i="4"/>
  <c r="J7" i="4"/>
  <c r="R7" i="4"/>
  <c r="V7" i="4"/>
  <c r="U12" i="4"/>
  <c r="Q12" i="4"/>
  <c r="M12" i="4"/>
  <c r="I12" i="4"/>
  <c r="K12" i="4"/>
  <c r="P12" i="4"/>
  <c r="V12" i="4"/>
  <c r="K13" i="4"/>
  <c r="V13" i="4"/>
  <c r="W18" i="4"/>
  <c r="O18" i="4"/>
  <c r="K18" i="4"/>
  <c r="G18" i="4"/>
  <c r="Q18" i="4"/>
  <c r="U34" i="4"/>
  <c r="Q34" i="4"/>
  <c r="M34" i="4"/>
  <c r="I34" i="4"/>
  <c r="X34" i="4"/>
  <c r="T34" i="4"/>
  <c r="P34" i="4"/>
  <c r="L34" i="4"/>
  <c r="H34" i="4"/>
  <c r="W34" i="4"/>
  <c r="S34" i="4"/>
  <c r="O34" i="4"/>
  <c r="K34" i="4"/>
  <c r="G34" i="4"/>
  <c r="V34" i="4"/>
  <c r="I6" i="4"/>
  <c r="M6" i="4"/>
  <c r="Q6" i="4"/>
  <c r="U6" i="4"/>
  <c r="H7" i="4"/>
  <c r="L7" i="4"/>
  <c r="P7" i="4"/>
  <c r="T7" i="4"/>
  <c r="X7" i="4"/>
  <c r="J9" i="4"/>
  <c r="N9" i="4"/>
  <c r="R9" i="4"/>
  <c r="V9" i="4"/>
  <c r="I10" i="4"/>
  <c r="M10" i="4"/>
  <c r="Q10" i="4"/>
  <c r="U10" i="4"/>
  <c r="H11" i="4"/>
  <c r="M11" i="4"/>
  <c r="S11" i="4"/>
  <c r="X11" i="4"/>
  <c r="H12" i="4"/>
  <c r="N12" i="4"/>
  <c r="S12" i="4"/>
  <c r="X12" i="4"/>
  <c r="I13" i="4"/>
  <c r="N13" i="4"/>
  <c r="I14" i="4"/>
  <c r="N14" i="4"/>
  <c r="T14" i="4"/>
  <c r="H16" i="4"/>
  <c r="N16" i="4"/>
  <c r="S16" i="4"/>
  <c r="I17" i="4"/>
  <c r="N17" i="4"/>
  <c r="S17" i="4"/>
  <c r="I18" i="4"/>
  <c r="N18" i="4"/>
  <c r="T18" i="4"/>
  <c r="X22" i="4"/>
  <c r="T22" i="4"/>
  <c r="P22" i="4"/>
  <c r="L22" i="4"/>
  <c r="H22" i="4"/>
  <c r="S22" i="4"/>
  <c r="O22" i="4"/>
  <c r="K22" i="4"/>
  <c r="G22" i="4"/>
  <c r="N22" i="4"/>
  <c r="V22" i="4"/>
  <c r="U26" i="4"/>
  <c r="Q26" i="4"/>
  <c r="M26" i="4"/>
  <c r="I26" i="4"/>
  <c r="X26" i="4"/>
  <c r="T26" i="4"/>
  <c r="P26" i="4"/>
  <c r="L26" i="4"/>
  <c r="H26" i="4"/>
  <c r="W26" i="4"/>
  <c r="S26" i="4"/>
  <c r="O26" i="4"/>
  <c r="K26" i="4"/>
  <c r="G26" i="4"/>
  <c r="V26" i="4"/>
  <c r="N34" i="4"/>
  <c r="K11" i="4"/>
  <c r="U11" i="4"/>
  <c r="X13" i="4"/>
  <c r="T13" i="4"/>
  <c r="P13" i="4"/>
  <c r="L13" i="4"/>
  <c r="H13" i="4"/>
  <c r="Q13" i="4"/>
  <c r="Q14" i="4"/>
  <c r="U16" i="4"/>
  <c r="M16" i="4"/>
  <c r="I16" i="4"/>
  <c r="K16" i="4"/>
  <c r="P16" i="4"/>
  <c r="V16" i="4"/>
  <c r="K17" i="4"/>
  <c r="V17" i="4"/>
  <c r="J6" i="4"/>
  <c r="N6" i="4"/>
  <c r="R6" i="4"/>
  <c r="I7" i="4"/>
  <c r="M7" i="4"/>
  <c r="Q7" i="4"/>
  <c r="G9" i="4"/>
  <c r="K9" i="4"/>
  <c r="O9" i="4"/>
  <c r="S9" i="4"/>
  <c r="J10" i="4"/>
  <c r="N10" i="4"/>
  <c r="R10" i="4"/>
  <c r="I11" i="4"/>
  <c r="O11" i="4"/>
  <c r="T11" i="4"/>
  <c r="J12" i="4"/>
  <c r="O12" i="4"/>
  <c r="T12" i="4"/>
  <c r="J13" i="4"/>
  <c r="O13" i="4"/>
  <c r="U13" i="4"/>
  <c r="J14" i="4"/>
  <c r="P14" i="4"/>
  <c r="U14" i="4"/>
  <c r="J16" i="4"/>
  <c r="O16" i="4"/>
  <c r="T16" i="4"/>
  <c r="J17" i="4"/>
  <c r="O17" i="4"/>
  <c r="U17" i="4"/>
  <c r="J18" i="4"/>
  <c r="P18" i="4"/>
  <c r="U18" i="4"/>
  <c r="U21" i="4"/>
  <c r="Q21" i="4"/>
  <c r="M21" i="4"/>
  <c r="I21" i="4"/>
  <c r="X21" i="4"/>
  <c r="T21" i="4"/>
  <c r="P21" i="4"/>
  <c r="L21" i="4"/>
  <c r="H21" i="4"/>
  <c r="N21" i="4"/>
  <c r="I22" i="4"/>
  <c r="Q22" i="4"/>
  <c r="J26" i="4"/>
  <c r="R34" i="4"/>
  <c r="U38" i="4"/>
  <c r="Q38" i="4"/>
  <c r="M38" i="4"/>
  <c r="I38" i="4"/>
  <c r="X38" i="4"/>
  <c r="T38" i="4"/>
  <c r="P38" i="4"/>
  <c r="L38" i="4"/>
  <c r="H38" i="4"/>
  <c r="W38" i="4"/>
  <c r="S38" i="4"/>
  <c r="O38" i="4"/>
  <c r="K38" i="4"/>
  <c r="G38" i="4"/>
  <c r="V38" i="4"/>
  <c r="J15" i="4"/>
  <c r="N15" i="4"/>
  <c r="R15" i="4"/>
  <c r="J19" i="4"/>
  <c r="N19" i="4"/>
  <c r="R19" i="4"/>
  <c r="I20" i="4"/>
  <c r="M20" i="4"/>
  <c r="Q20" i="4"/>
  <c r="J23" i="4"/>
  <c r="N23" i="4"/>
  <c r="R23" i="4"/>
  <c r="I24" i="4"/>
  <c r="M24" i="4"/>
  <c r="Q24" i="4"/>
  <c r="U24" i="4"/>
  <c r="H25" i="4"/>
  <c r="L25" i="4"/>
  <c r="P25" i="4"/>
  <c r="T25" i="4"/>
  <c r="X25" i="4"/>
  <c r="J27" i="4"/>
  <c r="N27" i="4"/>
  <c r="R27" i="4"/>
  <c r="I28" i="4"/>
  <c r="M28" i="4"/>
  <c r="Q28" i="4"/>
  <c r="U28" i="4"/>
  <c r="H29" i="4"/>
  <c r="L29" i="4"/>
  <c r="P29" i="4"/>
  <c r="T29" i="4"/>
  <c r="X29" i="4"/>
  <c r="J31" i="4"/>
  <c r="N31" i="4"/>
  <c r="R31" i="4"/>
  <c r="I32" i="4"/>
  <c r="M32" i="4"/>
  <c r="Q32" i="4"/>
  <c r="U32" i="4"/>
  <c r="H33" i="4"/>
  <c r="L33" i="4"/>
  <c r="P33" i="4"/>
  <c r="T33" i="4"/>
  <c r="X33" i="4"/>
  <c r="J35" i="4"/>
  <c r="N35" i="4"/>
  <c r="R35" i="4"/>
  <c r="I36" i="4"/>
  <c r="M36" i="4"/>
  <c r="Q36" i="4"/>
  <c r="U36" i="4"/>
  <c r="H37" i="4"/>
  <c r="L37" i="4"/>
  <c r="P37" i="4"/>
  <c r="T37" i="4"/>
  <c r="X37" i="4"/>
  <c r="J39" i="4"/>
  <c r="N39" i="4"/>
  <c r="R39" i="4"/>
  <c r="V39" i="4"/>
  <c r="J42" i="4"/>
  <c r="R42" i="4"/>
  <c r="M43" i="4"/>
  <c r="J20" i="4"/>
  <c r="N20" i="4"/>
  <c r="R20" i="4"/>
  <c r="J24" i="4"/>
  <c r="N24" i="4"/>
  <c r="R24" i="4"/>
  <c r="I25" i="4"/>
  <c r="M25" i="4"/>
  <c r="Q25" i="4"/>
  <c r="U25" i="4"/>
  <c r="J28" i="4"/>
  <c r="N28" i="4"/>
  <c r="R28" i="4"/>
  <c r="I29" i="4"/>
  <c r="M29" i="4"/>
  <c r="Q29" i="4"/>
  <c r="U29" i="4"/>
  <c r="J32" i="4"/>
  <c r="N32" i="4"/>
  <c r="R32" i="4"/>
  <c r="I33" i="4"/>
  <c r="M33" i="4"/>
  <c r="Q33" i="4"/>
  <c r="U33" i="4"/>
  <c r="J36" i="4"/>
  <c r="N36" i="4"/>
  <c r="R36" i="4"/>
  <c r="I37" i="4"/>
  <c r="M37" i="4"/>
  <c r="Q37" i="4"/>
  <c r="U37" i="4"/>
  <c r="K42" i="4"/>
  <c r="X43" i="4"/>
  <c r="T43" i="4"/>
  <c r="P43" i="4"/>
  <c r="L43" i="4"/>
  <c r="H43" i="4"/>
  <c r="W43" i="4"/>
  <c r="S43" i="4"/>
  <c r="O43" i="4"/>
  <c r="K43" i="4"/>
  <c r="G43" i="4"/>
  <c r="N43" i="4"/>
  <c r="V43" i="4"/>
  <c r="J25" i="4"/>
  <c r="N25" i="4"/>
  <c r="R25" i="4"/>
  <c r="J29" i="4"/>
  <c r="N29" i="4"/>
  <c r="R29" i="4"/>
  <c r="J33" i="4"/>
  <c r="N33" i="4"/>
  <c r="R33" i="4"/>
  <c r="J37" i="4"/>
  <c r="N37" i="4"/>
  <c r="R37" i="4"/>
  <c r="U42" i="4"/>
  <c r="Q42" i="4"/>
  <c r="M42" i="4"/>
  <c r="I42" i="4"/>
  <c r="X42" i="4"/>
  <c r="T42" i="4"/>
  <c r="P42" i="4"/>
  <c r="L42" i="4"/>
  <c r="H42" i="4"/>
  <c r="N42" i="4"/>
  <c r="V42" i="4"/>
  <c r="J40" i="4"/>
  <c r="N40" i="4"/>
  <c r="R40" i="4"/>
  <c r="V40" i="4"/>
  <c r="I41" i="4"/>
  <c r="M41" i="4"/>
  <c r="Q41" i="4"/>
  <c r="U41" i="4"/>
  <c r="J44" i="4"/>
  <c r="J41" i="4"/>
  <c r="N41" i="4"/>
  <c r="R41" i="4"/>
  <c r="I8" i="3"/>
  <c r="N17" i="3"/>
  <c r="I28" i="3"/>
  <c r="K28" i="3"/>
  <c r="G28" i="3"/>
  <c r="J6" i="3"/>
  <c r="N6" i="3"/>
  <c r="R6" i="3"/>
  <c r="V6" i="3"/>
  <c r="G9" i="3"/>
  <c r="K9" i="3"/>
  <c r="O9" i="3"/>
  <c r="S9" i="3"/>
  <c r="W9" i="3"/>
  <c r="J10" i="3"/>
  <c r="N10" i="3"/>
  <c r="R10" i="3"/>
  <c r="V10" i="3"/>
  <c r="G13" i="3"/>
  <c r="K13" i="3"/>
  <c r="O13" i="3"/>
  <c r="S13" i="3"/>
  <c r="W13" i="3"/>
  <c r="J14" i="3"/>
  <c r="N14" i="3"/>
  <c r="R14" i="3"/>
  <c r="V14" i="3"/>
  <c r="G17" i="3"/>
  <c r="K17" i="3"/>
  <c r="O17" i="3"/>
  <c r="S17" i="3"/>
  <c r="W17" i="3"/>
  <c r="U18" i="3"/>
  <c r="Q18" i="3"/>
  <c r="M18" i="3"/>
  <c r="I18" i="3"/>
  <c r="K18" i="3"/>
  <c r="P18" i="3"/>
  <c r="V18" i="3"/>
  <c r="X19" i="3"/>
  <c r="P19" i="3"/>
  <c r="L19" i="3"/>
  <c r="H19" i="3"/>
  <c r="K19" i="3"/>
  <c r="Q19" i="3"/>
  <c r="V19" i="3"/>
  <c r="W20" i="3"/>
  <c r="S20" i="3"/>
  <c r="O20" i="3"/>
  <c r="K20" i="3"/>
  <c r="G20" i="3"/>
  <c r="L20" i="3"/>
  <c r="Q20" i="3"/>
  <c r="V20" i="3"/>
  <c r="U22" i="3"/>
  <c r="Q22" i="3"/>
  <c r="M22" i="3"/>
  <c r="I22" i="3"/>
  <c r="K22" i="3"/>
  <c r="P22" i="3"/>
  <c r="V22" i="3"/>
  <c r="V23" i="3"/>
  <c r="T23" i="3"/>
  <c r="P23" i="3"/>
  <c r="L23" i="3"/>
  <c r="H23" i="3"/>
  <c r="K23" i="3"/>
  <c r="Q23" i="3"/>
  <c r="W23" i="3"/>
  <c r="J24" i="3"/>
  <c r="H28" i="3"/>
  <c r="J30" i="3"/>
  <c r="I32" i="3"/>
  <c r="K32" i="3"/>
  <c r="G32" i="3"/>
  <c r="N9" i="3"/>
  <c r="V9" i="3"/>
  <c r="J17" i="3"/>
  <c r="V17" i="3"/>
  <c r="I36" i="3"/>
  <c r="H36" i="3"/>
  <c r="K36" i="3"/>
  <c r="G36" i="3"/>
  <c r="G6" i="3"/>
  <c r="K6" i="3"/>
  <c r="O6" i="3"/>
  <c r="S6" i="3"/>
  <c r="W6" i="3"/>
  <c r="J7" i="3"/>
  <c r="N7" i="3"/>
  <c r="R7" i="3"/>
  <c r="V7" i="3"/>
  <c r="H9" i="3"/>
  <c r="L9" i="3"/>
  <c r="P9" i="3"/>
  <c r="T9" i="3"/>
  <c r="X9" i="3"/>
  <c r="G10" i="3"/>
  <c r="K10" i="3"/>
  <c r="O10" i="3"/>
  <c r="S10" i="3"/>
  <c r="W10" i="3"/>
  <c r="J11" i="3"/>
  <c r="N11" i="3"/>
  <c r="R11" i="3"/>
  <c r="V11" i="3"/>
  <c r="H13" i="3"/>
  <c r="L13" i="3"/>
  <c r="P13" i="3"/>
  <c r="T13" i="3"/>
  <c r="X13" i="3"/>
  <c r="G14" i="3"/>
  <c r="K14" i="3"/>
  <c r="S14" i="3"/>
  <c r="W14" i="3"/>
  <c r="J15" i="3"/>
  <c r="N15" i="3"/>
  <c r="R15" i="3"/>
  <c r="V15" i="3"/>
  <c r="H17" i="3"/>
  <c r="L17" i="3"/>
  <c r="P17" i="3"/>
  <c r="T17" i="3"/>
  <c r="X17" i="3"/>
  <c r="G18" i="3"/>
  <c r="L18" i="3"/>
  <c r="R18" i="3"/>
  <c r="W18" i="3"/>
  <c r="G19" i="3"/>
  <c r="M19" i="3"/>
  <c r="R19" i="3"/>
  <c r="W19" i="3"/>
  <c r="H20" i="3"/>
  <c r="M20" i="3"/>
  <c r="R20" i="3"/>
  <c r="X20" i="3"/>
  <c r="K26" i="3"/>
  <c r="G26" i="3"/>
  <c r="I26" i="3"/>
  <c r="J28" i="3"/>
  <c r="J9" i="3"/>
  <c r="R9" i="3"/>
  <c r="J13" i="3"/>
  <c r="R13" i="3"/>
  <c r="V13" i="3"/>
  <c r="H6" i="3"/>
  <c r="L6" i="3"/>
  <c r="P6" i="3"/>
  <c r="T6" i="3"/>
  <c r="G7" i="3"/>
  <c r="K7" i="3"/>
  <c r="O7" i="3"/>
  <c r="S7" i="3"/>
  <c r="J8" i="3"/>
  <c r="N8" i="3"/>
  <c r="R8" i="3"/>
  <c r="I9" i="3"/>
  <c r="M9" i="3"/>
  <c r="Q9" i="3"/>
  <c r="H10" i="3"/>
  <c r="L10" i="3"/>
  <c r="P10" i="3"/>
  <c r="T10" i="3"/>
  <c r="G11" i="3"/>
  <c r="K11" i="3"/>
  <c r="O11" i="3"/>
  <c r="S11" i="3"/>
  <c r="J12" i="3"/>
  <c r="N12" i="3"/>
  <c r="R12" i="3"/>
  <c r="I13" i="3"/>
  <c r="M13" i="3"/>
  <c r="Q13" i="3"/>
  <c r="H14" i="3"/>
  <c r="L14" i="3"/>
  <c r="P14" i="3"/>
  <c r="T14" i="3"/>
  <c r="G15" i="3"/>
  <c r="K15" i="3"/>
  <c r="O15" i="3"/>
  <c r="S15" i="3"/>
  <c r="J16" i="3"/>
  <c r="N16" i="3"/>
  <c r="R16" i="3"/>
  <c r="I17" i="3"/>
  <c r="M17" i="3"/>
  <c r="Q17" i="3"/>
  <c r="H18" i="3"/>
  <c r="N18" i="3"/>
  <c r="X18" i="3"/>
  <c r="I19" i="3"/>
  <c r="N19" i="3"/>
  <c r="S19" i="3"/>
  <c r="I20" i="3"/>
  <c r="N20" i="3"/>
  <c r="T20" i="3"/>
  <c r="H22" i="3"/>
  <c r="N22" i="3"/>
  <c r="S22" i="3"/>
  <c r="X22" i="3"/>
  <c r="I23" i="3"/>
  <c r="N23" i="3"/>
  <c r="S23" i="3"/>
  <c r="U24" i="3"/>
  <c r="Q24" i="3"/>
  <c r="M24" i="3"/>
  <c r="I24" i="3"/>
  <c r="W24" i="3"/>
  <c r="S24" i="3"/>
  <c r="O24" i="3"/>
  <c r="K24" i="3"/>
  <c r="G24" i="3"/>
  <c r="N24" i="3"/>
  <c r="V24" i="3"/>
  <c r="H26" i="3"/>
  <c r="K30" i="3"/>
  <c r="G30" i="3"/>
  <c r="I30" i="3"/>
  <c r="J32" i="3"/>
  <c r="J21" i="3"/>
  <c r="N21" i="3"/>
  <c r="R21" i="3"/>
  <c r="J25" i="3"/>
  <c r="N25" i="3"/>
  <c r="R25" i="3"/>
  <c r="H27" i="3"/>
  <c r="J29" i="3"/>
  <c r="H31" i="3"/>
  <c r="J33" i="3"/>
  <c r="I34" i="3"/>
  <c r="H35" i="3"/>
  <c r="J37" i="3"/>
  <c r="I38" i="3"/>
  <c r="H39" i="3"/>
  <c r="H41" i="3"/>
  <c r="I42" i="3"/>
  <c r="J34" i="3"/>
  <c r="J38" i="3"/>
  <c r="H43" i="3"/>
  <c r="K43" i="3"/>
  <c r="G43" i="3"/>
  <c r="J27" i="3"/>
  <c r="J31" i="3"/>
  <c r="G34" i="3"/>
  <c r="K34" i="3"/>
  <c r="J35" i="3"/>
  <c r="G38" i="3"/>
  <c r="K38" i="3"/>
  <c r="J39" i="3"/>
  <c r="I41" i="3"/>
  <c r="K41" i="3"/>
  <c r="H42" i="3"/>
  <c r="K42" i="3"/>
  <c r="I43" i="3"/>
  <c r="J40" i="3"/>
  <c r="J44" i="3"/>
  <c r="V23" i="1"/>
  <c r="W19" i="1"/>
  <c r="V18" i="1"/>
  <c r="W16" i="1"/>
  <c r="W11" i="1"/>
  <c r="W7" i="1"/>
  <c r="X10" i="1"/>
  <c r="J26" i="1"/>
  <c r="T30" i="1"/>
  <c r="X6" i="1"/>
  <c r="K34" i="1"/>
  <c r="J25" i="1"/>
  <c r="K29" i="1"/>
  <c r="T33" i="1"/>
  <c r="U17" i="1"/>
  <c r="V25" i="1"/>
  <c r="J33" i="1"/>
  <c r="K41" i="1"/>
  <c r="K13" i="1"/>
  <c r="T17" i="1"/>
  <c r="J17" i="1"/>
  <c r="K37" i="1"/>
  <c r="U33" i="1"/>
  <c r="U13" i="1"/>
  <c r="V33" i="1"/>
  <c r="V13" i="1"/>
  <c r="W33" i="1"/>
  <c r="W25" i="1"/>
  <c r="J41" i="1"/>
  <c r="J29" i="1"/>
  <c r="J13" i="1"/>
  <c r="K25" i="1"/>
  <c r="T37" i="1"/>
  <c r="T29" i="1"/>
  <c r="U29" i="1"/>
  <c r="W29" i="1"/>
  <c r="J37" i="1"/>
  <c r="K17" i="1"/>
  <c r="T25" i="1"/>
  <c r="U37" i="1"/>
  <c r="U28" i="1"/>
  <c r="U27" i="1"/>
  <c r="J27" i="1"/>
  <c r="T31" i="1"/>
  <c r="U39" i="1"/>
  <c r="U31" i="1"/>
  <c r="V27" i="1"/>
  <c r="U23" i="1"/>
  <c r="V31" i="1"/>
  <c r="W39" i="1"/>
  <c r="W23" i="1"/>
  <c r="U32" i="1"/>
  <c r="U36" i="1"/>
  <c r="U40" i="1"/>
  <c r="U24" i="1"/>
  <c r="J38" i="1"/>
  <c r="T34" i="1"/>
  <c r="J30" i="1"/>
  <c r="T26" i="1"/>
  <c r="W38" i="1"/>
  <c r="K38" i="1"/>
  <c r="K30" i="1"/>
  <c r="J42" i="1"/>
  <c r="U38" i="1"/>
  <c r="U34" i="1"/>
  <c r="U30" i="1"/>
  <c r="U26" i="1"/>
  <c r="J35" i="1"/>
  <c r="K44" i="1"/>
  <c r="K40" i="1"/>
  <c r="K36" i="1"/>
  <c r="K32" i="1"/>
  <c r="K28" i="1"/>
  <c r="K24" i="1"/>
  <c r="T39" i="1"/>
  <c r="T23" i="1"/>
  <c r="V35" i="1"/>
  <c r="W31" i="1"/>
  <c r="J39" i="1"/>
  <c r="J34" i="1"/>
  <c r="J23" i="1"/>
  <c r="K43" i="1"/>
  <c r="K39" i="1"/>
  <c r="K35" i="1"/>
  <c r="K27" i="1"/>
  <c r="K23" i="1"/>
  <c r="J45" i="1"/>
  <c r="K45" i="1"/>
  <c r="K22" i="1"/>
  <c r="T22" i="1"/>
  <c r="W22" i="1"/>
  <c r="J22" i="1"/>
  <c r="U22" i="1"/>
  <c r="U21" i="1"/>
  <c r="J21" i="1"/>
  <c r="V21" i="1"/>
  <c r="W21" i="1"/>
  <c r="K21" i="1"/>
  <c r="K20" i="1"/>
  <c r="U20" i="1"/>
  <c r="T19" i="1"/>
  <c r="V19" i="1"/>
  <c r="J19" i="1"/>
  <c r="U19" i="1"/>
  <c r="K19" i="1"/>
  <c r="U18" i="1"/>
  <c r="K18" i="1"/>
  <c r="T18" i="1"/>
  <c r="J18" i="1"/>
  <c r="W18" i="1"/>
  <c r="W17" i="1"/>
  <c r="U16" i="1"/>
  <c r="K16" i="1"/>
  <c r="T15" i="1"/>
  <c r="J15" i="1"/>
  <c r="K15" i="1"/>
  <c r="U15" i="1"/>
  <c r="V15" i="1"/>
  <c r="U14" i="1"/>
  <c r="V14" i="1"/>
  <c r="K14" i="1"/>
  <c r="W14" i="1"/>
  <c r="T14" i="1"/>
  <c r="W13" i="1"/>
  <c r="T11" i="1"/>
  <c r="V11" i="1"/>
  <c r="J11" i="1"/>
  <c r="K11" i="1"/>
  <c r="U11" i="1"/>
  <c r="T10" i="1"/>
  <c r="V10" i="1"/>
  <c r="K9" i="1"/>
  <c r="U9" i="1"/>
  <c r="V9" i="1"/>
  <c r="J9" i="1"/>
  <c r="T9" i="1"/>
  <c r="V8" i="1"/>
  <c r="J8" i="1"/>
  <c r="K8" i="1"/>
  <c r="T8" i="1"/>
  <c r="U8" i="1"/>
  <c r="T7" i="1"/>
  <c r="K7" i="1"/>
  <c r="U7" i="1"/>
  <c r="J7" i="1"/>
  <c r="V7" i="1"/>
  <c r="V40" i="1"/>
  <c r="V36" i="1"/>
  <c r="V32" i="1"/>
  <c r="V28" i="1"/>
  <c r="V24" i="1"/>
  <c r="V20" i="1"/>
  <c r="V16" i="1"/>
  <c r="T40" i="1"/>
  <c r="T36" i="1"/>
  <c r="T32" i="1"/>
  <c r="T28" i="1"/>
  <c r="T24" i="1"/>
  <c r="T20" i="1"/>
  <c r="T16" i="1"/>
  <c r="J44" i="1"/>
  <c r="J40" i="1"/>
  <c r="J36" i="1"/>
  <c r="J32" i="1"/>
  <c r="J28" i="1"/>
  <c r="J24" i="1"/>
  <c r="J20" i="1"/>
  <c r="J16" i="1"/>
  <c r="K10" i="1"/>
  <c r="U10" i="1"/>
  <c r="W10" i="1"/>
  <c r="U6" i="1"/>
  <c r="T6" i="1"/>
  <c r="V6" i="1"/>
  <c r="M96" i="5" l="1"/>
  <c r="M96" i="12"/>
  <c r="J31" i="14" s="1"/>
  <c r="G96" i="12"/>
  <c r="J23" i="14" s="1"/>
  <c r="H96" i="12"/>
  <c r="J24" i="14" s="1"/>
  <c r="K96" i="12"/>
  <c r="J27" i="14" s="1"/>
  <c r="I96" i="12"/>
  <c r="J25" i="14" s="1"/>
  <c r="L96" i="12"/>
  <c r="J30" i="14" s="1"/>
  <c r="G96" i="11"/>
  <c r="I23" i="14" s="1"/>
  <c r="K96" i="11"/>
  <c r="I27" i="14" s="1"/>
  <c r="H96" i="11"/>
  <c r="I24" i="14" s="1"/>
  <c r="I96" i="10"/>
  <c r="H25" i="14" s="1"/>
  <c r="G96" i="10"/>
  <c r="H23" i="14" s="1"/>
  <c r="H96" i="9"/>
  <c r="G24" i="14" s="1"/>
  <c r="O96" i="9"/>
  <c r="G33" i="14" s="1"/>
  <c r="K96" i="9"/>
  <c r="G27" i="14" s="1"/>
  <c r="L96" i="9"/>
  <c r="G30" i="14" s="1"/>
  <c r="G96" i="9"/>
  <c r="G23" i="14" s="1"/>
  <c r="G96" i="8"/>
  <c r="F23" i="14" s="1"/>
  <c r="I96" i="8"/>
  <c r="F25" i="14" s="1"/>
  <c r="H96" i="7"/>
  <c r="E24" i="14" s="1"/>
  <c r="G96" i="7"/>
  <c r="E23" i="14" s="1"/>
  <c r="I96" i="6"/>
  <c r="D25" i="14" s="1"/>
  <c r="M96" i="6"/>
  <c r="D31" i="14" s="1"/>
  <c r="L96" i="6"/>
  <c r="D30" i="14" s="1"/>
  <c r="H96" i="6"/>
  <c r="D24" i="14" s="1"/>
  <c r="G96" i="5"/>
  <c r="C23" i="14" s="1"/>
  <c r="H96" i="5"/>
  <c r="C24" i="14" s="1"/>
  <c r="K96" i="5"/>
  <c r="C27" i="14" s="1"/>
  <c r="G96" i="4"/>
  <c r="N23" i="14" s="1"/>
  <c r="K96" i="4"/>
  <c r="N27" i="14" s="1"/>
  <c r="O96" i="4"/>
  <c r="N33" i="14" s="1"/>
  <c r="I96" i="3"/>
  <c r="X96" i="1"/>
  <c r="L42" i="14" s="1"/>
  <c r="P96" i="13"/>
  <c r="K34" i="14" s="1"/>
  <c r="L96" i="13"/>
  <c r="K30" i="14" s="1"/>
  <c r="O96" i="13"/>
  <c r="K33" i="14" s="1"/>
  <c r="R17" i="13"/>
  <c r="R96" i="13" s="1"/>
  <c r="K36" i="14" s="1"/>
  <c r="Q96" i="13"/>
  <c r="K35" i="14" s="1"/>
  <c r="H96" i="13"/>
  <c r="K24" i="14" s="1"/>
  <c r="K96" i="13"/>
  <c r="K27" i="14" s="1"/>
  <c r="I96" i="13"/>
  <c r="K25" i="14" s="1"/>
  <c r="M96" i="13"/>
  <c r="K31" i="14" s="1"/>
  <c r="J96" i="13"/>
  <c r="K26" i="14" s="1"/>
  <c r="G96" i="13"/>
  <c r="K23" i="14" s="1"/>
  <c r="N96" i="13"/>
  <c r="K32" i="14" s="1"/>
  <c r="N96" i="12"/>
  <c r="J32" i="14" s="1"/>
  <c r="O14" i="12"/>
  <c r="O96" i="12" s="1"/>
  <c r="J33" i="14" s="1"/>
  <c r="J96" i="12"/>
  <c r="J26" i="14" s="1"/>
  <c r="I96" i="11"/>
  <c r="I25" i="14" s="1"/>
  <c r="Q16" i="11"/>
  <c r="Q96" i="11" s="1"/>
  <c r="I35" i="14" s="1"/>
  <c r="M12" i="11"/>
  <c r="M96" i="11" s="1"/>
  <c r="I31" i="14" s="1"/>
  <c r="O14" i="11"/>
  <c r="O96" i="11" s="1"/>
  <c r="I33" i="14" s="1"/>
  <c r="N96" i="11"/>
  <c r="I32" i="14" s="1"/>
  <c r="P15" i="11"/>
  <c r="P96" i="11" s="1"/>
  <c r="I34" i="14" s="1"/>
  <c r="J96" i="11"/>
  <c r="I26" i="14" s="1"/>
  <c r="L11" i="11"/>
  <c r="L96" i="11" s="1"/>
  <c r="I30" i="14" s="1"/>
  <c r="K10" i="10"/>
  <c r="K96" i="10" s="1"/>
  <c r="H27" i="14" s="1"/>
  <c r="H96" i="10"/>
  <c r="H24" i="14" s="1"/>
  <c r="J96" i="10"/>
  <c r="H26" i="14" s="1"/>
  <c r="N96" i="9"/>
  <c r="G32" i="14" s="1"/>
  <c r="J96" i="9"/>
  <c r="G26" i="14" s="1"/>
  <c r="M96" i="9"/>
  <c r="G31" i="14" s="1"/>
  <c r="P15" i="9"/>
  <c r="P96" i="9" s="1"/>
  <c r="G34" i="14" s="1"/>
  <c r="I96" i="9"/>
  <c r="G25" i="14" s="1"/>
  <c r="J96" i="8"/>
  <c r="F26" i="14" s="1"/>
  <c r="K10" i="8"/>
  <c r="H96" i="8"/>
  <c r="F24" i="14" s="1"/>
  <c r="K10" i="7"/>
  <c r="K96" i="7" s="1"/>
  <c r="E27" i="14" s="1"/>
  <c r="I96" i="7"/>
  <c r="E25" i="14" s="1"/>
  <c r="J9" i="7"/>
  <c r="J96" i="7" s="1"/>
  <c r="E26" i="14" s="1"/>
  <c r="O96" i="6"/>
  <c r="D33" i="14" s="1"/>
  <c r="K96" i="6"/>
  <c r="D27" i="14" s="1"/>
  <c r="N96" i="6"/>
  <c r="D32" i="14" s="1"/>
  <c r="G96" i="6"/>
  <c r="D23" i="14" s="1"/>
  <c r="J96" i="6"/>
  <c r="D26" i="14" s="1"/>
  <c r="P15" i="6"/>
  <c r="P96" i="6" s="1"/>
  <c r="D34" i="14" s="1"/>
  <c r="O14" i="5"/>
  <c r="O96" i="5" s="1"/>
  <c r="L11" i="5"/>
  <c r="C31" i="14"/>
  <c r="J96" i="5"/>
  <c r="C26" i="14" s="1"/>
  <c r="N13" i="5"/>
  <c r="N96" i="5" s="1"/>
  <c r="I96" i="5"/>
  <c r="C25" i="14" s="1"/>
  <c r="N96" i="4"/>
  <c r="N32" i="14" s="1"/>
  <c r="J96" i="4"/>
  <c r="N26" i="14" s="1"/>
  <c r="P15" i="4"/>
  <c r="P96" i="4" s="1"/>
  <c r="N34" i="14" s="1"/>
  <c r="M96" i="4"/>
  <c r="N31" i="14" s="1"/>
  <c r="L96" i="4"/>
  <c r="N30" i="14" s="1"/>
  <c r="I96" i="4"/>
  <c r="N25" i="14" s="1"/>
  <c r="H96" i="4"/>
  <c r="N24" i="14" s="1"/>
  <c r="K96" i="3"/>
  <c r="L11" i="3"/>
  <c r="L96" i="3" s="1"/>
  <c r="M30" i="14" s="1"/>
  <c r="H96" i="3"/>
  <c r="G96" i="3"/>
  <c r="J96" i="3"/>
  <c r="D1" i="1"/>
  <c r="A37" i="14"/>
  <c r="A36" i="14"/>
  <c r="A35" i="14"/>
  <c r="A34" i="14"/>
  <c r="A33" i="14"/>
  <c r="A32" i="14"/>
  <c r="A31" i="14"/>
  <c r="A30" i="14"/>
  <c r="A25" i="14"/>
  <c r="A24" i="14"/>
  <c r="A23" i="14"/>
  <c r="H30" i="1"/>
  <c r="I31" i="1"/>
  <c r="H32" i="1"/>
  <c r="L33" i="1"/>
  <c r="M34" i="1"/>
  <c r="I35" i="1"/>
  <c r="H36" i="1"/>
  <c r="L37" i="1"/>
  <c r="M38" i="1"/>
  <c r="I39" i="1"/>
  <c r="C32" i="14" l="1"/>
  <c r="C33" i="14"/>
  <c r="L96" i="5"/>
  <c r="C30" i="14" s="1"/>
  <c r="S18" i="13"/>
  <c r="S96" i="13" s="1"/>
  <c r="K37" i="14" s="1"/>
  <c r="P15" i="12"/>
  <c r="P96" i="12" s="1"/>
  <c r="J34" i="14" s="1"/>
  <c r="R17" i="11"/>
  <c r="R96" i="11" s="1"/>
  <c r="I36" i="14" s="1"/>
  <c r="L11" i="10"/>
  <c r="L96" i="10" s="1"/>
  <c r="H30" i="14" s="1"/>
  <c r="Q16" i="9"/>
  <c r="Q96" i="9" s="1"/>
  <c r="G35" i="14" s="1"/>
  <c r="K96" i="8"/>
  <c r="F27" i="14" s="1"/>
  <c r="L11" i="8"/>
  <c r="L96" i="8" s="1"/>
  <c r="F30" i="14" s="1"/>
  <c r="L11" i="7"/>
  <c r="L96" i="7" s="1"/>
  <c r="E30" i="14" s="1"/>
  <c r="Q16" i="6"/>
  <c r="Q96" i="6" s="1"/>
  <c r="D35" i="14" s="1"/>
  <c r="P15" i="5"/>
  <c r="Q16" i="4"/>
  <c r="Q96" i="4" s="1"/>
  <c r="N35" i="14" s="1"/>
  <c r="M12" i="3"/>
  <c r="M96" i="3" s="1"/>
  <c r="M31" i="14" s="1"/>
  <c r="L6" i="1"/>
  <c r="K6" i="1"/>
  <c r="J6" i="1"/>
  <c r="O37" i="1"/>
  <c r="O33" i="1"/>
  <c r="N35" i="1"/>
  <c r="N39" i="1"/>
  <c r="N31" i="1"/>
  <c r="G36" i="1"/>
  <c r="G33" i="1"/>
  <c r="H39" i="1"/>
  <c r="N37" i="1"/>
  <c r="Q36" i="1"/>
  <c r="L36" i="1"/>
  <c r="H35" i="1"/>
  <c r="N33" i="1"/>
  <c r="Q32" i="1"/>
  <c r="L32" i="1"/>
  <c r="H31" i="1"/>
  <c r="S36" i="1"/>
  <c r="M36" i="1"/>
  <c r="G32" i="1"/>
  <c r="S37" i="1"/>
  <c r="I37" i="1"/>
  <c r="P36" i="1"/>
  <c r="I36" i="1"/>
  <c r="S33" i="1"/>
  <c r="I33" i="1"/>
  <c r="P32" i="1"/>
  <c r="I32" i="1"/>
  <c r="S32" i="1"/>
  <c r="M32" i="1"/>
  <c r="G37" i="1"/>
  <c r="R39" i="1"/>
  <c r="R37" i="1"/>
  <c r="H37" i="1"/>
  <c r="O36" i="1"/>
  <c r="R35" i="1"/>
  <c r="R33" i="1"/>
  <c r="H33" i="1"/>
  <c r="O32" i="1"/>
  <c r="R31" i="1"/>
  <c r="P38" i="1"/>
  <c r="L38" i="1"/>
  <c r="M39" i="1"/>
  <c r="O38" i="1"/>
  <c r="I38" i="1"/>
  <c r="Q37" i="1"/>
  <c r="M37" i="1"/>
  <c r="M35" i="1"/>
  <c r="S34" i="1"/>
  <c r="I34" i="1"/>
  <c r="Q33" i="1"/>
  <c r="Q31" i="1"/>
  <c r="M31" i="1"/>
  <c r="Q39" i="1"/>
  <c r="S38" i="1"/>
  <c r="Q35" i="1"/>
  <c r="O34" i="1"/>
  <c r="M33" i="1"/>
  <c r="G39" i="1"/>
  <c r="G35" i="1"/>
  <c r="G31" i="1"/>
  <c r="P39" i="1"/>
  <c r="L39" i="1"/>
  <c r="R38" i="1"/>
  <c r="N38" i="1"/>
  <c r="H38" i="1"/>
  <c r="P37" i="1"/>
  <c r="R36" i="1"/>
  <c r="N36" i="1"/>
  <c r="P35" i="1"/>
  <c r="L35" i="1"/>
  <c r="R34" i="1"/>
  <c r="N34" i="1"/>
  <c r="H34" i="1"/>
  <c r="P33" i="1"/>
  <c r="R32" i="1"/>
  <c r="N32" i="1"/>
  <c r="P31" i="1"/>
  <c r="L31" i="1"/>
  <c r="P34" i="1"/>
  <c r="L34" i="1"/>
  <c r="G38" i="1"/>
  <c r="G34" i="1"/>
  <c r="S39" i="1"/>
  <c r="O39" i="1"/>
  <c r="Q38" i="1"/>
  <c r="S35" i="1"/>
  <c r="O35" i="1"/>
  <c r="Q34" i="1"/>
  <c r="S31" i="1"/>
  <c r="O31" i="1"/>
  <c r="M30" i="1"/>
  <c r="P30" i="1"/>
  <c r="L30" i="1"/>
  <c r="S30" i="1"/>
  <c r="O30" i="1"/>
  <c r="I30" i="1"/>
  <c r="Q30" i="1"/>
  <c r="G30" i="1"/>
  <c r="R30" i="1"/>
  <c r="N30" i="1"/>
  <c r="P96" i="5" l="1"/>
  <c r="C34" i="14" s="1"/>
  <c r="T19" i="13"/>
  <c r="T96" i="13" s="1"/>
  <c r="K38" i="14" s="1"/>
  <c r="Q16" i="12"/>
  <c r="Q96" i="12" s="1"/>
  <c r="J35" i="14" s="1"/>
  <c r="S18" i="11"/>
  <c r="S96" i="11" s="1"/>
  <c r="I37" i="14" s="1"/>
  <c r="M12" i="10"/>
  <c r="M96" i="10" s="1"/>
  <c r="H31" i="14" s="1"/>
  <c r="R17" i="9"/>
  <c r="R96" i="9" s="1"/>
  <c r="G36" i="14" s="1"/>
  <c r="M12" i="8"/>
  <c r="M96" i="8" s="1"/>
  <c r="F31" i="14" s="1"/>
  <c r="M12" i="7"/>
  <c r="M96" i="7" s="1"/>
  <c r="E31" i="14" s="1"/>
  <c r="R17" i="6"/>
  <c r="R96" i="6" s="1"/>
  <c r="D36" i="14" s="1"/>
  <c r="Q16" i="5"/>
  <c r="R17" i="4"/>
  <c r="R96" i="4" s="1"/>
  <c r="N36" i="14" s="1"/>
  <c r="N13" i="3"/>
  <c r="N96" i="3" s="1"/>
  <c r="M32" i="14" s="1"/>
  <c r="M25" i="14"/>
  <c r="M24" i="14"/>
  <c r="M26" i="14"/>
  <c r="Q96" i="5" l="1"/>
  <c r="C35" i="14" s="1"/>
  <c r="U20" i="13"/>
  <c r="U96" i="13" s="1"/>
  <c r="K39" i="14" s="1"/>
  <c r="R17" i="12"/>
  <c r="R96" i="12" s="1"/>
  <c r="J36" i="14" s="1"/>
  <c r="T19" i="11"/>
  <c r="T96" i="11" s="1"/>
  <c r="I38" i="14" s="1"/>
  <c r="N13" i="10"/>
  <c r="N96" i="10" s="1"/>
  <c r="H32" i="14" s="1"/>
  <c r="S18" i="9"/>
  <c r="S96" i="9" s="1"/>
  <c r="G37" i="14" s="1"/>
  <c r="N13" i="8"/>
  <c r="N96" i="8" s="1"/>
  <c r="F32" i="14" s="1"/>
  <c r="N13" i="7"/>
  <c r="N96" i="7" s="1"/>
  <c r="E32" i="14" s="1"/>
  <c r="S18" i="6"/>
  <c r="S96" i="6" s="1"/>
  <c r="D37" i="14" s="1"/>
  <c r="R17" i="5"/>
  <c r="S18" i="4"/>
  <c r="S96" i="4" s="1"/>
  <c r="N37" i="14" s="1"/>
  <c r="O14" i="3"/>
  <c r="O96" i="3" s="1"/>
  <c r="M33" i="14" s="1"/>
  <c r="M27" i="14"/>
  <c r="B16" i="14"/>
  <c r="M16" i="14"/>
  <c r="C16" i="14"/>
  <c r="G16" i="14"/>
  <c r="L16" i="14"/>
  <c r="D16" i="14"/>
  <c r="I16" i="14"/>
  <c r="N16" i="14"/>
  <c r="F16" i="14"/>
  <c r="E16" i="14"/>
  <c r="H16" i="14"/>
  <c r="B15" i="14"/>
  <c r="E15" i="14"/>
  <c r="M15" i="14"/>
  <c r="C15" i="14"/>
  <c r="D15" i="14"/>
  <c r="I15" i="14"/>
  <c r="G15" i="14"/>
  <c r="N15" i="14"/>
  <c r="H15" i="14"/>
  <c r="F15" i="14"/>
  <c r="L15" i="14"/>
  <c r="B14" i="14"/>
  <c r="D14" i="14"/>
  <c r="H14" i="14"/>
  <c r="I14" i="14"/>
  <c r="L14" i="14"/>
  <c r="N14" i="14"/>
  <c r="F14" i="14"/>
  <c r="C14" i="14"/>
  <c r="G14" i="14"/>
  <c r="M14" i="14"/>
  <c r="E14" i="14"/>
  <c r="C13" i="14"/>
  <c r="G13" i="14"/>
  <c r="B13" i="14"/>
  <c r="L13" i="14"/>
  <c r="I13" i="14"/>
  <c r="M13" i="14"/>
  <c r="F13" i="14"/>
  <c r="E13" i="14"/>
  <c r="N13" i="14"/>
  <c r="H13" i="14"/>
  <c r="D13" i="14"/>
  <c r="C12" i="14"/>
  <c r="D12" i="14"/>
  <c r="N12" i="14"/>
  <c r="E12" i="14"/>
  <c r="B12" i="14"/>
  <c r="M12" i="14"/>
  <c r="G12" i="14"/>
  <c r="L12" i="14"/>
  <c r="H12" i="14"/>
  <c r="F12" i="14"/>
  <c r="I12" i="14"/>
  <c r="F11" i="14"/>
  <c r="L11" i="14"/>
  <c r="B11" i="14"/>
  <c r="C11" i="14"/>
  <c r="N11" i="14"/>
  <c r="I11" i="14"/>
  <c r="E11" i="14"/>
  <c r="G11" i="14"/>
  <c r="M11" i="14"/>
  <c r="D11" i="14"/>
  <c r="H11" i="14"/>
  <c r="N10" i="14"/>
  <c r="L10" i="14"/>
  <c r="M10" i="14"/>
  <c r="C10" i="14"/>
  <c r="D10" i="14"/>
  <c r="F10" i="14"/>
  <c r="B10" i="14"/>
  <c r="E10" i="14"/>
  <c r="L9" i="14"/>
  <c r="C9" i="14"/>
  <c r="I9" i="14"/>
  <c r="E9" i="14"/>
  <c r="B9" i="14"/>
  <c r="D9" i="14"/>
  <c r="H9" i="14"/>
  <c r="F9" i="14"/>
  <c r="G9" i="14"/>
  <c r="N9" i="14"/>
  <c r="M9" i="14"/>
  <c r="B8" i="14"/>
  <c r="C8" i="14"/>
  <c r="L8" i="14"/>
  <c r="N8" i="14"/>
  <c r="M8" i="14"/>
  <c r="F8" i="14"/>
  <c r="E8" i="14"/>
  <c r="D8" i="14"/>
  <c r="N7" i="14"/>
  <c r="L7" i="14"/>
  <c r="H7" i="14"/>
  <c r="I7" i="14"/>
  <c r="C7" i="14"/>
  <c r="E7" i="14"/>
  <c r="M7" i="14"/>
  <c r="F7" i="14"/>
  <c r="D7" i="14"/>
  <c r="G7" i="14"/>
  <c r="M23" i="14"/>
  <c r="B7" i="14"/>
  <c r="B6" i="14"/>
  <c r="F6" i="14"/>
  <c r="C6" i="14"/>
  <c r="E6" i="14"/>
  <c r="L6" i="14"/>
  <c r="M6" i="14"/>
  <c r="N6" i="14"/>
  <c r="D6" i="14"/>
  <c r="M28" i="14" l="1"/>
  <c r="R96" i="5"/>
  <c r="C36" i="14" s="1"/>
  <c r="G6" i="14"/>
  <c r="V21" i="13"/>
  <c r="V96" i="13" s="1"/>
  <c r="K40" i="14" s="1"/>
  <c r="S18" i="12"/>
  <c r="S96" i="12" s="1"/>
  <c r="J37" i="14" s="1"/>
  <c r="U20" i="11"/>
  <c r="U96" i="11" s="1"/>
  <c r="I39" i="14" s="1"/>
  <c r="O14" i="10"/>
  <c r="O96" i="10" s="1"/>
  <c r="H33" i="14" s="1"/>
  <c r="T19" i="9"/>
  <c r="T96" i="9" s="1"/>
  <c r="G38" i="14" s="1"/>
  <c r="O14" i="8"/>
  <c r="O96" i="8" s="1"/>
  <c r="F33" i="14" s="1"/>
  <c r="O14" i="7"/>
  <c r="O96" i="7" s="1"/>
  <c r="E33" i="14" s="1"/>
  <c r="T19" i="6"/>
  <c r="T96" i="6" s="1"/>
  <c r="D38" i="14" s="1"/>
  <c r="S18" i="5"/>
  <c r="T19" i="4"/>
  <c r="T96" i="4" s="1"/>
  <c r="N38" i="14" s="1"/>
  <c r="P15" i="3"/>
  <c r="P96" i="3" s="1"/>
  <c r="M34" i="14" s="1"/>
  <c r="G8" i="14"/>
  <c r="H28" i="14"/>
  <c r="G28" i="14"/>
  <c r="N28" i="14"/>
  <c r="E28" i="14"/>
  <c r="K28" i="14"/>
  <c r="J28" i="14"/>
  <c r="I28" i="14"/>
  <c r="F28" i="14"/>
  <c r="D28" i="14"/>
  <c r="C28" i="14"/>
  <c r="B3" i="14"/>
  <c r="L3" i="14"/>
  <c r="M3" i="14"/>
  <c r="N3" i="14"/>
  <c r="C3" i="14"/>
  <c r="D3" i="14"/>
  <c r="E3" i="14"/>
  <c r="F3" i="14"/>
  <c r="G3" i="14"/>
  <c r="H3" i="14"/>
  <c r="I3" i="14"/>
  <c r="I19" i="1"/>
  <c r="L20" i="1"/>
  <c r="L21" i="1"/>
  <c r="N22" i="1"/>
  <c r="I23" i="1"/>
  <c r="L24" i="1"/>
  <c r="I25" i="1"/>
  <c r="N27" i="1"/>
  <c r="N28" i="1"/>
  <c r="O29" i="1"/>
  <c r="G44" i="1"/>
  <c r="N7" i="1"/>
  <c r="N8" i="1"/>
  <c r="N9" i="1"/>
  <c r="N10" i="1"/>
  <c r="N11" i="1"/>
  <c r="N13" i="1"/>
  <c r="N14" i="1"/>
  <c r="N15" i="1"/>
  <c r="N16" i="1"/>
  <c r="N17" i="1"/>
  <c r="N18" i="1"/>
  <c r="G6" i="1"/>
  <c r="Q5" i="1"/>
  <c r="G5" i="1"/>
  <c r="H5" i="1"/>
  <c r="S96" i="5" l="1"/>
  <c r="C37" i="14" s="1"/>
  <c r="W22" i="13"/>
  <c r="W96" i="13" s="1"/>
  <c r="K41" i="14" s="1"/>
  <c r="T19" i="12"/>
  <c r="T96" i="12" s="1"/>
  <c r="J38" i="14" s="1"/>
  <c r="V21" i="11"/>
  <c r="V96" i="11" s="1"/>
  <c r="I40" i="14" s="1"/>
  <c r="P15" i="10"/>
  <c r="P96" i="10" s="1"/>
  <c r="H34" i="14" s="1"/>
  <c r="U20" i="9"/>
  <c r="U96" i="9" s="1"/>
  <c r="G39" i="14" s="1"/>
  <c r="P15" i="8"/>
  <c r="P96" i="8" s="1"/>
  <c r="F34" i="14" s="1"/>
  <c r="P15" i="7"/>
  <c r="P96" i="7" s="1"/>
  <c r="E34" i="14" s="1"/>
  <c r="U20" i="6"/>
  <c r="U96" i="6" s="1"/>
  <c r="D39" i="14" s="1"/>
  <c r="T19" i="5"/>
  <c r="U20" i="4"/>
  <c r="U96" i="4" s="1"/>
  <c r="N39" i="14" s="1"/>
  <c r="Q16" i="3"/>
  <c r="Q96" i="3" s="1"/>
  <c r="M35" i="14" s="1"/>
  <c r="H6" i="14"/>
  <c r="G10" i="14"/>
  <c r="H8" i="14"/>
  <c r="N12" i="1"/>
  <c r="V12" i="1"/>
  <c r="W12" i="1"/>
  <c r="J12" i="1"/>
  <c r="T12" i="1"/>
  <c r="K12" i="1"/>
  <c r="U12" i="1"/>
  <c r="M40" i="1"/>
  <c r="G40" i="1"/>
  <c r="I43" i="1"/>
  <c r="G43" i="1"/>
  <c r="H42" i="1"/>
  <c r="G42" i="1"/>
  <c r="H41" i="1"/>
  <c r="G41" i="1"/>
  <c r="R25" i="1"/>
  <c r="O21" i="1"/>
  <c r="I21" i="1"/>
  <c r="G21" i="1"/>
  <c r="M20" i="1"/>
  <c r="N25" i="1"/>
  <c r="S21" i="1"/>
  <c r="H25" i="1"/>
  <c r="Q25" i="1"/>
  <c r="M25" i="1"/>
  <c r="R21" i="1"/>
  <c r="N21" i="1"/>
  <c r="H21" i="1"/>
  <c r="P25" i="1"/>
  <c r="L25" i="1"/>
  <c r="Q21" i="1"/>
  <c r="M21" i="1"/>
  <c r="G25" i="1"/>
  <c r="S25" i="1"/>
  <c r="O25" i="1"/>
  <c r="P21" i="1"/>
  <c r="H24" i="1"/>
  <c r="Q24" i="1"/>
  <c r="O24" i="1"/>
  <c r="G20" i="1"/>
  <c r="H20" i="1"/>
  <c r="H19" i="1"/>
  <c r="Q23" i="1"/>
  <c r="H23" i="1"/>
  <c r="L29" i="1"/>
  <c r="R19" i="1"/>
  <c r="H22" i="1"/>
  <c r="Q22" i="1"/>
  <c r="G24" i="1"/>
  <c r="G19" i="1"/>
  <c r="M24" i="1"/>
  <c r="N23" i="1"/>
  <c r="Q20" i="1"/>
  <c r="Q19" i="1"/>
  <c r="I42" i="1"/>
  <c r="O28" i="1"/>
  <c r="G23" i="1"/>
  <c r="S24" i="1"/>
  <c r="I24" i="1"/>
  <c r="M23" i="1"/>
  <c r="O20" i="1"/>
  <c r="N19" i="1"/>
  <c r="R27" i="1"/>
  <c r="R23" i="1"/>
  <c r="M19" i="1"/>
  <c r="H45" i="1"/>
  <c r="H27" i="1"/>
  <c r="H44" i="1"/>
  <c r="I44" i="1"/>
  <c r="H26" i="1"/>
  <c r="N26" i="1"/>
  <c r="R26" i="1"/>
  <c r="I26" i="1"/>
  <c r="O26" i="1"/>
  <c r="S26" i="1"/>
  <c r="Q40" i="1"/>
  <c r="M26" i="1"/>
  <c r="G22" i="1"/>
  <c r="P23" i="1"/>
  <c r="L23" i="1"/>
  <c r="O22" i="1"/>
  <c r="S20" i="1"/>
  <c r="I20" i="1"/>
  <c r="P19" i="1"/>
  <c r="L19" i="1"/>
  <c r="H43" i="1"/>
  <c r="G29" i="1"/>
  <c r="M29" i="1"/>
  <c r="Q29" i="1"/>
  <c r="H29" i="1"/>
  <c r="N29" i="1"/>
  <c r="R29" i="1"/>
  <c r="G45" i="1"/>
  <c r="P40" i="1"/>
  <c r="S29" i="1"/>
  <c r="I29" i="1"/>
  <c r="Q27" i="1"/>
  <c r="G27" i="1"/>
  <c r="L26" i="1"/>
  <c r="S23" i="1"/>
  <c r="O23" i="1"/>
  <c r="M22" i="1"/>
  <c r="S19" i="1"/>
  <c r="O19" i="1"/>
  <c r="L28" i="1"/>
  <c r="P28" i="1"/>
  <c r="G28" i="1"/>
  <c r="M28" i="1"/>
  <c r="Q28" i="1"/>
  <c r="P29" i="1"/>
  <c r="S28" i="1"/>
  <c r="I28" i="1"/>
  <c r="Q26" i="1"/>
  <c r="G26" i="1"/>
  <c r="H40" i="1"/>
  <c r="N40" i="1"/>
  <c r="R40" i="1"/>
  <c r="I40" i="1"/>
  <c r="O40" i="1"/>
  <c r="S40" i="1"/>
  <c r="S22" i="1"/>
  <c r="I22" i="1"/>
  <c r="I41" i="1"/>
  <c r="L41" i="1"/>
  <c r="I27" i="1"/>
  <c r="O27" i="1"/>
  <c r="S27" i="1"/>
  <c r="L27" i="1"/>
  <c r="P27" i="1"/>
  <c r="I45" i="1"/>
  <c r="L40" i="1"/>
  <c r="R28" i="1"/>
  <c r="H28" i="1"/>
  <c r="M27" i="1"/>
  <c r="P26" i="1"/>
  <c r="G7" i="1"/>
  <c r="H7" i="1"/>
  <c r="S7" i="1"/>
  <c r="O7" i="1"/>
  <c r="I7" i="1"/>
  <c r="Q7" i="1"/>
  <c r="M7" i="1"/>
  <c r="P7" i="1"/>
  <c r="L7" i="1"/>
  <c r="R7" i="1"/>
  <c r="S6" i="1"/>
  <c r="R24" i="1"/>
  <c r="N24" i="1"/>
  <c r="P22" i="1"/>
  <c r="L22" i="1"/>
  <c r="R20" i="1"/>
  <c r="N20" i="1"/>
  <c r="P24" i="1"/>
  <c r="R22" i="1"/>
  <c r="P20" i="1"/>
  <c r="H18" i="1"/>
  <c r="P18" i="1"/>
  <c r="L18" i="1"/>
  <c r="S18" i="1"/>
  <c r="O18" i="1"/>
  <c r="I18" i="1"/>
  <c r="G18" i="1"/>
  <c r="Q18" i="1"/>
  <c r="M18" i="1"/>
  <c r="R18" i="1"/>
  <c r="H17" i="1"/>
  <c r="Q17" i="1"/>
  <c r="M17" i="1"/>
  <c r="P17" i="1"/>
  <c r="L17" i="1"/>
  <c r="G17" i="1"/>
  <c r="S17" i="1"/>
  <c r="O17" i="1"/>
  <c r="I17" i="1"/>
  <c r="R17" i="1"/>
  <c r="L16" i="1"/>
  <c r="S16" i="1"/>
  <c r="O16" i="1"/>
  <c r="I16" i="1"/>
  <c r="G16" i="1"/>
  <c r="Q16" i="1"/>
  <c r="M16" i="1"/>
  <c r="P16" i="1"/>
  <c r="H16" i="1"/>
  <c r="R16" i="1"/>
  <c r="Q15" i="1"/>
  <c r="M15" i="1"/>
  <c r="P15" i="1"/>
  <c r="L15" i="1"/>
  <c r="G15" i="1"/>
  <c r="H15" i="1"/>
  <c r="S15" i="1"/>
  <c r="O15" i="1"/>
  <c r="I15" i="1"/>
  <c r="R15" i="1"/>
  <c r="H14" i="1"/>
  <c r="P14" i="1"/>
  <c r="L14" i="1"/>
  <c r="Q14" i="1"/>
  <c r="S14" i="1"/>
  <c r="O14" i="1"/>
  <c r="I14" i="1"/>
  <c r="G14" i="1"/>
  <c r="M14" i="1"/>
  <c r="R14" i="1"/>
  <c r="H13" i="1"/>
  <c r="Q13" i="1"/>
  <c r="M13" i="1"/>
  <c r="P13" i="1"/>
  <c r="L13" i="1"/>
  <c r="G13" i="1"/>
  <c r="S13" i="1"/>
  <c r="O13" i="1"/>
  <c r="I13" i="1"/>
  <c r="R13" i="1"/>
  <c r="G12" i="1"/>
  <c r="Q12" i="1"/>
  <c r="M12" i="1"/>
  <c r="P12" i="1"/>
  <c r="L12" i="1"/>
  <c r="S12" i="1"/>
  <c r="O12" i="1"/>
  <c r="I12" i="1"/>
  <c r="H12" i="1"/>
  <c r="R12" i="1"/>
  <c r="Q11" i="1"/>
  <c r="P11" i="1"/>
  <c r="L11" i="1"/>
  <c r="M11" i="1"/>
  <c r="G11" i="1"/>
  <c r="H11" i="1"/>
  <c r="S11" i="1"/>
  <c r="O11" i="1"/>
  <c r="I11" i="1"/>
  <c r="R11" i="1"/>
  <c r="H10" i="1"/>
  <c r="P10" i="1"/>
  <c r="L10" i="1"/>
  <c r="S10" i="1"/>
  <c r="O10" i="1"/>
  <c r="I10" i="1"/>
  <c r="G10" i="1"/>
  <c r="Q10" i="1"/>
  <c r="M10" i="1"/>
  <c r="R10" i="1"/>
  <c r="H9" i="1"/>
  <c r="Q9" i="1"/>
  <c r="M9" i="1"/>
  <c r="P9" i="1"/>
  <c r="L9" i="1"/>
  <c r="G9" i="1"/>
  <c r="S9" i="1"/>
  <c r="O9" i="1"/>
  <c r="I9" i="1"/>
  <c r="R9" i="1"/>
  <c r="P8" i="1"/>
  <c r="L8" i="1"/>
  <c r="G8" i="1"/>
  <c r="Q8" i="1"/>
  <c r="M8" i="1"/>
  <c r="S8" i="1"/>
  <c r="O8" i="1"/>
  <c r="I8" i="1"/>
  <c r="H8" i="1"/>
  <c r="R8" i="1"/>
  <c r="P6" i="1"/>
  <c r="Q6" i="1"/>
  <c r="R6" i="1"/>
  <c r="O6" i="1"/>
  <c r="I6" i="1"/>
  <c r="M6" i="1"/>
  <c r="N6" i="1"/>
  <c r="H6" i="1"/>
  <c r="T96" i="5" l="1"/>
  <c r="C38" i="14" s="1"/>
  <c r="X23" i="13"/>
  <c r="U20" i="12"/>
  <c r="U96" i="12" s="1"/>
  <c r="J39" i="14" s="1"/>
  <c r="W22" i="11"/>
  <c r="W96" i="11" s="1"/>
  <c r="I41" i="14" s="1"/>
  <c r="Q16" i="10"/>
  <c r="Q96" i="10" s="1"/>
  <c r="H35" i="14" s="1"/>
  <c r="V21" i="9"/>
  <c r="V96" i="9" s="1"/>
  <c r="G40" i="14" s="1"/>
  <c r="Q16" i="8"/>
  <c r="Q96" i="8" s="1"/>
  <c r="F35" i="14" s="1"/>
  <c r="Q16" i="7"/>
  <c r="Q96" i="7" s="1"/>
  <c r="E35" i="14" s="1"/>
  <c r="V21" i="6"/>
  <c r="V96" i="6" s="1"/>
  <c r="D40" i="14" s="1"/>
  <c r="U20" i="5"/>
  <c r="V21" i="4"/>
  <c r="V96" i="4" s="1"/>
  <c r="N40" i="14" s="1"/>
  <c r="I6" i="14"/>
  <c r="R17" i="3"/>
  <c r="R96" i="3" s="1"/>
  <c r="M36" i="14" s="1"/>
  <c r="W96" i="1"/>
  <c r="L41" i="14" s="1"/>
  <c r="K96" i="1"/>
  <c r="L27" i="14" s="1"/>
  <c r="P27" i="14" s="1"/>
  <c r="V96" i="1"/>
  <c r="L40" i="14" s="1"/>
  <c r="T96" i="1"/>
  <c r="L38" i="14" s="1"/>
  <c r="U96" i="1"/>
  <c r="L39" i="14" s="1"/>
  <c r="J96" i="1"/>
  <c r="L26" i="14" s="1"/>
  <c r="P26" i="14" s="1"/>
  <c r="P96" i="1"/>
  <c r="L34" i="14" s="1"/>
  <c r="P34" i="14" s="1"/>
  <c r="L96" i="1"/>
  <c r="G96" i="1"/>
  <c r="L23" i="14" s="1"/>
  <c r="H96" i="1"/>
  <c r="L24" i="14" s="1"/>
  <c r="Q96" i="1"/>
  <c r="L35" i="14" s="1"/>
  <c r="O96" i="1"/>
  <c r="L33" i="14" s="1"/>
  <c r="P33" i="14" s="1"/>
  <c r="S96" i="1"/>
  <c r="N96" i="1"/>
  <c r="L32" i="14" s="1"/>
  <c r="P32" i="14" s="1"/>
  <c r="I96" i="1"/>
  <c r="L25" i="14" s="1"/>
  <c r="P25" i="14" s="1"/>
  <c r="M96" i="1"/>
  <c r="R96" i="1"/>
  <c r="L36" i="14" s="1"/>
  <c r="H10" i="14"/>
  <c r="I8" i="14"/>
  <c r="P35" i="14" l="1"/>
  <c r="P28" i="14"/>
  <c r="U96" i="5"/>
  <c r="C39" i="14" s="1"/>
  <c r="X96" i="13"/>
  <c r="K42" i="14" s="1"/>
  <c r="V21" i="12"/>
  <c r="V96" i="12" s="1"/>
  <c r="J40" i="14" s="1"/>
  <c r="X23" i="11"/>
  <c r="R17" i="10"/>
  <c r="R96" i="10" s="1"/>
  <c r="H36" i="14" s="1"/>
  <c r="W22" i="9"/>
  <c r="W96" i="9" s="1"/>
  <c r="G41" i="14" s="1"/>
  <c r="R17" i="8"/>
  <c r="R96" i="8" s="1"/>
  <c r="F36" i="14" s="1"/>
  <c r="R17" i="7"/>
  <c r="R96" i="7" s="1"/>
  <c r="E36" i="14" s="1"/>
  <c r="W22" i="6"/>
  <c r="W96" i="6" s="1"/>
  <c r="D41" i="14" s="1"/>
  <c r="V21" i="5"/>
  <c r="W22" i="4"/>
  <c r="W96" i="4" s="1"/>
  <c r="N41" i="14" s="1"/>
  <c r="S18" i="3"/>
  <c r="S96" i="3" s="1"/>
  <c r="M37" i="14" s="1"/>
  <c r="L28" i="14"/>
  <c r="I5" i="14"/>
  <c r="L37" i="14"/>
  <c r="I10" i="14"/>
  <c r="G5" i="14"/>
  <c r="G18" i="14" s="1"/>
  <c r="L31" i="14"/>
  <c r="P31" i="14" s="1"/>
  <c r="B5" i="14"/>
  <c r="B18" i="14" s="1"/>
  <c r="N5" i="14"/>
  <c r="N18" i="14" s="1"/>
  <c r="L30" i="14"/>
  <c r="P30" i="14" s="1"/>
  <c r="H5" i="14"/>
  <c r="H18" i="14" s="1"/>
  <c r="M5" i="14"/>
  <c r="M18" i="14" s="1"/>
  <c r="C5" i="14"/>
  <c r="C18" i="14" s="1"/>
  <c r="L5" i="14"/>
  <c r="L18" i="14" s="1"/>
  <c r="D5" i="14"/>
  <c r="D18" i="14" s="1"/>
  <c r="E5" i="14"/>
  <c r="E18" i="14" s="1"/>
  <c r="F5" i="14"/>
  <c r="F18" i="14" s="1"/>
  <c r="S5" i="1"/>
  <c r="R5" i="1"/>
  <c r="P5" i="1"/>
  <c r="O5" i="1"/>
  <c r="N5" i="1"/>
  <c r="M5" i="1"/>
  <c r="L5" i="1"/>
  <c r="I5" i="1"/>
  <c r="P36" i="14" l="1"/>
  <c r="V96" i="5"/>
  <c r="C40" i="14" s="1"/>
  <c r="K43" i="14"/>
  <c r="W22" i="12"/>
  <c r="W96" i="12" s="1"/>
  <c r="J41" i="14" s="1"/>
  <c r="X96" i="11"/>
  <c r="I42" i="14" s="1"/>
  <c r="S18" i="10"/>
  <c r="S96" i="10" s="1"/>
  <c r="H37" i="14" s="1"/>
  <c r="X23" i="9"/>
  <c r="S18" i="8"/>
  <c r="S96" i="8" s="1"/>
  <c r="F37" i="14" s="1"/>
  <c r="I18" i="14"/>
  <c r="S18" i="7"/>
  <c r="S96" i="7" s="1"/>
  <c r="E37" i="14" s="1"/>
  <c r="X23" i="6"/>
  <c r="W22" i="5"/>
  <c r="X23" i="4"/>
  <c r="T19" i="3"/>
  <c r="T96" i="3" s="1"/>
  <c r="M38" i="14" s="1"/>
  <c r="L43" i="14"/>
  <c r="L45" i="14" s="1"/>
  <c r="P37" i="14" l="1"/>
  <c r="W96" i="5"/>
  <c r="C41" i="14" s="1"/>
  <c r="K50" i="14"/>
  <c r="K45" i="14"/>
  <c r="X23" i="12"/>
  <c r="I43" i="14"/>
  <c r="T19" i="10"/>
  <c r="T96" i="10" s="1"/>
  <c r="H38" i="14" s="1"/>
  <c r="X96" i="9"/>
  <c r="G42" i="14" s="1"/>
  <c r="T19" i="8"/>
  <c r="T96" i="8" s="1"/>
  <c r="F38" i="14" s="1"/>
  <c r="T19" i="7"/>
  <c r="T96" i="7" s="1"/>
  <c r="E38" i="14" s="1"/>
  <c r="X96" i="6"/>
  <c r="D42" i="14" s="1"/>
  <c r="X23" i="5"/>
  <c r="X96" i="5" s="1"/>
  <c r="X96" i="4"/>
  <c r="N42" i="14" s="1"/>
  <c r="U20" i="3"/>
  <c r="U96" i="3" s="1"/>
  <c r="M39" i="14" s="1"/>
  <c r="L50" i="14"/>
  <c r="P38" i="14" l="1"/>
  <c r="X96" i="12"/>
  <c r="J42" i="14" s="1"/>
  <c r="J43" i="14" s="1"/>
  <c r="I45" i="14"/>
  <c r="I50" i="14"/>
  <c r="U20" i="10"/>
  <c r="U96" i="10" s="1"/>
  <c r="H39" i="14" s="1"/>
  <c r="G43" i="14"/>
  <c r="U20" i="8"/>
  <c r="U96" i="8" s="1"/>
  <c r="F39" i="14" s="1"/>
  <c r="U20" i="7"/>
  <c r="U96" i="7" s="1"/>
  <c r="E39" i="14" s="1"/>
  <c r="D43" i="14"/>
  <c r="C42" i="14"/>
  <c r="V21" i="3"/>
  <c r="V96" i="3" s="1"/>
  <c r="P39" i="14" l="1"/>
  <c r="J45" i="14"/>
  <c r="J50" i="14"/>
  <c r="V21" i="10"/>
  <c r="V96" i="10" s="1"/>
  <c r="H40" i="14" s="1"/>
  <c r="G45" i="14"/>
  <c r="G50" i="14"/>
  <c r="V21" i="8"/>
  <c r="V96" i="8" s="1"/>
  <c r="F40" i="14" s="1"/>
  <c r="V21" i="7"/>
  <c r="V96" i="7" s="1"/>
  <c r="E40" i="14" s="1"/>
  <c r="P40" i="14" s="1"/>
  <c r="D45" i="14"/>
  <c r="D50" i="14"/>
  <c r="N43" i="14"/>
  <c r="W22" i="3"/>
  <c r="W96" i="3" s="1"/>
  <c r="M41" i="14" s="1"/>
  <c r="M40" i="14"/>
  <c r="W22" i="10" l="1"/>
  <c r="W96" i="10" s="1"/>
  <c r="H41" i="14" s="1"/>
  <c r="W22" i="8"/>
  <c r="W96" i="8" s="1"/>
  <c r="F41" i="14" s="1"/>
  <c r="W22" i="7"/>
  <c r="W96" i="7" s="1"/>
  <c r="E41" i="14" s="1"/>
  <c r="P41" i="14" s="1"/>
  <c r="N45" i="14"/>
  <c r="N50" i="14"/>
  <c r="X23" i="3"/>
  <c r="X23" i="10" l="1"/>
  <c r="X23" i="8"/>
  <c r="X23" i="7"/>
  <c r="X96" i="3"/>
  <c r="M42" i="14" s="1"/>
  <c r="M43" i="14" s="1"/>
  <c r="M50" i="14" s="1"/>
  <c r="C43" i="14"/>
  <c r="C50" i="14" l="1"/>
  <c r="C45" i="14"/>
  <c r="M45" i="14"/>
  <c r="X96" i="10"/>
  <c r="H42" i="14" s="1"/>
  <c r="X96" i="8"/>
  <c r="F42" i="14" s="1"/>
  <c r="F43" i="14" s="1"/>
  <c r="X96" i="7"/>
  <c r="E42" i="14" s="1"/>
  <c r="P42" i="14" l="1"/>
  <c r="P43" i="14" s="1"/>
  <c r="H43" i="14"/>
  <c r="F50" i="14"/>
  <c r="F45" i="14"/>
  <c r="H45" i="14" l="1"/>
  <c r="H50" i="14"/>
  <c r="E43" i="14"/>
  <c r="E50" i="14" l="1"/>
  <c r="E45" i="14"/>
  <c r="P45" i="14" s="1"/>
  <c r="Y3" i="5" l="1"/>
  <c r="C49" i="14" s="1"/>
  <c r="C51" i="14" s="1"/>
  <c r="Y6" i="5" l="1"/>
  <c r="Y7" i="5" s="1"/>
  <c r="Y8" i="5" s="1"/>
  <c r="Y9" i="5" s="1"/>
  <c r="Y10" i="5" s="1"/>
  <c r="Y11" i="5" s="1"/>
  <c r="Y12" i="5" s="1"/>
  <c r="Y13" i="5" s="1"/>
  <c r="Y14" i="5" s="1"/>
  <c r="Y15" i="5" s="1"/>
  <c r="Y16" i="5" s="1"/>
  <c r="Y17" i="5" s="1"/>
  <c r="Y18" i="5" s="1"/>
  <c r="Y19" i="5" s="1"/>
  <c r="Y20" i="5" s="1"/>
  <c r="Y21" i="5" s="1"/>
  <c r="Y22" i="5" s="1"/>
  <c r="Y23" i="5" s="1"/>
  <c r="Y24" i="5" s="1"/>
  <c r="Y25" i="5" s="1"/>
  <c r="Y26" i="5" s="1"/>
  <c r="Y27" i="5" s="1"/>
  <c r="Y28" i="5" s="1"/>
  <c r="Y29" i="5" s="1"/>
  <c r="Y30" i="5" s="1"/>
  <c r="Y31" i="5" s="1"/>
  <c r="Y32" i="5" s="1"/>
  <c r="Y33" i="5" s="1"/>
  <c r="Y34" i="5" s="1"/>
  <c r="Y35" i="5" s="1"/>
  <c r="Y36" i="5" s="1"/>
  <c r="Y37" i="5" s="1"/>
  <c r="Y38" i="5" s="1"/>
  <c r="Y39" i="5" s="1"/>
  <c r="Y40" i="5" s="1"/>
  <c r="Y41" i="5" s="1"/>
  <c r="Y42" i="5" s="1"/>
  <c r="Y43" i="5" s="1"/>
  <c r="Y44" i="5" s="1"/>
  <c r="Y45" i="5" s="1"/>
  <c r="Y46" i="5" s="1"/>
  <c r="Y47" i="5" s="1"/>
  <c r="Y48" i="5" s="1"/>
  <c r="Y49" i="5" s="1"/>
  <c r="Y50" i="5" s="1"/>
  <c r="Y51" i="5" s="1"/>
  <c r="Y52" i="5" s="1"/>
  <c r="Y53" i="5" s="1"/>
  <c r="Y54" i="5" s="1"/>
  <c r="Y55" i="5" s="1"/>
  <c r="Y56" i="5" s="1"/>
  <c r="Y57" i="5" s="1"/>
  <c r="Y58" i="5" s="1"/>
  <c r="Y59" i="5" s="1"/>
  <c r="Y60" i="5" s="1"/>
  <c r="Y61" i="5" s="1"/>
  <c r="Y62" i="5" s="1"/>
  <c r="Y63" i="5" s="1"/>
  <c r="Y64" i="5" s="1"/>
  <c r="Y65" i="5" s="1"/>
  <c r="Y66" i="5" s="1"/>
  <c r="Y67" i="5" s="1"/>
  <c r="Y68" i="5" s="1"/>
  <c r="Y69" i="5" s="1"/>
  <c r="Y70" i="5" s="1"/>
  <c r="Y71" i="5" s="1"/>
  <c r="Y72" i="5" s="1"/>
  <c r="Y73" i="5" s="1"/>
  <c r="Y74" i="5" s="1"/>
  <c r="Y75" i="5" s="1"/>
  <c r="Y76" i="5" s="1"/>
  <c r="Y77" i="5" s="1"/>
  <c r="Y78" i="5" s="1"/>
  <c r="Y79" i="5" s="1"/>
  <c r="Y80" i="5" s="1"/>
  <c r="Y81" i="5" s="1"/>
  <c r="Y82" i="5" s="1"/>
  <c r="Y83" i="5" s="1"/>
  <c r="Y84" i="5" s="1"/>
  <c r="Y85" i="5" s="1"/>
  <c r="Y86" i="5" s="1"/>
  <c r="Y87" i="5" s="1"/>
  <c r="Y88" i="5" s="1"/>
  <c r="Y89" i="5" s="1"/>
  <c r="Y90" i="5" s="1"/>
  <c r="Y91" i="5" s="1"/>
  <c r="Y92" i="5" s="1"/>
  <c r="Y93" i="5" s="1"/>
  <c r="Y94" i="5" s="1"/>
  <c r="Y95" i="5" s="1"/>
  <c r="Y3" i="6" s="1"/>
  <c r="Y6" i="6" s="1"/>
  <c r="Y7" i="6" s="1"/>
  <c r="Y8" i="6" s="1"/>
  <c r="Y9" i="6" s="1"/>
  <c r="Y10" i="6" s="1"/>
  <c r="Y11" i="6" s="1"/>
  <c r="Y12" i="6" s="1"/>
  <c r="Y13" i="6" s="1"/>
  <c r="Y14" i="6" s="1"/>
  <c r="Y15" i="6" s="1"/>
  <c r="Y16" i="6" s="1"/>
  <c r="Y17" i="6" s="1"/>
  <c r="Y18" i="6" s="1"/>
  <c r="Y19" i="6" s="1"/>
  <c r="Y20" i="6" s="1"/>
  <c r="Y21" i="6" s="1"/>
  <c r="Y22" i="6" s="1"/>
  <c r="Y23" i="6" s="1"/>
  <c r="Y24" i="6" s="1"/>
  <c r="Y25" i="6" s="1"/>
  <c r="Y26" i="6" s="1"/>
  <c r="Y27" i="6" s="1"/>
  <c r="Y28" i="6" s="1"/>
  <c r="Y29" i="6" s="1"/>
  <c r="Y30" i="6" s="1"/>
  <c r="Y31" i="6" s="1"/>
  <c r="Y32" i="6" s="1"/>
  <c r="Y33" i="6" s="1"/>
  <c r="Y34" i="6" s="1"/>
  <c r="Y35" i="6" s="1"/>
  <c r="Y36" i="6" s="1"/>
  <c r="Y37" i="6" s="1"/>
  <c r="Y38" i="6" s="1"/>
  <c r="Y39" i="6" s="1"/>
  <c r="Y40" i="6" s="1"/>
  <c r="Y41" i="6" s="1"/>
  <c r="Y42" i="6" s="1"/>
  <c r="Y43" i="6" s="1"/>
  <c r="Y44" i="6" s="1"/>
  <c r="Y45" i="6" s="1"/>
  <c r="Y46" i="6" s="1"/>
  <c r="Y47" i="6" s="1"/>
  <c r="Y48" i="6" s="1"/>
  <c r="Y49" i="6" s="1"/>
  <c r="Y50" i="6" s="1"/>
  <c r="Y51" i="6" s="1"/>
  <c r="Y52" i="6" s="1"/>
  <c r="Y53" i="6" s="1"/>
  <c r="Y54" i="6" s="1"/>
  <c r="Y55" i="6" s="1"/>
  <c r="Y56" i="6" s="1"/>
  <c r="Y57" i="6" s="1"/>
  <c r="Y58" i="6" s="1"/>
  <c r="Y59" i="6" s="1"/>
  <c r="Y60" i="6" s="1"/>
  <c r="Y61" i="6" s="1"/>
  <c r="Y62" i="6" s="1"/>
  <c r="Y63" i="6" s="1"/>
  <c r="Y64" i="6" s="1"/>
  <c r="Y65" i="6" s="1"/>
  <c r="Y66" i="6" s="1"/>
  <c r="Y67" i="6" s="1"/>
  <c r="Y68" i="6" s="1"/>
  <c r="Y69" i="6" s="1"/>
  <c r="Y70" i="6" s="1"/>
  <c r="Y71" i="6" s="1"/>
  <c r="Y72" i="6" s="1"/>
  <c r="Y73" i="6" s="1"/>
  <c r="Y74" i="6" s="1"/>
  <c r="Y75" i="6" s="1"/>
  <c r="Y76" i="6" s="1"/>
  <c r="Y77" i="6" s="1"/>
  <c r="Y78" i="6" s="1"/>
  <c r="Y79" i="6" s="1"/>
  <c r="Y80" i="6" s="1"/>
  <c r="Y81" i="6" s="1"/>
  <c r="Y82" i="6" s="1"/>
  <c r="Y83" i="6" s="1"/>
  <c r="Y84" i="6" s="1"/>
  <c r="Y85" i="6" s="1"/>
  <c r="Y86" i="6" s="1"/>
  <c r="Y87" i="6" s="1"/>
  <c r="Y88" i="6" s="1"/>
  <c r="Y89" i="6" s="1"/>
  <c r="Y90" i="6" s="1"/>
  <c r="Y91" i="6" s="1"/>
  <c r="Y92" i="6" s="1"/>
  <c r="Y93" i="6" s="1"/>
  <c r="Y94" i="6" s="1"/>
  <c r="Y95" i="6" s="1"/>
  <c r="Y3" i="7" s="1"/>
  <c r="D49" i="14" l="1"/>
  <c r="D51" i="14" s="1"/>
  <c r="Y6" i="7"/>
  <c r="Y7" i="7" s="1"/>
  <c r="Y8" i="7" s="1"/>
  <c r="Y9" i="7" s="1"/>
  <c r="Y10" i="7" s="1"/>
  <c r="Y11" i="7" s="1"/>
  <c r="Y12" i="7" s="1"/>
  <c r="Y13" i="7" s="1"/>
  <c r="Y14" i="7" s="1"/>
  <c r="Y15" i="7" s="1"/>
  <c r="Y16" i="7" s="1"/>
  <c r="Y17" i="7" s="1"/>
  <c r="Y18" i="7" s="1"/>
  <c r="Y19" i="7" s="1"/>
  <c r="Y20" i="7" s="1"/>
  <c r="Y21" i="7" s="1"/>
  <c r="Y22" i="7" s="1"/>
  <c r="Y23" i="7" s="1"/>
  <c r="Y24" i="7" s="1"/>
  <c r="Y25" i="7" s="1"/>
  <c r="Y26" i="7" s="1"/>
  <c r="Y27" i="7" s="1"/>
  <c r="Y28" i="7" s="1"/>
  <c r="Y29" i="7" s="1"/>
  <c r="Y30" i="7" s="1"/>
  <c r="Y31" i="7" s="1"/>
  <c r="Y32" i="7" s="1"/>
  <c r="Y33" i="7" s="1"/>
  <c r="Y34" i="7" s="1"/>
  <c r="Y35" i="7" s="1"/>
  <c r="Y36" i="7" s="1"/>
  <c r="Y37" i="7" s="1"/>
  <c r="Y38" i="7" s="1"/>
  <c r="Y39" i="7" s="1"/>
  <c r="Y40" i="7" s="1"/>
  <c r="Y41" i="7" s="1"/>
  <c r="Y42" i="7" s="1"/>
  <c r="Y43" i="7" s="1"/>
  <c r="Y44" i="7" s="1"/>
  <c r="Y45" i="7" s="1"/>
  <c r="Y46" i="7" s="1"/>
  <c r="Y47" i="7" s="1"/>
  <c r="Y48" i="7" s="1"/>
  <c r="Y49" i="7" s="1"/>
  <c r="Y50" i="7" s="1"/>
  <c r="Y51" i="7" s="1"/>
  <c r="Y52" i="7" s="1"/>
  <c r="Y53" i="7" s="1"/>
  <c r="Y54" i="7" s="1"/>
  <c r="Y55" i="7" s="1"/>
  <c r="Y56" i="7" s="1"/>
  <c r="Y57" i="7" s="1"/>
  <c r="Y58" i="7" s="1"/>
  <c r="Y59" i="7" s="1"/>
  <c r="Y60" i="7" s="1"/>
  <c r="Y61" i="7" s="1"/>
  <c r="Y62" i="7" s="1"/>
  <c r="Y63" i="7" s="1"/>
  <c r="Y64" i="7" s="1"/>
  <c r="Y65" i="7" s="1"/>
  <c r="Y66" i="7" s="1"/>
  <c r="Y67" i="7" s="1"/>
  <c r="Y68" i="7" s="1"/>
  <c r="Y69" i="7" s="1"/>
  <c r="Y70" i="7" s="1"/>
  <c r="Y71" i="7" s="1"/>
  <c r="Y72" i="7" s="1"/>
  <c r="Y73" i="7" s="1"/>
  <c r="Y74" i="7" s="1"/>
  <c r="Y75" i="7" s="1"/>
  <c r="Y76" i="7" s="1"/>
  <c r="Y77" i="7" s="1"/>
  <c r="Y78" i="7" s="1"/>
  <c r="Y79" i="7" s="1"/>
  <c r="Y80" i="7" s="1"/>
  <c r="Y81" i="7" s="1"/>
  <c r="Y82" i="7" s="1"/>
  <c r="Y83" i="7" s="1"/>
  <c r="Y84" i="7" s="1"/>
  <c r="Y85" i="7" s="1"/>
  <c r="Y86" i="7" s="1"/>
  <c r="Y87" i="7" s="1"/>
  <c r="Y88" i="7" s="1"/>
  <c r="Y89" i="7" s="1"/>
  <c r="Y90" i="7" s="1"/>
  <c r="Y91" i="7" s="1"/>
  <c r="Y92" i="7" s="1"/>
  <c r="Y93" i="7" s="1"/>
  <c r="Y94" i="7" s="1"/>
  <c r="Y95" i="7" s="1"/>
  <c r="Y3" i="8" s="1"/>
  <c r="E49" i="14"/>
  <c r="E51" i="14" s="1"/>
  <c r="Y6" i="8" l="1"/>
  <c r="Y7" i="8" s="1"/>
  <c r="Y8" i="8" s="1"/>
  <c r="Y9" i="8" s="1"/>
  <c r="Y10" i="8" s="1"/>
  <c r="Y11" i="8" s="1"/>
  <c r="Y12" i="8" s="1"/>
  <c r="Y13" i="8" s="1"/>
  <c r="Y14" i="8" s="1"/>
  <c r="Y15" i="8" s="1"/>
  <c r="Y16" i="8" s="1"/>
  <c r="Y17" i="8" s="1"/>
  <c r="Y18" i="8" s="1"/>
  <c r="Y19" i="8" s="1"/>
  <c r="Y20" i="8" s="1"/>
  <c r="Y21" i="8" s="1"/>
  <c r="Y22" i="8" s="1"/>
  <c r="Y23" i="8" s="1"/>
  <c r="Y24" i="8" s="1"/>
  <c r="Y25" i="8" s="1"/>
  <c r="Y26" i="8" s="1"/>
  <c r="Y27" i="8" s="1"/>
  <c r="Y28" i="8" s="1"/>
  <c r="Y29" i="8" s="1"/>
  <c r="Y30" i="8" s="1"/>
  <c r="Y31" i="8" s="1"/>
  <c r="Y32" i="8" s="1"/>
  <c r="Y33" i="8" s="1"/>
  <c r="Y34" i="8" s="1"/>
  <c r="Y35" i="8" s="1"/>
  <c r="Y36" i="8" s="1"/>
  <c r="Y37" i="8" s="1"/>
  <c r="Y38" i="8" s="1"/>
  <c r="Y39" i="8" s="1"/>
  <c r="Y40" i="8" s="1"/>
  <c r="Y41" i="8" s="1"/>
  <c r="Y42" i="8" s="1"/>
  <c r="Y43" i="8" s="1"/>
  <c r="Y44" i="8" s="1"/>
  <c r="Y45" i="8" s="1"/>
  <c r="Y46" i="8" s="1"/>
  <c r="Y47" i="8" s="1"/>
  <c r="Y48" i="8" s="1"/>
  <c r="Y49" i="8" s="1"/>
  <c r="Y50" i="8" s="1"/>
  <c r="Y51" i="8" s="1"/>
  <c r="Y52" i="8" s="1"/>
  <c r="Y53" i="8" s="1"/>
  <c r="Y54" i="8" s="1"/>
  <c r="Y55" i="8" s="1"/>
  <c r="Y56" i="8" s="1"/>
  <c r="Y57" i="8" s="1"/>
  <c r="Y58" i="8" s="1"/>
  <c r="Y59" i="8" s="1"/>
  <c r="Y60" i="8" s="1"/>
  <c r="Y61" i="8" s="1"/>
  <c r="Y62" i="8" s="1"/>
  <c r="Y63" i="8" s="1"/>
  <c r="Y64" i="8" s="1"/>
  <c r="Y65" i="8" s="1"/>
  <c r="Y66" i="8" s="1"/>
  <c r="Y67" i="8" s="1"/>
  <c r="Y68" i="8" s="1"/>
  <c r="Y69" i="8" s="1"/>
  <c r="Y70" i="8" s="1"/>
  <c r="Y71" i="8" s="1"/>
  <c r="Y72" i="8" s="1"/>
  <c r="Y73" i="8" s="1"/>
  <c r="Y74" i="8" s="1"/>
  <c r="Y75" i="8" s="1"/>
  <c r="Y76" i="8" s="1"/>
  <c r="Y77" i="8" s="1"/>
  <c r="Y78" i="8" s="1"/>
  <c r="Y79" i="8" s="1"/>
  <c r="Y80" i="8" s="1"/>
  <c r="Y81" i="8" s="1"/>
  <c r="Y82" i="8" s="1"/>
  <c r="Y83" i="8" s="1"/>
  <c r="Y84" i="8" s="1"/>
  <c r="Y85" i="8" s="1"/>
  <c r="Y86" i="8" s="1"/>
  <c r="Y87" i="8" s="1"/>
  <c r="Y88" i="8" s="1"/>
  <c r="Y89" i="8" s="1"/>
  <c r="Y90" i="8" s="1"/>
  <c r="Y91" i="8" s="1"/>
  <c r="Y92" i="8" s="1"/>
  <c r="Y93" i="8" s="1"/>
  <c r="Y94" i="8" s="1"/>
  <c r="Y95" i="8" s="1"/>
  <c r="Y3" i="9" s="1"/>
  <c r="F49" i="14"/>
  <c r="F51" i="14" s="1"/>
  <c r="Y6" i="9" l="1"/>
  <c r="Y7" i="9" s="1"/>
  <c r="Y8" i="9" s="1"/>
  <c r="Y9" i="9" s="1"/>
  <c r="Y10" i="9" s="1"/>
  <c r="Y11" i="9" s="1"/>
  <c r="Y12" i="9" s="1"/>
  <c r="Y13" i="9" s="1"/>
  <c r="Y14" i="9" s="1"/>
  <c r="Y15" i="9" s="1"/>
  <c r="Y16" i="9" s="1"/>
  <c r="Y17" i="9" s="1"/>
  <c r="Y18" i="9" s="1"/>
  <c r="Y19" i="9" s="1"/>
  <c r="Y20" i="9" s="1"/>
  <c r="Y21" i="9" s="1"/>
  <c r="Y22" i="9" s="1"/>
  <c r="Y23" i="9" s="1"/>
  <c r="Y24" i="9" s="1"/>
  <c r="Y25" i="9" s="1"/>
  <c r="Y26" i="9" s="1"/>
  <c r="Y27" i="9" s="1"/>
  <c r="Y28" i="9" s="1"/>
  <c r="Y29" i="9" s="1"/>
  <c r="Y30" i="9" s="1"/>
  <c r="Y31" i="9" s="1"/>
  <c r="Y32" i="9" s="1"/>
  <c r="Y33" i="9" s="1"/>
  <c r="Y34" i="9" s="1"/>
  <c r="Y35" i="9" s="1"/>
  <c r="Y36" i="9" s="1"/>
  <c r="Y37" i="9" s="1"/>
  <c r="Y38" i="9" s="1"/>
  <c r="Y39" i="9" s="1"/>
  <c r="Y40" i="9" s="1"/>
  <c r="Y41" i="9" s="1"/>
  <c r="Y42" i="9" s="1"/>
  <c r="Y43" i="9" s="1"/>
  <c r="Y44" i="9" s="1"/>
  <c r="Y45" i="9" s="1"/>
  <c r="Y46" i="9" s="1"/>
  <c r="Y47" i="9" s="1"/>
  <c r="Y48" i="9" s="1"/>
  <c r="Y49" i="9" s="1"/>
  <c r="Y50" i="9" s="1"/>
  <c r="Y51" i="9" s="1"/>
  <c r="Y52" i="9" s="1"/>
  <c r="Y53" i="9" s="1"/>
  <c r="Y54" i="9" s="1"/>
  <c r="Y55" i="9" s="1"/>
  <c r="Y56" i="9" s="1"/>
  <c r="Y57" i="9" s="1"/>
  <c r="Y58" i="9" s="1"/>
  <c r="Y59" i="9" s="1"/>
  <c r="Y60" i="9" s="1"/>
  <c r="Y61" i="9" s="1"/>
  <c r="Y62" i="9" s="1"/>
  <c r="Y63" i="9" s="1"/>
  <c r="Y64" i="9" s="1"/>
  <c r="Y65" i="9" s="1"/>
  <c r="Y66" i="9" s="1"/>
  <c r="Y67" i="9" s="1"/>
  <c r="Y68" i="9" s="1"/>
  <c r="Y69" i="9" s="1"/>
  <c r="Y70" i="9" s="1"/>
  <c r="Y71" i="9" s="1"/>
  <c r="Y72" i="9" s="1"/>
  <c r="Y73" i="9" s="1"/>
  <c r="Y74" i="9" s="1"/>
  <c r="Y75" i="9" s="1"/>
  <c r="Y76" i="9" s="1"/>
  <c r="Y77" i="9" s="1"/>
  <c r="Y78" i="9" s="1"/>
  <c r="Y79" i="9" s="1"/>
  <c r="Y80" i="9" s="1"/>
  <c r="Y81" i="9" s="1"/>
  <c r="Y82" i="9" s="1"/>
  <c r="Y83" i="9" s="1"/>
  <c r="Y84" i="9" s="1"/>
  <c r="Y85" i="9" s="1"/>
  <c r="Y86" i="9" s="1"/>
  <c r="Y87" i="9" s="1"/>
  <c r="Y88" i="9" s="1"/>
  <c r="Y89" i="9" s="1"/>
  <c r="Y90" i="9" s="1"/>
  <c r="Y91" i="9" s="1"/>
  <c r="Y92" i="9" s="1"/>
  <c r="Y93" i="9" s="1"/>
  <c r="Y94" i="9" s="1"/>
  <c r="Y95" i="9" s="1"/>
  <c r="Y3" i="10" s="1"/>
  <c r="G49" i="14"/>
  <c r="G51" i="14" s="1"/>
  <c r="Y6" i="10" l="1"/>
  <c r="Y7" i="10" s="1"/>
  <c r="Y8" i="10" s="1"/>
  <c r="Y9" i="10" s="1"/>
  <c r="Y10" i="10" s="1"/>
  <c r="Y11" i="10" s="1"/>
  <c r="Y12" i="10" s="1"/>
  <c r="Y13" i="10" s="1"/>
  <c r="Y14" i="10" s="1"/>
  <c r="Y15" i="10" s="1"/>
  <c r="Y16" i="10" s="1"/>
  <c r="Y17" i="10" s="1"/>
  <c r="Y18" i="10" s="1"/>
  <c r="Y19" i="10" s="1"/>
  <c r="Y20" i="10" s="1"/>
  <c r="Y21" i="10" s="1"/>
  <c r="Y22" i="10" s="1"/>
  <c r="Y23" i="10" s="1"/>
  <c r="Y24" i="10" s="1"/>
  <c r="Y25" i="10" s="1"/>
  <c r="Y26" i="10" s="1"/>
  <c r="Y27" i="10" s="1"/>
  <c r="Y28" i="10" s="1"/>
  <c r="Y29" i="10" s="1"/>
  <c r="Y30" i="10" s="1"/>
  <c r="Y31" i="10" s="1"/>
  <c r="Y32" i="10" s="1"/>
  <c r="Y33" i="10" s="1"/>
  <c r="Y34" i="10" s="1"/>
  <c r="Y35" i="10" s="1"/>
  <c r="Y36" i="10" s="1"/>
  <c r="Y37" i="10" s="1"/>
  <c r="Y38" i="10" s="1"/>
  <c r="Y39" i="10" s="1"/>
  <c r="Y40" i="10" s="1"/>
  <c r="Y41" i="10" s="1"/>
  <c r="Y42" i="10" s="1"/>
  <c r="Y43" i="10" s="1"/>
  <c r="Y44" i="10" s="1"/>
  <c r="Y45" i="10" s="1"/>
  <c r="Y46" i="10" s="1"/>
  <c r="Y47" i="10" s="1"/>
  <c r="Y48" i="10" s="1"/>
  <c r="Y49" i="10" s="1"/>
  <c r="Y50" i="10" s="1"/>
  <c r="Y51" i="10" s="1"/>
  <c r="Y52" i="10" s="1"/>
  <c r="Y53" i="10" s="1"/>
  <c r="Y54" i="10" s="1"/>
  <c r="Y55" i="10" s="1"/>
  <c r="Y56" i="10" s="1"/>
  <c r="Y57" i="10" s="1"/>
  <c r="Y58" i="10" s="1"/>
  <c r="Y59" i="10" s="1"/>
  <c r="Y60" i="10" s="1"/>
  <c r="Y61" i="10" s="1"/>
  <c r="Y62" i="10" s="1"/>
  <c r="Y63" i="10" s="1"/>
  <c r="Y64" i="10" s="1"/>
  <c r="Y65" i="10" s="1"/>
  <c r="Y66" i="10" s="1"/>
  <c r="Y67" i="10" s="1"/>
  <c r="Y68" i="10" s="1"/>
  <c r="Y69" i="10" s="1"/>
  <c r="Y70" i="10" s="1"/>
  <c r="Y71" i="10" s="1"/>
  <c r="Y72" i="10" s="1"/>
  <c r="Y73" i="10" s="1"/>
  <c r="Y74" i="10" s="1"/>
  <c r="Y75" i="10" s="1"/>
  <c r="Y76" i="10" s="1"/>
  <c r="Y77" i="10" s="1"/>
  <c r="Y78" i="10" s="1"/>
  <c r="Y79" i="10" s="1"/>
  <c r="Y80" i="10" s="1"/>
  <c r="Y81" i="10" s="1"/>
  <c r="Y82" i="10" s="1"/>
  <c r="Y83" i="10" s="1"/>
  <c r="Y84" i="10" s="1"/>
  <c r="Y85" i="10" s="1"/>
  <c r="Y86" i="10" s="1"/>
  <c r="Y87" i="10" s="1"/>
  <c r="Y88" i="10" s="1"/>
  <c r="Y89" i="10" s="1"/>
  <c r="Y90" i="10" s="1"/>
  <c r="Y91" i="10" s="1"/>
  <c r="Y92" i="10" s="1"/>
  <c r="Y93" i="10" s="1"/>
  <c r="Y94" i="10" s="1"/>
  <c r="Y95" i="10" s="1"/>
  <c r="Y3" i="11" s="1"/>
  <c r="H49" i="14"/>
  <c r="H51" i="14" s="1"/>
  <c r="Y6" i="11" l="1"/>
  <c r="Y7" i="11" s="1"/>
  <c r="Y8" i="11" s="1"/>
  <c r="Y9" i="11" s="1"/>
  <c r="Y10" i="11" s="1"/>
  <c r="Y11" i="11" s="1"/>
  <c r="Y12" i="11" s="1"/>
  <c r="Y13" i="11" s="1"/>
  <c r="Y14" i="11" s="1"/>
  <c r="Y15" i="11" s="1"/>
  <c r="Y16" i="11" s="1"/>
  <c r="Y17" i="11" s="1"/>
  <c r="Y18" i="11" s="1"/>
  <c r="Y19" i="11" s="1"/>
  <c r="Y20" i="11" s="1"/>
  <c r="Y21" i="11" s="1"/>
  <c r="Y22" i="11" s="1"/>
  <c r="Y23" i="11" s="1"/>
  <c r="Y24" i="11" s="1"/>
  <c r="Y25" i="11" s="1"/>
  <c r="Y26" i="11" s="1"/>
  <c r="Y27" i="11" s="1"/>
  <c r="Y28" i="11" s="1"/>
  <c r="Y29" i="11" s="1"/>
  <c r="Y30" i="11" s="1"/>
  <c r="Y31" i="11" s="1"/>
  <c r="Y32" i="11" s="1"/>
  <c r="Y33" i="11" s="1"/>
  <c r="Y34" i="11" s="1"/>
  <c r="Y35" i="11" s="1"/>
  <c r="Y36" i="11" s="1"/>
  <c r="Y37" i="11" s="1"/>
  <c r="Y38" i="11" s="1"/>
  <c r="Y39" i="11" s="1"/>
  <c r="Y40" i="11" s="1"/>
  <c r="Y41" i="11" s="1"/>
  <c r="Y42" i="11" s="1"/>
  <c r="Y43" i="11" s="1"/>
  <c r="Y44" i="11" s="1"/>
  <c r="Y45" i="11" s="1"/>
  <c r="Y46" i="11" s="1"/>
  <c r="Y47" i="11" s="1"/>
  <c r="Y48" i="11" s="1"/>
  <c r="Y49" i="11" s="1"/>
  <c r="Y50" i="11" s="1"/>
  <c r="Y51" i="11" s="1"/>
  <c r="Y52" i="11" s="1"/>
  <c r="Y53" i="11" s="1"/>
  <c r="Y54" i="11" s="1"/>
  <c r="Y55" i="11" s="1"/>
  <c r="Y56" i="11" s="1"/>
  <c r="Y57" i="11" s="1"/>
  <c r="Y58" i="11" s="1"/>
  <c r="Y59" i="11" s="1"/>
  <c r="Y60" i="11" s="1"/>
  <c r="Y61" i="11" s="1"/>
  <c r="Y62" i="11" s="1"/>
  <c r="Y63" i="11" s="1"/>
  <c r="Y64" i="11" s="1"/>
  <c r="Y65" i="11" s="1"/>
  <c r="Y66" i="11" s="1"/>
  <c r="Y67" i="11" s="1"/>
  <c r="Y68" i="11" s="1"/>
  <c r="Y69" i="11" s="1"/>
  <c r="Y70" i="11" s="1"/>
  <c r="Y71" i="11" s="1"/>
  <c r="Y72" i="11" s="1"/>
  <c r="Y73" i="11" s="1"/>
  <c r="Y74" i="11" s="1"/>
  <c r="Y75" i="11" s="1"/>
  <c r="Y76" i="11" s="1"/>
  <c r="Y77" i="11" s="1"/>
  <c r="Y78" i="11" s="1"/>
  <c r="Y79" i="11" s="1"/>
  <c r="Y80" i="11" s="1"/>
  <c r="Y81" i="11" s="1"/>
  <c r="Y82" i="11" s="1"/>
  <c r="Y83" i="11" s="1"/>
  <c r="Y84" i="11" s="1"/>
  <c r="Y85" i="11" s="1"/>
  <c r="Y86" i="11" s="1"/>
  <c r="Y87" i="11" s="1"/>
  <c r="Y88" i="11" s="1"/>
  <c r="Y89" i="11" s="1"/>
  <c r="Y90" i="11" s="1"/>
  <c r="Y91" i="11" s="1"/>
  <c r="Y92" i="11" s="1"/>
  <c r="Y93" i="11" s="1"/>
  <c r="Y94" i="11" s="1"/>
  <c r="Y95" i="11" s="1"/>
  <c r="Y3" i="12" s="1"/>
  <c r="I49" i="14"/>
  <c r="I51" i="14" s="1"/>
  <c r="J49" i="14" l="1"/>
  <c r="J51" i="14" s="1"/>
  <c r="Y6" i="12"/>
  <c r="Y7" i="12" s="1"/>
  <c r="Y8" i="12" s="1"/>
  <c r="Y9" i="12" s="1"/>
  <c r="Y10" i="12" s="1"/>
  <c r="Y11" i="12" s="1"/>
  <c r="Y12" i="12" s="1"/>
  <c r="Y13" i="12" s="1"/>
  <c r="Y14" i="12" s="1"/>
  <c r="Y15" i="12" s="1"/>
  <c r="Y16" i="12" s="1"/>
  <c r="Y17" i="12" s="1"/>
  <c r="Y18" i="12" s="1"/>
  <c r="Y19" i="12" s="1"/>
  <c r="Y20" i="12" s="1"/>
  <c r="Y21" i="12" s="1"/>
  <c r="Y22" i="12" s="1"/>
  <c r="Y23" i="12" s="1"/>
  <c r="Y24" i="12" s="1"/>
  <c r="Y25" i="12" s="1"/>
  <c r="Y26" i="12" s="1"/>
  <c r="Y27" i="12" s="1"/>
  <c r="Y28" i="12" s="1"/>
  <c r="Y29" i="12" s="1"/>
  <c r="Y30" i="12" s="1"/>
  <c r="Y31" i="12" s="1"/>
  <c r="Y32" i="12" s="1"/>
  <c r="Y33" i="12" s="1"/>
  <c r="Y34" i="12" s="1"/>
  <c r="Y35" i="12" s="1"/>
  <c r="Y36" i="12" s="1"/>
  <c r="Y37" i="12" s="1"/>
  <c r="Y38" i="12" s="1"/>
  <c r="Y39" i="12" s="1"/>
  <c r="Y40" i="12" s="1"/>
  <c r="Y41" i="12" s="1"/>
  <c r="Y42" i="12" s="1"/>
  <c r="Y43" i="12" s="1"/>
  <c r="Y44" i="12" s="1"/>
  <c r="Y45" i="12" s="1"/>
  <c r="Y46" i="12" s="1"/>
  <c r="Y47" i="12" s="1"/>
  <c r="Y48" i="12" s="1"/>
  <c r="Y49" i="12" s="1"/>
  <c r="Y50" i="12" s="1"/>
  <c r="Y51" i="12" s="1"/>
  <c r="Y52" i="12" s="1"/>
  <c r="Y53" i="12" s="1"/>
  <c r="Y54" i="12" s="1"/>
  <c r="Y55" i="12" s="1"/>
  <c r="Y56" i="12" s="1"/>
  <c r="Y57" i="12" s="1"/>
  <c r="Y58" i="12" s="1"/>
  <c r="Y59" i="12" s="1"/>
  <c r="Y60" i="12" s="1"/>
  <c r="Y61" i="12" s="1"/>
  <c r="Y62" i="12" s="1"/>
  <c r="Y63" i="12" s="1"/>
  <c r="Y64" i="12" s="1"/>
  <c r="Y65" i="12" s="1"/>
  <c r="Y66" i="12" s="1"/>
  <c r="Y67" i="12" s="1"/>
  <c r="Y68" i="12" s="1"/>
  <c r="Y69" i="12" s="1"/>
  <c r="Y70" i="12" s="1"/>
  <c r="Y71" i="12" s="1"/>
  <c r="Y72" i="12" s="1"/>
  <c r="Y73" i="12" s="1"/>
  <c r="Y74" i="12" s="1"/>
  <c r="Y75" i="12" s="1"/>
  <c r="Y76" i="12" s="1"/>
  <c r="Y77" i="12" s="1"/>
  <c r="Y78" i="12" s="1"/>
  <c r="Y79" i="12" s="1"/>
  <c r="Y80" i="12" s="1"/>
  <c r="Y81" i="12" s="1"/>
  <c r="Y82" i="12" s="1"/>
  <c r="Y83" i="12" s="1"/>
  <c r="Y84" i="12" s="1"/>
  <c r="Y85" i="12" s="1"/>
  <c r="Y86" i="12" s="1"/>
  <c r="Y87" i="12" s="1"/>
  <c r="Y88" i="12" s="1"/>
  <c r="Y89" i="12" s="1"/>
  <c r="Y90" i="12" s="1"/>
  <c r="Y91" i="12" s="1"/>
  <c r="Y92" i="12" s="1"/>
  <c r="Y93" i="12" s="1"/>
  <c r="Y94" i="12" s="1"/>
  <c r="Y95" i="12" s="1"/>
  <c r="Y3" i="13" s="1"/>
  <c r="Y6" i="13" l="1"/>
  <c r="Y7" i="13" s="1"/>
  <c r="Y8" i="13" s="1"/>
  <c r="Y9" i="13" s="1"/>
  <c r="Y10" i="13" s="1"/>
  <c r="Y11" i="13" s="1"/>
  <c r="Y12" i="13" s="1"/>
  <c r="Y13" i="13" s="1"/>
  <c r="Y14" i="13" s="1"/>
  <c r="Y15" i="13" s="1"/>
  <c r="Y16" i="13" s="1"/>
  <c r="Y17" i="13" s="1"/>
  <c r="Y18" i="13" s="1"/>
  <c r="Y19" i="13" s="1"/>
  <c r="Y20" i="13" s="1"/>
  <c r="Y21" i="13" s="1"/>
  <c r="Y22" i="13" s="1"/>
  <c r="Y23" i="13" s="1"/>
  <c r="Y24" i="13" s="1"/>
  <c r="Y25" i="13" s="1"/>
  <c r="Y26" i="13" s="1"/>
  <c r="Y27" i="13" s="1"/>
  <c r="Y28" i="13" s="1"/>
  <c r="Y29" i="13" s="1"/>
  <c r="Y30" i="13" s="1"/>
  <c r="Y31" i="13" s="1"/>
  <c r="Y32" i="13" s="1"/>
  <c r="Y33" i="13" s="1"/>
  <c r="Y34" i="13" s="1"/>
  <c r="Y35" i="13" s="1"/>
  <c r="Y36" i="13" s="1"/>
  <c r="Y37" i="13" s="1"/>
  <c r="Y38" i="13" s="1"/>
  <c r="Y39" i="13" s="1"/>
  <c r="Y40" i="13" s="1"/>
  <c r="Y41" i="13" s="1"/>
  <c r="Y42" i="13" s="1"/>
  <c r="Y43" i="13" s="1"/>
  <c r="Y44" i="13" s="1"/>
  <c r="Y45" i="13" s="1"/>
  <c r="Y46" i="13" s="1"/>
  <c r="Y47" i="13" s="1"/>
  <c r="Y48" i="13" s="1"/>
  <c r="Y49" i="13" s="1"/>
  <c r="Y50" i="13" s="1"/>
  <c r="Y51" i="13" s="1"/>
  <c r="Y52" i="13" s="1"/>
  <c r="Y53" i="13" s="1"/>
  <c r="Y54" i="13" s="1"/>
  <c r="Y55" i="13" s="1"/>
  <c r="Y56" i="13" s="1"/>
  <c r="Y57" i="13" s="1"/>
  <c r="Y58" i="13" s="1"/>
  <c r="Y59" i="13" s="1"/>
  <c r="Y60" i="13" s="1"/>
  <c r="Y61" i="13" s="1"/>
  <c r="Y62" i="13" s="1"/>
  <c r="Y63" i="13" s="1"/>
  <c r="Y64" i="13" s="1"/>
  <c r="Y65" i="13" s="1"/>
  <c r="Y66" i="13" s="1"/>
  <c r="Y67" i="13" s="1"/>
  <c r="Y68" i="13" s="1"/>
  <c r="Y69" i="13" s="1"/>
  <c r="Y70" i="13" s="1"/>
  <c r="Y71" i="13" s="1"/>
  <c r="Y72" i="13" s="1"/>
  <c r="Y73" i="13" s="1"/>
  <c r="Y74" i="13" s="1"/>
  <c r="Y75" i="13" s="1"/>
  <c r="Y76" i="13" s="1"/>
  <c r="Y77" i="13" s="1"/>
  <c r="Y78" i="13" s="1"/>
  <c r="Y79" i="13" s="1"/>
  <c r="Y80" i="13" s="1"/>
  <c r="Y81" i="13" s="1"/>
  <c r="Y82" i="13" s="1"/>
  <c r="Y83" i="13" s="1"/>
  <c r="Y84" i="13" s="1"/>
  <c r="Y85" i="13" s="1"/>
  <c r="Y86" i="13" s="1"/>
  <c r="Y87" i="13" s="1"/>
  <c r="Y88" i="13" s="1"/>
  <c r="Y89" i="13" s="1"/>
  <c r="Y90" i="13" s="1"/>
  <c r="Y91" i="13" s="1"/>
  <c r="Y92" i="13" s="1"/>
  <c r="Y93" i="13" s="1"/>
  <c r="Y94" i="13" s="1"/>
  <c r="Y95" i="13" s="1"/>
  <c r="Y3" i="1" s="1"/>
  <c r="K49" i="14"/>
  <c r="K51" i="14" s="1"/>
  <c r="L49" i="14" l="1"/>
  <c r="L51" i="14" s="1"/>
  <c r="Y6" i="1"/>
  <c r="Y7" i="1" s="1"/>
  <c r="Y8" i="1" s="1"/>
  <c r="Y9" i="1" s="1"/>
  <c r="Y10" i="1" s="1"/>
  <c r="Y11" i="1" s="1"/>
  <c r="Y12" i="1" s="1"/>
  <c r="Y13" i="1" s="1"/>
  <c r="Y14" i="1" s="1"/>
  <c r="Y15" i="1" s="1"/>
  <c r="Y16" i="1" s="1"/>
  <c r="Y17" i="1" s="1"/>
  <c r="Y18" i="1" s="1"/>
  <c r="Y19" i="1" s="1"/>
  <c r="Y20" i="1" s="1"/>
  <c r="Y21" i="1" s="1"/>
  <c r="Y22" i="1" s="1"/>
  <c r="Y23" i="1" s="1"/>
  <c r="Y24" i="1" s="1"/>
  <c r="Y25" i="1" s="1"/>
  <c r="Y26" i="1" s="1"/>
  <c r="Y27" i="1" s="1"/>
  <c r="Y28" i="1" s="1"/>
  <c r="Y29" i="1" s="1"/>
  <c r="Y30" i="1" s="1"/>
  <c r="Y31" i="1" s="1"/>
  <c r="Y32" i="1" s="1"/>
  <c r="Y33" i="1" s="1"/>
  <c r="Y34" i="1" s="1"/>
  <c r="Y35" i="1" s="1"/>
  <c r="Y36" i="1" s="1"/>
  <c r="Y37" i="1" s="1"/>
  <c r="Y38" i="1" s="1"/>
  <c r="Y39" i="1" s="1"/>
  <c r="Y40" i="1" s="1"/>
  <c r="Y41" i="1" s="1"/>
  <c r="Y42" i="1" s="1"/>
  <c r="Y43" i="1" s="1"/>
  <c r="Y44" i="1" s="1"/>
  <c r="Y45" i="1" s="1"/>
  <c r="Y46" i="1" s="1"/>
  <c r="Y47" i="1" s="1"/>
  <c r="Y48" i="1" s="1"/>
  <c r="Y49" i="1" s="1"/>
  <c r="Y50" i="1" s="1"/>
  <c r="Y51" i="1" s="1"/>
  <c r="Y52" i="1" s="1"/>
  <c r="Y53" i="1" s="1"/>
  <c r="Y54" i="1" s="1"/>
  <c r="Y55" i="1" s="1"/>
  <c r="Y56" i="1" s="1"/>
  <c r="Y57" i="1" s="1"/>
  <c r="Y58" i="1" s="1"/>
  <c r="Y59" i="1" s="1"/>
  <c r="Y60" i="1" s="1"/>
  <c r="Y61" i="1" s="1"/>
  <c r="Y62" i="1" s="1"/>
  <c r="Y63" i="1" s="1"/>
  <c r="Y64" i="1" s="1"/>
  <c r="Y65" i="1" s="1"/>
  <c r="Y66" i="1" s="1"/>
  <c r="Y67" i="1" s="1"/>
  <c r="Y68" i="1" s="1"/>
  <c r="Y69" i="1" s="1"/>
  <c r="Y70" i="1" s="1"/>
  <c r="Y71" i="1" s="1"/>
  <c r="Y72" i="1" s="1"/>
  <c r="Y73" i="1" s="1"/>
  <c r="Y74" i="1" s="1"/>
  <c r="Y75" i="1" s="1"/>
  <c r="Y76" i="1" s="1"/>
  <c r="Y77" i="1" s="1"/>
  <c r="Y78" i="1" s="1"/>
  <c r="Y79" i="1" s="1"/>
  <c r="Y80" i="1" s="1"/>
  <c r="Y81" i="1" s="1"/>
  <c r="Y82" i="1" s="1"/>
  <c r="Y83" i="1" s="1"/>
  <c r="Y84" i="1" s="1"/>
  <c r="Y85" i="1" s="1"/>
  <c r="Y86" i="1" s="1"/>
  <c r="Y87" i="1" s="1"/>
  <c r="Y88" i="1" s="1"/>
  <c r="Y89" i="1" s="1"/>
  <c r="Y90" i="1" s="1"/>
  <c r="Y91" i="1" s="1"/>
  <c r="Y92" i="1" s="1"/>
  <c r="Y93" i="1" s="1"/>
  <c r="Y94" i="1" s="1"/>
  <c r="Y95" i="1" s="1"/>
  <c r="Y3" i="3" s="1"/>
  <c r="Y6" i="3" l="1"/>
  <c r="Y7" i="3" s="1"/>
  <c r="Y8" i="3" s="1"/>
  <c r="Y9" i="3" s="1"/>
  <c r="Y10" i="3" s="1"/>
  <c r="Y11" i="3" s="1"/>
  <c r="Y12" i="3" s="1"/>
  <c r="Y13" i="3" s="1"/>
  <c r="Y14" i="3" s="1"/>
  <c r="Y15" i="3" s="1"/>
  <c r="Y16" i="3" s="1"/>
  <c r="Y17" i="3" s="1"/>
  <c r="Y18" i="3" s="1"/>
  <c r="Y19" i="3" s="1"/>
  <c r="Y20" i="3" s="1"/>
  <c r="Y21" i="3" s="1"/>
  <c r="Y22" i="3" s="1"/>
  <c r="Y23" i="3" s="1"/>
  <c r="Y24" i="3" s="1"/>
  <c r="Y25" i="3" s="1"/>
  <c r="Y26" i="3" s="1"/>
  <c r="Y27" i="3" s="1"/>
  <c r="Y28" i="3" s="1"/>
  <c r="Y29" i="3" s="1"/>
  <c r="Y30" i="3" s="1"/>
  <c r="Y31" i="3" s="1"/>
  <c r="Y32" i="3" s="1"/>
  <c r="Y33" i="3" s="1"/>
  <c r="Y34" i="3" s="1"/>
  <c r="Y35" i="3" s="1"/>
  <c r="Y36" i="3" s="1"/>
  <c r="Y37" i="3" s="1"/>
  <c r="Y38" i="3" s="1"/>
  <c r="Y39" i="3" s="1"/>
  <c r="Y40" i="3" s="1"/>
  <c r="Y41" i="3" s="1"/>
  <c r="Y42" i="3" s="1"/>
  <c r="Y43" i="3" s="1"/>
  <c r="Y44" i="3" s="1"/>
  <c r="Y45" i="3" s="1"/>
  <c r="Y46" i="3" s="1"/>
  <c r="Y47" i="3" s="1"/>
  <c r="Y48" i="3" s="1"/>
  <c r="Y49" i="3" s="1"/>
  <c r="Y50" i="3" s="1"/>
  <c r="Y51" i="3" s="1"/>
  <c r="Y52" i="3" s="1"/>
  <c r="Y53" i="3" s="1"/>
  <c r="Y54" i="3" s="1"/>
  <c r="Y55" i="3" s="1"/>
  <c r="Y56" i="3" s="1"/>
  <c r="Y57" i="3" s="1"/>
  <c r="Y58" i="3" s="1"/>
  <c r="Y59" i="3" s="1"/>
  <c r="Y60" i="3" s="1"/>
  <c r="Y61" i="3" s="1"/>
  <c r="Y62" i="3" s="1"/>
  <c r="Y63" i="3" s="1"/>
  <c r="Y64" i="3" s="1"/>
  <c r="Y65" i="3" s="1"/>
  <c r="Y66" i="3" s="1"/>
  <c r="Y67" i="3" s="1"/>
  <c r="Y68" i="3" s="1"/>
  <c r="Y69" i="3" s="1"/>
  <c r="Y70" i="3" s="1"/>
  <c r="Y71" i="3" s="1"/>
  <c r="Y72" i="3" s="1"/>
  <c r="Y73" i="3" s="1"/>
  <c r="Y74" i="3" s="1"/>
  <c r="Y75" i="3" s="1"/>
  <c r="Y76" i="3" s="1"/>
  <c r="Y77" i="3" s="1"/>
  <c r="Y78" i="3" s="1"/>
  <c r="Y79" i="3" s="1"/>
  <c r="Y80" i="3" s="1"/>
  <c r="Y81" i="3" s="1"/>
  <c r="Y82" i="3" s="1"/>
  <c r="Y83" i="3" s="1"/>
  <c r="Y84" i="3" s="1"/>
  <c r="Y85" i="3" s="1"/>
  <c r="Y86" i="3" s="1"/>
  <c r="Y87" i="3" s="1"/>
  <c r="Y88" i="3" s="1"/>
  <c r="Y89" i="3" s="1"/>
  <c r="Y90" i="3" s="1"/>
  <c r="Y91" i="3" s="1"/>
  <c r="Y92" i="3" s="1"/>
  <c r="Y93" i="3" s="1"/>
  <c r="Y94" i="3" s="1"/>
  <c r="Y95" i="3" s="1"/>
  <c r="Y3" i="4" s="1"/>
  <c r="M49" i="14"/>
  <c r="M51" i="14" s="1"/>
  <c r="N49" i="14" l="1"/>
  <c r="N51" i="14" s="1"/>
  <c r="Y6" i="4"/>
  <c r="Y7" i="4" s="1"/>
  <c r="Y8" i="4" s="1"/>
  <c r="Y9" i="4" s="1"/>
  <c r="Y10" i="4" s="1"/>
  <c r="Y11" i="4" s="1"/>
  <c r="Y12" i="4" s="1"/>
  <c r="Y13" i="4" s="1"/>
  <c r="Y14" i="4" s="1"/>
  <c r="Y15" i="4" s="1"/>
  <c r="Y16" i="4" s="1"/>
  <c r="Y17" i="4" s="1"/>
  <c r="Y18" i="4" s="1"/>
  <c r="Y19" i="4" s="1"/>
  <c r="Y20" i="4" s="1"/>
  <c r="Y21" i="4" s="1"/>
  <c r="Y22" i="4" s="1"/>
  <c r="Y23" i="4" s="1"/>
  <c r="Y24" i="4" s="1"/>
  <c r="Y25" i="4" s="1"/>
  <c r="Y26" i="4" s="1"/>
  <c r="Y27" i="4" s="1"/>
  <c r="Y28" i="4" s="1"/>
  <c r="Y29" i="4" s="1"/>
  <c r="Y30" i="4" s="1"/>
  <c r="Y31" i="4" s="1"/>
  <c r="Y32" i="4" s="1"/>
  <c r="Y33" i="4" s="1"/>
  <c r="Y34" i="4" s="1"/>
  <c r="Y35" i="4" s="1"/>
  <c r="Y36" i="4" s="1"/>
  <c r="Y37" i="4" s="1"/>
  <c r="Y38" i="4" s="1"/>
  <c r="Y39" i="4" s="1"/>
  <c r="Y40" i="4" s="1"/>
  <c r="Y41" i="4" s="1"/>
  <c r="Y42" i="4" s="1"/>
  <c r="Y43" i="4" s="1"/>
  <c r="Y44" i="4" s="1"/>
  <c r="Y45" i="4" s="1"/>
  <c r="Y46" i="4" s="1"/>
  <c r="Y47" i="4" s="1"/>
  <c r="Y48" i="4" s="1"/>
  <c r="Y49" i="4" s="1"/>
  <c r="Y50" i="4" s="1"/>
  <c r="Y51" i="4" s="1"/>
  <c r="Y52" i="4" s="1"/>
  <c r="Y53" i="4" s="1"/>
  <c r="Y54" i="4" s="1"/>
  <c r="Y55" i="4" s="1"/>
  <c r="Y56" i="4" s="1"/>
  <c r="Y57" i="4" s="1"/>
  <c r="Y58" i="4" s="1"/>
  <c r="Y59" i="4" s="1"/>
  <c r="Y60" i="4" s="1"/>
  <c r="Y61" i="4" s="1"/>
  <c r="Y62" i="4" s="1"/>
  <c r="Y63" i="4" s="1"/>
  <c r="Y64" i="4" s="1"/>
  <c r="Y65" i="4" s="1"/>
  <c r="Y66" i="4" s="1"/>
  <c r="Y67" i="4" s="1"/>
  <c r="Y68" i="4" s="1"/>
  <c r="Y69" i="4" s="1"/>
  <c r="Y70" i="4" s="1"/>
  <c r="Y71" i="4" s="1"/>
  <c r="Y72" i="4" s="1"/>
  <c r="Y73" i="4" s="1"/>
  <c r="Y74" i="4" s="1"/>
  <c r="Y75" i="4" s="1"/>
  <c r="Y76" i="4" s="1"/>
  <c r="Y77" i="4" s="1"/>
  <c r="Y78" i="4" s="1"/>
  <c r="Y79" i="4" s="1"/>
  <c r="Y80" i="4" s="1"/>
  <c r="Y81" i="4" s="1"/>
  <c r="Y82" i="4" s="1"/>
  <c r="Y83" i="4" s="1"/>
  <c r="Y84" i="4" s="1"/>
  <c r="Y85" i="4" s="1"/>
  <c r="Y86" i="4" s="1"/>
  <c r="Y87" i="4" s="1"/>
  <c r="Y88" i="4" s="1"/>
  <c r="Y89" i="4" s="1"/>
  <c r="Y90" i="4" s="1"/>
  <c r="Y91" i="4" s="1"/>
  <c r="Y92" i="4" s="1"/>
  <c r="Y93" i="4" s="1"/>
  <c r="Y94" i="4" s="1"/>
  <c r="Y95" i="4" s="1"/>
</calcChain>
</file>

<file path=xl/sharedStrings.xml><?xml version="1.0" encoding="utf-8"?>
<sst xmlns="http://schemas.openxmlformats.org/spreadsheetml/2006/main" count="1334" uniqueCount="115">
  <si>
    <t>Bank balance B/f</t>
  </si>
  <si>
    <t>Date</t>
  </si>
  <si>
    <t>Reference</t>
  </si>
  <si>
    <t>Amount</t>
  </si>
  <si>
    <t>Balance</t>
  </si>
  <si>
    <t>ExpA</t>
  </si>
  <si>
    <t>Inc1</t>
  </si>
  <si>
    <t>Inc2</t>
  </si>
  <si>
    <t>ExpB</t>
  </si>
  <si>
    <t>ExpC</t>
  </si>
  <si>
    <t>ExpD</t>
  </si>
  <si>
    <t>ExpE</t>
  </si>
  <si>
    <t>ExpF</t>
  </si>
  <si>
    <t>ExpG</t>
  </si>
  <si>
    <t>Int</t>
  </si>
  <si>
    <t>ExpH</t>
  </si>
  <si>
    <t>Choose Account</t>
  </si>
  <si>
    <t>Cash Book Totals</t>
  </si>
  <si>
    <t>Jan</t>
  </si>
  <si>
    <t>Feb</t>
  </si>
  <si>
    <t>Mar</t>
  </si>
  <si>
    <t>Apr</t>
  </si>
  <si>
    <t>May</t>
  </si>
  <si>
    <t>June</t>
  </si>
  <si>
    <t>July</t>
  </si>
  <si>
    <t>Aug</t>
  </si>
  <si>
    <t>Sept</t>
  </si>
  <si>
    <t>Oct</t>
  </si>
  <si>
    <t>Nov</t>
  </si>
  <si>
    <t>Dec</t>
  </si>
  <si>
    <t>Total</t>
  </si>
  <si>
    <t>Income</t>
  </si>
  <si>
    <t>Total Income</t>
  </si>
  <si>
    <t>Expenditure</t>
  </si>
  <si>
    <t>Total Expenditure</t>
  </si>
  <si>
    <t>Balance b/f</t>
  </si>
  <si>
    <t>profit/Loss</t>
  </si>
  <si>
    <t>Balance c/f</t>
  </si>
  <si>
    <t>Setup Instructions</t>
  </si>
  <si>
    <t>Customer or Supplier</t>
  </si>
  <si>
    <t>Cash Book January</t>
  </si>
  <si>
    <t>Cash Book February</t>
  </si>
  <si>
    <t>Cash Book March</t>
  </si>
  <si>
    <t>Cash Book April</t>
  </si>
  <si>
    <t>Cash Book May</t>
  </si>
  <si>
    <t>Cash Book June</t>
  </si>
  <si>
    <t>Cash Book July</t>
  </si>
  <si>
    <t>Cash Book August</t>
  </si>
  <si>
    <t>Cash Book September</t>
  </si>
  <si>
    <t>Cash Book October</t>
  </si>
  <si>
    <t>Cash Book November</t>
  </si>
  <si>
    <t>Cash Book December</t>
  </si>
  <si>
    <t>Bank Opening Balance</t>
  </si>
  <si>
    <t>Month</t>
  </si>
  <si>
    <t>January</t>
  </si>
  <si>
    <t>February</t>
  </si>
  <si>
    <t>March</t>
  </si>
  <si>
    <t>April</t>
  </si>
  <si>
    <t>August</t>
  </si>
  <si>
    <t>September</t>
  </si>
  <si>
    <t>October</t>
  </si>
  <si>
    <t>November</t>
  </si>
  <si>
    <t>December</t>
  </si>
  <si>
    <t>Profit/Loss</t>
  </si>
  <si>
    <t>Income 2</t>
  </si>
  <si>
    <t>Income 3</t>
  </si>
  <si>
    <t>Exp 2</t>
  </si>
  <si>
    <t>Exp 3</t>
  </si>
  <si>
    <t>Exp 4</t>
  </si>
  <si>
    <t>Exp 5</t>
  </si>
  <si>
    <t>Exp 6</t>
  </si>
  <si>
    <t>Exp 7</t>
  </si>
  <si>
    <t>Exp 8</t>
  </si>
  <si>
    <t>Exp 9</t>
  </si>
  <si>
    <t>Income 4</t>
  </si>
  <si>
    <t>Income 5</t>
  </si>
  <si>
    <t>Exp 10</t>
  </si>
  <si>
    <t>Exp 11</t>
  </si>
  <si>
    <t>Exp 12</t>
  </si>
  <si>
    <t>Exp 13</t>
  </si>
  <si>
    <t>Inc4</t>
  </si>
  <si>
    <t>Inc5</t>
  </si>
  <si>
    <t>ExpI</t>
  </si>
  <si>
    <t>ExpJ</t>
  </si>
  <si>
    <t>ExpK</t>
  </si>
  <si>
    <t>ExpL</t>
  </si>
  <si>
    <t>ExpM</t>
  </si>
  <si>
    <t>For example, if you complete work in July but don't get paid until August, enter the income in July. If you purchase something in July that is payable in August, enter the expense in July.</t>
  </si>
  <si>
    <t>Examples of income may include different types of services, this helps to track what you are selling.</t>
  </si>
  <si>
    <t>This is known as the Accruals basis (rather than cash basis) and helps to provide a more accurate picture of your business activities.</t>
  </si>
  <si>
    <t>These items form a picklist for you to choose from as you record your transactions in the monthly tabs.</t>
  </si>
  <si>
    <t>Be consistent with customer and supplier names</t>
  </si>
  <si>
    <t>This helps when reviewing activities at quarter or month end and allows transactions to be grouped together correctly</t>
  </si>
  <si>
    <t>For example - don't use 'Royal Mail' and 'Post Office'.  Use the same customer and supplier names throughout.</t>
  </si>
  <si>
    <t>Enter amounts including any VAT.</t>
  </si>
  <si>
    <t>If you transfer an opening balance into your new bank account, create an income type called 'Capital' and use that to record the transaction as an income.</t>
  </si>
  <si>
    <t>If you decide to withdraw any funds from your business bank account for personal use, set up an expense type for 'Drawings' and record the transaction</t>
  </si>
  <si>
    <t>If the balances do not match this is due to income that you have booked but not received payment for yet, or items that have been purchased but not yet paid for.  This is ok and expected.</t>
  </si>
  <si>
    <t>Keep dates consistent too (any format you like)</t>
  </si>
  <si>
    <t>You may need to add items that you see on your bank statement at the end of the month to this tracker, such as interest and bank charges, in order to make the amounts match.</t>
  </si>
  <si>
    <t>example, change as needed</t>
  </si>
  <si>
    <t>Enter your income and expenses in on the monthly tabs (Column A to D only) when they are incurred, not when the cash is received or paid</t>
  </si>
  <si>
    <t>At the end of each month check that the bank balance in the spreadsheet (Column Y) matches the one on your bank statement</t>
  </si>
  <si>
    <t>Leave this - keep the book starting from April - this helps for tax.</t>
  </si>
  <si>
    <t>Overwrite this list with your income and expense categories</t>
  </si>
  <si>
    <t>Category</t>
  </si>
  <si>
    <t>Overwrite the Category list in Col A on the next tab to reflect your different income and expenditure types</t>
  </si>
  <si>
    <t>Website Fees</t>
  </si>
  <si>
    <t>Shop Sales</t>
  </si>
  <si>
    <t>The first income and expenditure types have been changed for you as an example to 'Shop Sales' and 'Website Fees', you can overwrite these.  Do not add or remove any columns or rows, so keep to a max of 5 income types.</t>
  </si>
  <si>
    <t>Examples of expenses include items such as website fees, software subscriptions, telephone costs, and items purchased to run your business.  Make sure you include types for bank interest and charges.</t>
  </si>
  <si>
    <t>UPDATE THESE COLUMNS ONLY</t>
  </si>
  <si>
    <t>This assumes you have set up a separate bank account, which is strongly advised.  If you haven't, you can continue to use the spreadsheet as normal and ignore the bank balance at the end of each sheet</t>
  </si>
  <si>
    <t>If you have a separate business bank account, update this field with the bank balance at the start of your financial year</t>
  </si>
  <si>
    <t>Lucy's Tailored 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</si>
</sst>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006100"/>
      <name val="Calibri"/>
      <family val="2"/>
      <scheme val="minor"/>
    </font>
    <font>
      <b/>
      <sz val="18"/>
      <color theme="8"/>
      <name val="Calibri"/>
      <family val="2"/>
      <scheme val="minor"/>
    </font>
    <font>
      <b/>
      <sz val="16"/>
      <color theme="1"/>
      <name val="Calibri"/>
      <family val="2"/>
      <scheme val="minor"/>
    </font>
    <font>
      <b/>
      <sz val="14"/>
      <color theme="1"/>
      <name val="Calibri"/>
      <family val="2"/>
      <scheme val="minor"/>
    </font>
    <font>
      <b/>
      <sz val="18"/>
      <color theme="1"/>
      <name val="Calibri"/>
      <family val="2"/>
      <scheme val="minor"/>
    </font>
    <font>
      <sz val="11"/>
      <color rgb="FF9C0006"/>
      <name val="Calibri"/>
      <family val="2"/>
      <scheme val="minor"/>
    </font>
    <font>
      <b/>
      <sz val="11"/>
      <color theme="1"/>
      <name val="Calibri"/>
      <family val="2"/>
      <scheme val="minor"/>
    </font>
    <font>
      <b/>
      <i/>
      <sz val="14"/>
      <color rgb="FF006100"/>
      <name val="Calibri"/>
      <family val="2"/>
      <scheme val="minor"/>
    </font>
    <font>
      <b/>
      <sz val="11"/>
      <color indexed="8"/>
      <name val="Calibri"/>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E1FFE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6" fillId="3" borderId="0" applyNumberFormat="0" applyBorder="0" applyAlignment="0" applyProtection="0"/>
  </cellStyleXfs>
  <cellXfs count="42">
    <xf numFmtId="0" fontId="0" fillId="0" borderId="0" xfId="0"/>
    <xf numFmtId="2" fontId="0" fillId="0" borderId="1" xfId="0" applyNumberFormat="1" applyBorder="1"/>
    <xf numFmtId="2" fontId="0" fillId="0" borderId="0" xfId="0" applyNumberFormat="1"/>
    <xf numFmtId="0" fontId="2" fillId="0" borderId="0" xfId="0" applyFont="1"/>
    <xf numFmtId="2" fontId="0" fillId="0" borderId="2" xfId="0" applyNumberFormat="1" applyBorder="1"/>
    <xf numFmtId="0" fontId="0" fillId="0" borderId="2" xfId="0" applyBorder="1"/>
    <xf numFmtId="0" fontId="3" fillId="0" borderId="0" xfId="0" applyFont="1"/>
    <xf numFmtId="0" fontId="4" fillId="0" borderId="0" xfId="0" applyFont="1"/>
    <xf numFmtId="0" fontId="5" fillId="0" borderId="0" xfId="0" applyFont="1"/>
    <xf numFmtId="2" fontId="0" fillId="0" borderId="4" xfId="0" applyNumberFormat="1" applyBorder="1"/>
    <xf numFmtId="0" fontId="0" fillId="0" borderId="4" xfId="0" applyBorder="1"/>
    <xf numFmtId="0" fontId="0" fillId="0" borderId="1" xfId="0" applyBorder="1"/>
    <xf numFmtId="0" fontId="0" fillId="0" borderId="5" xfId="0" applyBorder="1"/>
    <xf numFmtId="2" fontId="0" fillId="0" borderId="5" xfId="0" applyNumberFormat="1" applyBorder="1"/>
    <xf numFmtId="0" fontId="1" fillId="2" borderId="0" xfId="1" applyProtection="1">
      <protection locked="0"/>
    </xf>
    <xf numFmtId="0" fontId="6" fillId="3" borderId="0" xfId="2" applyProtection="1">
      <protection locked="0"/>
    </xf>
    <xf numFmtId="0" fontId="7" fillId="0" borderId="1" xfId="0" applyFont="1" applyBorder="1"/>
    <xf numFmtId="0" fontId="7" fillId="0" borderId="4" xfId="0" applyFont="1" applyBorder="1"/>
    <xf numFmtId="2" fontId="7" fillId="0" borderId="1" xfId="0" applyNumberFormat="1" applyFont="1" applyBorder="1"/>
    <xf numFmtId="2" fontId="7" fillId="0" borderId="5" xfId="0" applyNumberFormat="1" applyFont="1" applyBorder="1"/>
    <xf numFmtId="2" fontId="7" fillId="0" borderId="4" xfId="0" applyNumberFormat="1" applyFont="1" applyBorder="1"/>
    <xf numFmtId="0" fontId="0" fillId="0" borderId="6" xfId="0" applyBorder="1"/>
    <xf numFmtId="0" fontId="8" fillId="2" borderId="3" xfId="1" applyFont="1" applyBorder="1"/>
    <xf numFmtId="2" fontId="0" fillId="0" borderId="7" xfId="0" applyNumberFormat="1" applyBorder="1"/>
    <xf numFmtId="4" fontId="1" fillId="2" borderId="0" xfId="1" applyNumberFormat="1"/>
    <xf numFmtId="0" fontId="1" fillId="2" borderId="0" xfId="1"/>
    <xf numFmtId="2" fontId="0" fillId="0" borderId="6" xfId="0" applyNumberFormat="1" applyBorder="1"/>
    <xf numFmtId="0" fontId="7" fillId="0" borderId="0" xfId="0" applyFont="1"/>
    <xf numFmtId="14" fontId="0" fillId="4" borderId="1" xfId="0" applyNumberFormat="1" applyFill="1" applyBorder="1" applyProtection="1">
      <protection locked="0"/>
    </xf>
    <xf numFmtId="0" fontId="0" fillId="4" borderId="1" xfId="0" applyFill="1" applyBorder="1" applyProtection="1">
      <protection locked="0"/>
    </xf>
    <xf numFmtId="49" fontId="0" fillId="4" borderId="1" xfId="0" applyNumberFormat="1" applyFill="1" applyBorder="1" applyProtection="1">
      <protection locked="0"/>
    </xf>
    <xf numFmtId="2" fontId="0" fillId="4" borderId="1" xfId="0" applyNumberFormat="1" applyFill="1" applyBorder="1" applyProtection="1">
      <protection locked="0"/>
    </xf>
    <xf numFmtId="0" fontId="7" fillId="4" borderId="1" xfId="0" applyFont="1" applyFill="1" applyBorder="1"/>
    <xf numFmtId="0" fontId="7" fillId="4" borderId="1" xfId="0" applyFont="1" applyFill="1" applyBorder="1" applyAlignment="1">
      <alignment wrapText="1"/>
    </xf>
    <xf numFmtId="0" fontId="9" fillId="4" borderId="1" xfId="0" applyFont="1" applyFill="1" applyBorder="1"/>
    <xf numFmtId="0" fontId="9" fillId="4" borderId="1" xfId="0" applyFont="1" applyFill="1" applyBorder="1" applyAlignment="1">
      <alignment wrapText="1"/>
    </xf>
    <xf numFmtId="0" fontId="7" fillId="4" borderId="6" xfId="0" applyFont="1" applyFill="1" applyBorder="1" applyAlignment="1">
      <alignment horizontal="center"/>
    </xf>
    <xf numFmtId="0" fontId="7" fillId="4" borderId="8" xfId="0" applyFont="1" applyFill="1" applyBorder="1" applyAlignment="1">
      <alignment horizontal="center"/>
    </xf>
    <xf numFmtId="0" fontId="7" fillId="4" borderId="4" xfId="0" applyFont="1" applyFill="1" applyBorder="1" applyAlignment="1">
      <alignment horizontal="center"/>
    </xf>
    <xf numFmtId="0" fontId="9" fillId="4" borderId="6" xfId="0" applyFont="1" applyFill="1" applyBorder="1" applyAlignment="1">
      <alignment horizontal="center"/>
    </xf>
    <xf numFmtId="0" fontId="9" fillId="4" borderId="8" xfId="0" applyFont="1" applyFill="1" applyBorder="1" applyAlignment="1">
      <alignment horizontal="center"/>
    </xf>
    <xf numFmtId="0" fontId="9" fillId="4" borderId="4" xfId="0" applyFont="1" applyFill="1" applyBorder="1" applyAlignment="1">
      <alignment horizontal="center"/>
    </xf>
  </cellXfs>
  <cellStyles count="3">
    <cellStyle name="Bad" xfId="2" builtinId="27"/>
    <cellStyle name="Good" xfId="1" builtinId="26"/>
    <cellStyle name="Normal" xfId="0" builtinId="0"/>
  </cellStyles>
  <dxfs count="0"/>
  <tableStyles count="0" defaultTableStyle="TableStyleMedium2" defaultPivotStyle="PivotStyleLight16"/>
  <colors>
    <mruColors>
      <color rgb="FFE1FFE1"/>
      <color rgb="FFCCFFCC"/>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abSelected="1" workbookViewId="0">
      <selection activeCell="C8" sqref="C8"/>
    </sheetView>
  </sheetViews>
  <sheetFormatPr defaultRowHeight="15" x14ac:dyDescent="0.25"/>
  <cols>
    <col min="1" max="1" width="3.7109375" customWidth="1"/>
    <col min="2" max="2" width="22.28515625" customWidth="1"/>
    <col min="3" max="3" width="26.140625" customWidth="1"/>
  </cols>
  <sheetData>
    <row r="1" spans="1:4" ht="18.75" x14ac:dyDescent="0.3">
      <c r="A1" s="7" t="s">
        <v>38</v>
      </c>
    </row>
    <row r="2" spans="1:4" ht="15.75" customHeight="1" thickBot="1" x14ac:dyDescent="0.35">
      <c r="A2" s="7"/>
    </row>
    <row r="3" spans="1:4" ht="28.5" customHeight="1" thickBot="1" x14ac:dyDescent="0.35">
      <c r="C3" s="22" t="s">
        <v>114</v>
      </c>
    </row>
    <row r="6" spans="1:4" x14ac:dyDescent="0.25">
      <c r="B6" t="s">
        <v>52</v>
      </c>
      <c r="C6" s="24">
        <v>0</v>
      </c>
      <c r="D6" t="s">
        <v>113</v>
      </c>
    </row>
    <row r="7" spans="1:4" x14ac:dyDescent="0.25">
      <c r="B7" t="s">
        <v>53</v>
      </c>
      <c r="C7" s="25" t="s">
        <v>57</v>
      </c>
      <c r="D7" t="s">
        <v>103</v>
      </c>
    </row>
    <row r="10" spans="1:4" ht="21" x14ac:dyDescent="0.35">
      <c r="A10" s="6" t="s">
        <v>106</v>
      </c>
    </row>
    <row r="11" spans="1:4" x14ac:dyDescent="0.25">
      <c r="B11" t="s">
        <v>109</v>
      </c>
    </row>
    <row r="12" spans="1:4" x14ac:dyDescent="0.25">
      <c r="B12" t="s">
        <v>88</v>
      </c>
    </row>
    <row r="13" spans="1:4" x14ac:dyDescent="0.25">
      <c r="B13" t="s">
        <v>110</v>
      </c>
    </row>
    <row r="14" spans="1:4" x14ac:dyDescent="0.25">
      <c r="B14" t="s">
        <v>90</v>
      </c>
    </row>
    <row r="16" spans="1:4" ht="21" x14ac:dyDescent="0.35">
      <c r="A16" s="6" t="s">
        <v>101</v>
      </c>
    </row>
    <row r="17" spans="1:2" x14ac:dyDescent="0.25">
      <c r="B17" t="s">
        <v>89</v>
      </c>
    </row>
    <row r="18" spans="1:2" x14ac:dyDescent="0.25">
      <c r="B18" t="s">
        <v>87</v>
      </c>
    </row>
    <row r="19" spans="1:2" x14ac:dyDescent="0.25">
      <c r="B19" t="s">
        <v>96</v>
      </c>
    </row>
    <row r="20" spans="1:2" x14ac:dyDescent="0.25">
      <c r="B20" t="s">
        <v>94</v>
      </c>
    </row>
    <row r="22" spans="1:2" ht="21" x14ac:dyDescent="0.35">
      <c r="A22" s="6" t="s">
        <v>102</v>
      </c>
    </row>
    <row r="23" spans="1:2" x14ac:dyDescent="0.25">
      <c r="B23" t="s">
        <v>112</v>
      </c>
    </row>
    <row r="24" spans="1:2" x14ac:dyDescent="0.25">
      <c r="B24" t="s">
        <v>95</v>
      </c>
    </row>
    <row r="25" spans="1:2" x14ac:dyDescent="0.25">
      <c r="B25" t="s">
        <v>99</v>
      </c>
    </row>
    <row r="26" spans="1:2" x14ac:dyDescent="0.25">
      <c r="B26" t="s">
        <v>97</v>
      </c>
    </row>
    <row r="28" spans="1:2" ht="21" x14ac:dyDescent="0.35">
      <c r="A28" s="6" t="s">
        <v>91</v>
      </c>
    </row>
    <row r="29" spans="1:2" x14ac:dyDescent="0.25">
      <c r="B29" t="s">
        <v>92</v>
      </c>
    </row>
    <row r="30" spans="1:2" x14ac:dyDescent="0.25">
      <c r="B30" t="s">
        <v>93</v>
      </c>
    </row>
    <row r="31" spans="1:2" x14ac:dyDescent="0.25">
      <c r="B31" t="s">
        <v>98</v>
      </c>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1">
        <x14:dataValidation type="list" showInputMessage="1" showErrorMessage="1" xr:uid="{00000000-0002-0000-0000-000000000000}">
          <x14:formula1>
            <xm:f>Categories!$A$22:$A$33</xm:f>
          </x14:formula1>
          <xm:sqref>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3"/>
  <sheetViews>
    <sheetView workbookViewId="0">
      <selection activeCell="A3" sqref="A3"/>
    </sheetView>
  </sheetViews>
  <sheetFormatPr defaultRowHeight="15" x14ac:dyDescent="0.25"/>
  <cols>
    <col min="1" max="1" width="16.85546875" customWidth="1"/>
    <col min="2" max="2" width="9.140625" hidden="1" customWidth="1"/>
  </cols>
  <sheetData>
    <row r="1" spans="1:3" x14ac:dyDescent="0.25">
      <c r="A1" s="27" t="s">
        <v>104</v>
      </c>
    </row>
    <row r="2" spans="1:3" x14ac:dyDescent="0.25">
      <c r="A2" s="14" t="s">
        <v>108</v>
      </c>
      <c r="B2" t="s">
        <v>6</v>
      </c>
      <c r="C2" t="s">
        <v>100</v>
      </c>
    </row>
    <row r="3" spans="1:3" x14ac:dyDescent="0.25">
      <c r="A3" s="14" t="s">
        <v>64</v>
      </c>
      <c r="B3" t="s">
        <v>7</v>
      </c>
    </row>
    <row r="4" spans="1:3" x14ac:dyDescent="0.25">
      <c r="A4" s="14" t="s">
        <v>65</v>
      </c>
      <c r="B4" t="s">
        <v>14</v>
      </c>
    </row>
    <row r="5" spans="1:3" x14ac:dyDescent="0.25">
      <c r="A5" s="14" t="s">
        <v>74</v>
      </c>
      <c r="B5" t="s">
        <v>80</v>
      </c>
    </row>
    <row r="6" spans="1:3" x14ac:dyDescent="0.25">
      <c r="A6" s="14" t="s">
        <v>75</v>
      </c>
      <c r="B6" t="s">
        <v>81</v>
      </c>
    </row>
    <row r="7" spans="1:3" x14ac:dyDescent="0.25">
      <c r="A7" s="15" t="s">
        <v>107</v>
      </c>
      <c r="B7" t="s">
        <v>5</v>
      </c>
      <c r="C7" t="s">
        <v>100</v>
      </c>
    </row>
    <row r="8" spans="1:3" x14ac:dyDescent="0.25">
      <c r="A8" s="15" t="s">
        <v>66</v>
      </c>
      <c r="B8" t="s">
        <v>8</v>
      </c>
    </row>
    <row r="9" spans="1:3" x14ac:dyDescent="0.25">
      <c r="A9" s="15" t="s">
        <v>67</v>
      </c>
      <c r="B9" t="s">
        <v>9</v>
      </c>
    </row>
    <row r="10" spans="1:3" x14ac:dyDescent="0.25">
      <c r="A10" s="15" t="s">
        <v>68</v>
      </c>
      <c r="B10" t="s">
        <v>10</v>
      </c>
    </row>
    <row r="11" spans="1:3" x14ac:dyDescent="0.25">
      <c r="A11" s="15" t="s">
        <v>69</v>
      </c>
      <c r="B11" t="s">
        <v>11</v>
      </c>
    </row>
    <row r="12" spans="1:3" x14ac:dyDescent="0.25">
      <c r="A12" s="15" t="s">
        <v>70</v>
      </c>
      <c r="B12" t="s">
        <v>12</v>
      </c>
    </row>
    <row r="13" spans="1:3" x14ac:dyDescent="0.25">
      <c r="A13" s="15" t="s">
        <v>71</v>
      </c>
      <c r="B13" t="s">
        <v>13</v>
      </c>
    </row>
    <row r="14" spans="1:3" x14ac:dyDescent="0.25">
      <c r="A14" s="15" t="s">
        <v>72</v>
      </c>
      <c r="B14" t="s">
        <v>15</v>
      </c>
    </row>
    <row r="15" spans="1:3" x14ac:dyDescent="0.25">
      <c r="A15" s="15" t="s">
        <v>73</v>
      </c>
      <c r="B15" t="s">
        <v>82</v>
      </c>
    </row>
    <row r="16" spans="1:3" x14ac:dyDescent="0.25">
      <c r="A16" s="15" t="s">
        <v>76</v>
      </c>
      <c r="B16" t="s">
        <v>83</v>
      </c>
    </row>
    <row r="17" spans="1:2" x14ac:dyDescent="0.25">
      <c r="A17" s="15" t="s">
        <v>77</v>
      </c>
      <c r="B17" t="s">
        <v>84</v>
      </c>
    </row>
    <row r="18" spans="1:2" x14ac:dyDescent="0.25">
      <c r="A18" s="15" t="s">
        <v>78</v>
      </c>
      <c r="B18" t="s">
        <v>85</v>
      </c>
    </row>
    <row r="19" spans="1:2" x14ac:dyDescent="0.25">
      <c r="A19" s="15" t="s">
        <v>79</v>
      </c>
      <c r="B19" t="s">
        <v>86</v>
      </c>
    </row>
    <row r="21" spans="1:2" hidden="1" x14ac:dyDescent="0.25"/>
    <row r="22" spans="1:2" hidden="1" x14ac:dyDescent="0.25">
      <c r="A22" t="s">
        <v>54</v>
      </c>
    </row>
    <row r="23" spans="1:2" hidden="1" x14ac:dyDescent="0.25">
      <c r="A23" t="s">
        <v>55</v>
      </c>
    </row>
    <row r="24" spans="1:2" hidden="1" x14ac:dyDescent="0.25">
      <c r="A24" t="s">
        <v>56</v>
      </c>
    </row>
    <row r="25" spans="1:2" hidden="1" x14ac:dyDescent="0.25">
      <c r="A25" t="s">
        <v>57</v>
      </c>
    </row>
    <row r="26" spans="1:2" hidden="1" x14ac:dyDescent="0.25">
      <c r="A26" t="s">
        <v>22</v>
      </c>
    </row>
    <row r="27" spans="1:2" hidden="1" x14ac:dyDescent="0.25">
      <c r="A27" t="s">
        <v>23</v>
      </c>
    </row>
    <row r="28" spans="1:2" hidden="1" x14ac:dyDescent="0.25">
      <c r="A28" t="s">
        <v>24</v>
      </c>
    </row>
    <row r="29" spans="1:2" hidden="1" x14ac:dyDescent="0.25">
      <c r="A29" t="s">
        <v>58</v>
      </c>
    </row>
    <row r="30" spans="1:2" hidden="1" x14ac:dyDescent="0.25">
      <c r="A30" t="s">
        <v>59</v>
      </c>
    </row>
    <row r="31" spans="1:2" hidden="1" x14ac:dyDescent="0.25">
      <c r="A31" t="s">
        <v>60</v>
      </c>
    </row>
    <row r="32" spans="1:2" hidden="1" x14ac:dyDescent="0.25">
      <c r="A32" t="s">
        <v>61</v>
      </c>
    </row>
    <row r="33" spans="1:1" hidden="1" x14ac:dyDescent="0.25">
      <c r="A33" t="s">
        <v>62</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Y96"/>
  <sheetViews>
    <sheetView workbookViewId="0">
      <pane xSplit="6" ySplit="5" topLeftCell="G6" activePane="bottomRight" state="frozen"/>
      <selection pane="topRight" activeCell="G1" sqref="G1"/>
      <selection pane="bottomLeft" activeCell="A6" sqref="A6"/>
      <selection pane="bottomRight" activeCell="B78" sqref="B78"/>
    </sheetView>
  </sheetViews>
  <sheetFormatPr defaultRowHeight="15" x14ac:dyDescent="0.25"/>
  <cols>
    <col min="1" max="1" width="13.42578125" customWidth="1"/>
    <col min="2" max="2" width="13.7109375" customWidth="1"/>
    <col min="3" max="3" width="12" customWidth="1"/>
    <col min="5" max="5" width="15.28515625" customWidth="1"/>
    <col min="6" max="6" width="12.7109375" hidden="1" customWidth="1"/>
    <col min="7" max="25" width="11.7109375" customWidth="1"/>
  </cols>
  <sheetData>
    <row r="1" spans="1:25" ht="23.25" x14ac:dyDescent="0.35">
      <c r="A1" s="3" t="s">
        <v>43</v>
      </c>
      <c r="D1" s="8" t="str">
        <f>Instructions!C3</f>
        <v>Lucy's Tailored Tails</v>
      </c>
      <c r="Y1" s="9"/>
    </row>
    <row r="2" spans="1:25" ht="15" customHeight="1" x14ac:dyDescent="0.35">
      <c r="A2" s="3"/>
      <c r="D2" s="8"/>
      <c r="Y2" s="9"/>
    </row>
    <row r="3" spans="1:25" x14ac:dyDescent="0.25">
      <c r="R3" t="s">
        <v>0</v>
      </c>
      <c r="Y3" s="9">
        <f>IF(Instructions!C7="April",Instructions!C6,Mar!Y95)</f>
        <v>0</v>
      </c>
    </row>
    <row r="4" spans="1:25" x14ac:dyDescent="0.25">
      <c r="A4" s="36" t="s">
        <v>111</v>
      </c>
      <c r="B4" s="37"/>
      <c r="C4" s="37"/>
      <c r="D4" s="37"/>
      <c r="E4" s="38"/>
      <c r="F4" s="12"/>
      <c r="G4" s="17" t="s">
        <v>31</v>
      </c>
      <c r="H4" s="11"/>
      <c r="I4" s="11"/>
      <c r="J4" s="11"/>
      <c r="K4" s="12"/>
      <c r="L4" s="17" t="s">
        <v>33</v>
      </c>
      <c r="M4" s="11"/>
      <c r="N4" s="11"/>
      <c r="O4" s="11"/>
      <c r="P4" s="11"/>
      <c r="Q4" s="11"/>
      <c r="R4" s="11"/>
      <c r="S4" s="11"/>
      <c r="T4" s="11"/>
      <c r="U4" s="11"/>
      <c r="V4" s="11"/>
      <c r="W4" s="21"/>
      <c r="X4" s="12"/>
      <c r="Y4" s="10"/>
    </row>
    <row r="5" spans="1:25" ht="30" x14ac:dyDescent="0.25">
      <c r="A5" s="32" t="s">
        <v>1</v>
      </c>
      <c r="B5" s="33" t="s">
        <v>39</v>
      </c>
      <c r="C5" s="32" t="s">
        <v>2</v>
      </c>
      <c r="D5" s="32" t="s">
        <v>3</v>
      </c>
      <c r="E5" s="32" t="s">
        <v>105</v>
      </c>
      <c r="F5" s="12"/>
      <c r="G5" s="10" t="str">
        <f>Categories!A2</f>
        <v>Shop Sales</v>
      </c>
      <c r="H5" s="11" t="str">
        <f>Categories!A3</f>
        <v>Income 2</v>
      </c>
      <c r="I5" s="11" t="str">
        <f>Categories!A4</f>
        <v>Income 3</v>
      </c>
      <c r="J5" s="11" t="str">
        <f>Categories!A5</f>
        <v>Income 4</v>
      </c>
      <c r="K5" s="12" t="str">
        <f>Categories!A6</f>
        <v>Income 5</v>
      </c>
      <c r="L5" s="10" t="str">
        <f>Categories!A7</f>
        <v>Website Fees</v>
      </c>
      <c r="M5" s="11" t="str">
        <f>Categories!A8</f>
        <v>Exp 2</v>
      </c>
      <c r="N5" s="11" t="str">
        <f>Categories!A9</f>
        <v>Exp 3</v>
      </c>
      <c r="O5" s="11" t="str">
        <f>Categories!A10</f>
        <v>Exp 4</v>
      </c>
      <c r="P5" s="11" t="str">
        <f>Categories!A11</f>
        <v>Exp 5</v>
      </c>
      <c r="Q5" s="11" t="str">
        <f>Categories!A12</f>
        <v>Exp 6</v>
      </c>
      <c r="R5" s="11" t="str">
        <f>Categories!A13</f>
        <v>Exp 7</v>
      </c>
      <c r="S5" s="11" t="str">
        <f>Categories!A14</f>
        <v>Exp 8</v>
      </c>
      <c r="T5" s="11" t="str">
        <f>Categories!A15</f>
        <v>Exp 9</v>
      </c>
      <c r="U5" s="11" t="str">
        <f>Categories!A16</f>
        <v>Exp 10</v>
      </c>
      <c r="V5" s="11" t="str">
        <f>Categories!A17</f>
        <v>Exp 11</v>
      </c>
      <c r="W5" s="21" t="str">
        <f>Categories!A18</f>
        <v>Exp 12</v>
      </c>
      <c r="X5" s="12" t="str">
        <f>Categories!A19</f>
        <v>Exp 13</v>
      </c>
      <c r="Y5" s="10" t="s">
        <v>4</v>
      </c>
    </row>
    <row r="6" spans="1:25" x14ac:dyDescent="0.25">
      <c r="A6" s="28"/>
      <c r="B6" s="29"/>
      <c r="C6" s="30"/>
      <c r="D6" s="31"/>
      <c r="E6" s="29" t="s">
        <v>16</v>
      </c>
      <c r="F6" s="13" t="b">
        <f>IF($E6=Categories!$A$1,"",IF($E6=Categories!$A$2,Categories!$B$2,IF($E6=Categories!$A$3,Categories!$B$3,IF($E6=Categories!$A$4,Categories!$B$4,IF($E6=Categories!$A$5,Categories!$B$5,IF($E6=Categories!$A$6,Categories!$B$6,IF($E6=Categories!$A$7,Categories!$B$7,IF($E6=Categories!$A$8,Categories!$B$8,IF($E6=Categories!$A$9,Categories!$B$9,IF($E6=Categories!$A$10,Categories!$B$10,IF($E6=Categories!$A$11,Categories!$B$11,IF($E6=Categories!$A$12,Categories!$B$12,IF($E6=Categories!$A$13,Categories!$B$13,IF($E6=Categories!$A$14,Categories!$B$14,IF($E6=Categories!$A$15,Categories!$B$15,IF($E6=Categories!$A$16,Categories!$B$16,IF($E6=Categories!$A$17,Categories!$B$17,IF($E6=Categories!$A$18,Categories!$B$18,IF($E6=Categories!$A$19,Categories!$B$19)))))))))))))))))))</f>
        <v>0</v>
      </c>
      <c r="G6" s="9" t="str">
        <f>IF($F6="Inc1",$D6,"")</f>
        <v/>
      </c>
      <c r="H6" s="1" t="str">
        <f>IF($F6="Inc2",$D6,"")</f>
        <v/>
      </c>
      <c r="I6" s="1" t="str">
        <f>IF($F6="Int",$D6,"")</f>
        <v/>
      </c>
      <c r="J6" s="1" t="str">
        <f>IF($F6="Inc4",$D6,"")</f>
        <v/>
      </c>
      <c r="K6" s="13" t="str">
        <f>IF($F6="Inc5",$D6,"")</f>
        <v/>
      </c>
      <c r="L6" s="9" t="str">
        <f>IF($F6="ExpA",$D6,"")</f>
        <v/>
      </c>
      <c r="M6" s="1" t="str">
        <f>IF($F6="ExpB",$D6,"")</f>
        <v/>
      </c>
      <c r="N6" s="1" t="str">
        <f>IF($F6="ExpC",$D6,"")</f>
        <v/>
      </c>
      <c r="O6" s="1" t="str">
        <f>IF($F6="ExpD",$D6,"")</f>
        <v/>
      </c>
      <c r="P6" s="1" t="str">
        <f>IF($F6="ExpE",$D6,"")</f>
        <v/>
      </c>
      <c r="Q6" s="1" t="str">
        <f>IF($F6="ExpF",$D6,"")</f>
        <v/>
      </c>
      <c r="R6" s="1" t="str">
        <f>IF($F6="ExpG",$D6,"")</f>
        <v/>
      </c>
      <c r="S6" s="1" t="str">
        <f>IF($F6="ExpH",$D6,"")</f>
        <v/>
      </c>
      <c r="T6" s="1" t="str">
        <f>IF($F6="ExpI",$D6,"")</f>
        <v/>
      </c>
      <c r="U6" s="1" t="str">
        <f>IF($F6="ExpJ",$D6,"")</f>
        <v/>
      </c>
      <c r="V6" s="1" t="str">
        <f>IF($F6="ExpK",$D6,"")</f>
        <v/>
      </c>
      <c r="W6" s="26" t="str">
        <f>IF($F6="ExpL",$D6,"")</f>
        <v/>
      </c>
      <c r="X6" s="13" t="str">
        <f>IF($F6="Expm",$D6,"")</f>
        <v/>
      </c>
      <c r="Y6" s="9">
        <f>$Y$3+SUM(G6:K6)-SUM(L6:X6)</f>
        <v>0</v>
      </c>
    </row>
    <row r="7" spans="1:25" x14ac:dyDescent="0.25">
      <c r="A7" s="28"/>
      <c r="B7" s="29"/>
      <c r="C7" s="30"/>
      <c r="D7" s="31"/>
      <c r="E7" s="29" t="s">
        <v>16</v>
      </c>
      <c r="F7" s="13" t="b">
        <f>IF($E7=Categories!$A$1,"",IF($E7=Categories!$A$2,Categories!$B$2,IF($E7=Categories!$A$3,Categories!$B$3,IF($E7=Categories!$A$4,Categories!$B$4,IF($E7=Categories!$A$5,Categories!$B$5,IF($E7=Categories!$A$6,Categories!$B$6,IF($E7=Categories!$A$7,Categories!$B$7,IF($E7=Categories!$A$8,Categories!$B$8,IF($E7=Categories!$A$9,Categories!$B$9,IF($E7=Categories!$A$10,Categories!$B$10,IF($E7=Categories!$A$11,Categories!$B$11,IF($E7=Categories!$A$12,Categories!$B$12,IF($E7=Categories!$A$13,Categories!$B$13,IF($E7=Categories!$A$14,Categories!$B$14,IF($E7=Categories!$A$15,Categories!$B$15,IF($E7=Categories!$A$16,Categories!$B$16,IF($E7=Categories!$A$17,Categories!$B$17,IF($E7=Categories!$A$18,Categories!$B$18,IF($E7=Categories!$A$19,Categories!$B$19)))))))))))))))))))</f>
        <v>0</v>
      </c>
      <c r="G7" s="9" t="str">
        <f t="shared" ref="G7:G70" si="0">IF($F7="Inc1",$D7,"")</f>
        <v/>
      </c>
      <c r="H7" s="1" t="str">
        <f t="shared" ref="H7:H70" si="1">IF($F7="Inc2",$D7,"")</f>
        <v/>
      </c>
      <c r="I7" s="1" t="str">
        <f t="shared" ref="I7:I70" si="2">IF($F7="Int",$D7,"")</f>
        <v/>
      </c>
      <c r="J7" s="1" t="str">
        <f t="shared" ref="J7:J70" si="3">IF($F7="Inc4",$D7,"")</f>
        <v/>
      </c>
      <c r="K7" s="13" t="str">
        <f t="shared" ref="K7:K70" si="4">IF($F7="Inc5",$D7,"")</f>
        <v/>
      </c>
      <c r="L7" s="9" t="str">
        <f t="shared" ref="L7:L70" si="5">IF($F7="ExpA",$D7,"")</f>
        <v/>
      </c>
      <c r="M7" s="1" t="str">
        <f t="shared" ref="M7:M70" si="6">IF($F7="ExpB",$D7,"")</f>
        <v/>
      </c>
      <c r="N7" s="1" t="str">
        <f t="shared" ref="N7:N70" si="7">IF($F7="ExpC",$D7,"")</f>
        <v/>
      </c>
      <c r="O7" s="1" t="str">
        <f t="shared" ref="O7:O70" si="8">IF($F7="ExpD",$D7,"")</f>
        <v/>
      </c>
      <c r="P7" s="1" t="str">
        <f t="shared" ref="P7:P70" si="9">IF($F7="ExpE",$D7,"")</f>
        <v/>
      </c>
      <c r="Q7" s="1" t="str">
        <f t="shared" ref="Q7:Q70" si="10">IF($F7="ExpF",$D7,"")</f>
        <v/>
      </c>
      <c r="R7" s="1" t="str">
        <f t="shared" ref="R7:R70" si="11">IF($F7="ExpG",$D7,"")</f>
        <v/>
      </c>
      <c r="S7" s="1" t="str">
        <f t="shared" ref="S7:S70" si="12">IF($F7="ExpH",$D7,"")</f>
        <v/>
      </c>
      <c r="T7" s="1" t="str">
        <f t="shared" ref="T7:T70" si="13">IF($F7="ExpI",$D7,"")</f>
        <v/>
      </c>
      <c r="U7" s="1" t="str">
        <f t="shared" ref="U7:U70" si="14">IF($F7="ExpJ",$D7,"")</f>
        <v/>
      </c>
      <c r="V7" s="1" t="str">
        <f t="shared" ref="V7:V70" si="15">IF($F7="ExpK",$D7,"")</f>
        <v/>
      </c>
      <c r="W7" s="26" t="str">
        <f t="shared" ref="W7:W70" si="16">IF($F7="ExpL",$D7,"")</f>
        <v/>
      </c>
      <c r="X7" s="13" t="str">
        <f t="shared" ref="X7:X70" si="17">IF($F7="Expm",$D7,"")</f>
        <v/>
      </c>
      <c r="Y7" s="9">
        <f>Y6+SUM(G7:K7)-SUM(L7:X7)</f>
        <v>0</v>
      </c>
    </row>
    <row r="8" spans="1:25" x14ac:dyDescent="0.25">
      <c r="A8" s="28"/>
      <c r="B8" s="29"/>
      <c r="C8" s="30"/>
      <c r="D8" s="31"/>
      <c r="E8" s="29" t="s">
        <v>16</v>
      </c>
      <c r="F8" s="13" t="b">
        <f>IF($E8=Categories!$A$1,"",IF($E8=Categories!$A$2,Categories!$B$2,IF($E8=Categories!$A$3,Categories!$B$3,IF($E8=Categories!$A$4,Categories!$B$4,IF($E8=Categories!$A$5,Categories!$B$5,IF($E8=Categories!$A$6,Categories!$B$6,IF($E8=Categories!$A$7,Categories!$B$7,IF($E8=Categories!$A$8,Categories!$B$8,IF($E8=Categories!$A$9,Categories!$B$9,IF($E8=Categories!$A$10,Categories!$B$10,IF($E8=Categories!$A$11,Categories!$B$11,IF($E8=Categories!$A$12,Categories!$B$12,IF($E8=Categories!$A$13,Categories!$B$13,IF($E8=Categories!$A$14,Categories!$B$14,IF($E8=Categories!$A$15,Categories!$B$15,IF($E8=Categories!$A$16,Categories!$B$16,IF($E8=Categories!$A$17,Categories!$B$17,IF($E8=Categories!$A$18,Categories!$B$18,IF($E8=Categories!$A$19,Categories!$B$19)))))))))))))))))))</f>
        <v>0</v>
      </c>
      <c r="G8" s="9" t="str">
        <f t="shared" si="0"/>
        <v/>
      </c>
      <c r="H8" s="1" t="str">
        <f t="shared" si="1"/>
        <v/>
      </c>
      <c r="I8" s="1" t="str">
        <f t="shared" si="2"/>
        <v/>
      </c>
      <c r="J8" s="1" t="str">
        <f t="shared" si="3"/>
        <v/>
      </c>
      <c r="K8" s="13" t="str">
        <f t="shared" si="4"/>
        <v/>
      </c>
      <c r="L8" s="9" t="str">
        <f t="shared" si="5"/>
        <v/>
      </c>
      <c r="M8" s="1" t="str">
        <f t="shared" si="6"/>
        <v/>
      </c>
      <c r="N8" s="1" t="str">
        <f t="shared" si="7"/>
        <v/>
      </c>
      <c r="O8" s="1" t="str">
        <f t="shared" si="8"/>
        <v/>
      </c>
      <c r="P8" s="1" t="str">
        <f t="shared" si="9"/>
        <v/>
      </c>
      <c r="Q8" s="1" t="str">
        <f t="shared" si="10"/>
        <v/>
      </c>
      <c r="R8" s="1" t="str">
        <f t="shared" si="11"/>
        <v/>
      </c>
      <c r="S8" s="1" t="str">
        <f t="shared" si="12"/>
        <v/>
      </c>
      <c r="T8" s="1" t="str">
        <f t="shared" si="13"/>
        <v/>
      </c>
      <c r="U8" s="1" t="str">
        <f t="shared" si="14"/>
        <v/>
      </c>
      <c r="V8" s="1" t="str">
        <f t="shared" si="15"/>
        <v/>
      </c>
      <c r="W8" s="26" t="str">
        <f t="shared" si="16"/>
        <v/>
      </c>
      <c r="X8" s="13" t="str">
        <f t="shared" si="17"/>
        <v/>
      </c>
      <c r="Y8" s="9">
        <f t="shared" ref="Y8:Y71" si="18">Y7+SUM(G8:K8)-SUM(L8:X8)</f>
        <v>0</v>
      </c>
    </row>
    <row r="9" spans="1:25" x14ac:dyDescent="0.25">
      <c r="A9" s="28"/>
      <c r="B9" s="29"/>
      <c r="C9" s="30"/>
      <c r="D9" s="31"/>
      <c r="E9" s="29" t="s">
        <v>16</v>
      </c>
      <c r="F9" s="13" t="b">
        <f>IF($E9=Categories!$A$1,"",IF($E9=Categories!$A$2,Categories!$B$2,IF($E9=Categories!$A$3,Categories!$B$3,IF($E9=Categories!$A$4,Categories!$B$4,IF($E9=Categories!$A$5,Categories!$B$5,IF($E9=Categories!$A$6,Categories!$B$6,IF($E9=Categories!$A$7,Categories!$B$7,IF($E9=Categories!$A$8,Categories!$B$8,IF($E9=Categories!$A$9,Categories!$B$9,IF($E9=Categories!$A$10,Categories!$B$10,IF($E9=Categories!$A$11,Categories!$B$11,IF($E9=Categories!$A$12,Categories!$B$12,IF($E9=Categories!$A$13,Categories!$B$13,IF($E9=Categories!$A$14,Categories!$B$14,IF($E9=Categories!$A$15,Categories!$B$15,IF($E9=Categories!$A$16,Categories!$B$16,IF($E9=Categories!$A$17,Categories!$B$17,IF($E9=Categories!$A$18,Categories!$B$18,IF($E9=Categories!$A$19,Categories!$B$19)))))))))))))))))))</f>
        <v>0</v>
      </c>
      <c r="G9" s="9" t="str">
        <f t="shared" si="0"/>
        <v/>
      </c>
      <c r="H9" s="1" t="str">
        <f t="shared" si="1"/>
        <v/>
      </c>
      <c r="I9" s="1" t="str">
        <f t="shared" si="2"/>
        <v/>
      </c>
      <c r="J9" s="1" t="str">
        <f t="shared" si="3"/>
        <v/>
      </c>
      <c r="K9" s="13" t="str">
        <f t="shared" si="4"/>
        <v/>
      </c>
      <c r="L9" s="9" t="str">
        <f t="shared" si="5"/>
        <v/>
      </c>
      <c r="M9" s="1" t="str">
        <f t="shared" si="6"/>
        <v/>
      </c>
      <c r="N9" s="1" t="str">
        <f t="shared" si="7"/>
        <v/>
      </c>
      <c r="O9" s="1" t="str">
        <f t="shared" si="8"/>
        <v/>
      </c>
      <c r="P9" s="1" t="str">
        <f t="shared" si="9"/>
        <v/>
      </c>
      <c r="Q9" s="1" t="str">
        <f t="shared" si="10"/>
        <v/>
      </c>
      <c r="R9" s="1" t="str">
        <f t="shared" si="11"/>
        <v/>
      </c>
      <c r="S9" s="1" t="str">
        <f t="shared" si="12"/>
        <v/>
      </c>
      <c r="T9" s="1" t="str">
        <f t="shared" si="13"/>
        <v/>
      </c>
      <c r="U9" s="1" t="str">
        <f t="shared" si="14"/>
        <v/>
      </c>
      <c r="V9" s="1" t="str">
        <f t="shared" si="15"/>
        <v/>
      </c>
      <c r="W9" s="26" t="str">
        <f t="shared" si="16"/>
        <v/>
      </c>
      <c r="X9" s="13" t="str">
        <f t="shared" si="17"/>
        <v/>
      </c>
      <c r="Y9" s="9">
        <f t="shared" si="18"/>
        <v>0</v>
      </c>
    </row>
    <row r="10" spans="1:25" x14ac:dyDescent="0.25">
      <c r="A10" s="28"/>
      <c r="B10" s="29"/>
      <c r="C10" s="30"/>
      <c r="D10" s="31"/>
      <c r="E10" s="29" t="s">
        <v>16</v>
      </c>
      <c r="F10" s="13" t="b">
        <f>IF($E10=Categories!$A$1,"",IF($E10=Categories!$A$2,Categories!$B$2,IF($E10=Categories!$A$3,Categories!$B$3,IF($E10=Categories!$A$4,Categories!$B$4,IF($E10=Categories!$A$5,Categories!$B$5,IF($E10=Categories!$A$6,Categories!$B$6,IF($E10=Categories!$A$7,Categories!$B$7,IF($E10=Categories!$A$8,Categories!$B$8,IF($E10=Categories!$A$9,Categories!$B$9,IF($E10=Categories!$A$10,Categories!$B$10,IF($E10=Categories!$A$11,Categories!$B$11,IF($E10=Categories!$A$12,Categories!$B$12,IF($E10=Categories!$A$13,Categories!$B$13,IF($E10=Categories!$A$14,Categories!$B$14,IF($E10=Categories!$A$15,Categories!$B$15,IF($E10=Categories!$A$16,Categories!$B$16,IF($E10=Categories!$A$17,Categories!$B$17,IF($E10=Categories!$A$18,Categories!$B$18,IF($E10=Categories!$A$19,Categories!$B$19)))))))))))))))))))</f>
        <v>0</v>
      </c>
      <c r="G10" s="9" t="str">
        <f t="shared" si="0"/>
        <v/>
      </c>
      <c r="H10" s="1" t="str">
        <f t="shared" si="1"/>
        <v/>
      </c>
      <c r="I10" s="1" t="str">
        <f t="shared" si="2"/>
        <v/>
      </c>
      <c r="J10" s="1" t="str">
        <f t="shared" si="3"/>
        <v/>
      </c>
      <c r="K10" s="13" t="str">
        <f t="shared" si="4"/>
        <v/>
      </c>
      <c r="L10" s="9" t="str">
        <f t="shared" si="5"/>
        <v/>
      </c>
      <c r="M10" s="1" t="str">
        <f t="shared" si="6"/>
        <v/>
      </c>
      <c r="N10" s="1" t="str">
        <f t="shared" si="7"/>
        <v/>
      </c>
      <c r="O10" s="1" t="str">
        <f t="shared" si="8"/>
        <v/>
      </c>
      <c r="P10" s="1" t="str">
        <f t="shared" si="9"/>
        <v/>
      </c>
      <c r="Q10" s="1" t="str">
        <f t="shared" si="10"/>
        <v/>
      </c>
      <c r="R10" s="1" t="str">
        <f t="shared" si="11"/>
        <v/>
      </c>
      <c r="S10" s="1" t="str">
        <f t="shared" si="12"/>
        <v/>
      </c>
      <c r="T10" s="1" t="str">
        <f t="shared" si="13"/>
        <v/>
      </c>
      <c r="U10" s="1" t="str">
        <f t="shared" si="14"/>
        <v/>
      </c>
      <c r="V10" s="1" t="str">
        <f t="shared" si="15"/>
        <v/>
      </c>
      <c r="W10" s="26" t="str">
        <f t="shared" si="16"/>
        <v/>
      </c>
      <c r="X10" s="13" t="str">
        <f t="shared" si="17"/>
        <v/>
      </c>
      <c r="Y10" s="9">
        <f t="shared" si="18"/>
        <v>0</v>
      </c>
    </row>
    <row r="11" spans="1:25" x14ac:dyDescent="0.25">
      <c r="A11" s="28"/>
      <c r="B11" s="29"/>
      <c r="C11" s="30"/>
      <c r="D11" s="31"/>
      <c r="E11" s="29" t="s">
        <v>16</v>
      </c>
      <c r="F11" s="13" t="b">
        <f>IF($E11=Categories!$A$1,"",IF($E11=Categories!$A$2,Categories!$B$2,IF($E11=Categories!$A$3,Categories!$B$3,IF($E11=Categories!$A$4,Categories!$B$4,IF($E11=Categories!$A$5,Categories!$B$5,IF($E11=Categories!$A$6,Categories!$B$6,IF($E11=Categories!$A$7,Categories!$B$7,IF($E11=Categories!$A$8,Categories!$B$8,IF($E11=Categories!$A$9,Categories!$B$9,IF($E11=Categories!$A$10,Categories!$B$10,IF($E11=Categories!$A$11,Categories!$B$11,IF($E11=Categories!$A$12,Categories!$B$12,IF($E11=Categories!$A$13,Categories!$B$13,IF($E11=Categories!$A$14,Categories!$B$14,IF($E11=Categories!$A$15,Categories!$B$15,IF($E11=Categories!$A$16,Categories!$B$16,IF($E11=Categories!$A$17,Categories!$B$17,IF($E11=Categories!$A$18,Categories!$B$18,IF($E11=Categories!$A$19,Categories!$B$19)))))))))))))))))))</f>
        <v>0</v>
      </c>
      <c r="G11" s="9" t="str">
        <f t="shared" si="0"/>
        <v/>
      </c>
      <c r="H11" s="1" t="str">
        <f t="shared" si="1"/>
        <v/>
      </c>
      <c r="I11" s="1" t="str">
        <f t="shared" si="2"/>
        <v/>
      </c>
      <c r="J11" s="1" t="str">
        <f t="shared" si="3"/>
        <v/>
      </c>
      <c r="K11" s="13" t="str">
        <f t="shared" si="4"/>
        <v/>
      </c>
      <c r="L11" s="9" t="str">
        <f t="shared" si="5"/>
        <v/>
      </c>
      <c r="M11" s="1" t="str">
        <f t="shared" si="6"/>
        <v/>
      </c>
      <c r="N11" s="1" t="str">
        <f t="shared" si="7"/>
        <v/>
      </c>
      <c r="O11" s="1" t="str">
        <f t="shared" si="8"/>
        <v/>
      </c>
      <c r="P11" s="1" t="str">
        <f t="shared" si="9"/>
        <v/>
      </c>
      <c r="Q11" s="1" t="str">
        <f t="shared" si="10"/>
        <v/>
      </c>
      <c r="R11" s="1" t="str">
        <f t="shared" si="11"/>
        <v/>
      </c>
      <c r="S11" s="1" t="str">
        <f t="shared" si="12"/>
        <v/>
      </c>
      <c r="T11" s="1" t="str">
        <f t="shared" si="13"/>
        <v/>
      </c>
      <c r="U11" s="1" t="str">
        <f t="shared" si="14"/>
        <v/>
      </c>
      <c r="V11" s="1" t="str">
        <f t="shared" si="15"/>
        <v/>
      </c>
      <c r="W11" s="26" t="str">
        <f t="shared" si="16"/>
        <v/>
      </c>
      <c r="X11" s="13" t="str">
        <f t="shared" si="17"/>
        <v/>
      </c>
      <c r="Y11" s="9">
        <f t="shared" si="18"/>
        <v>0</v>
      </c>
    </row>
    <row r="12" spans="1:25" x14ac:dyDescent="0.25">
      <c r="A12" s="28"/>
      <c r="B12" s="29"/>
      <c r="C12" s="30"/>
      <c r="D12" s="31"/>
      <c r="E12" s="29" t="s">
        <v>16</v>
      </c>
      <c r="F12" s="13" t="b">
        <f>IF($E12=Categories!$A$1,"",IF($E12=Categories!$A$2,Categories!$B$2,IF($E12=Categories!$A$3,Categories!$B$3,IF($E12=Categories!$A$4,Categories!$B$4,IF($E12=Categories!$A$5,Categories!$B$5,IF($E12=Categories!$A$6,Categories!$B$6,IF($E12=Categories!$A$7,Categories!$B$7,IF($E12=Categories!$A$8,Categories!$B$8,IF($E12=Categories!$A$9,Categories!$B$9,IF($E12=Categories!$A$10,Categories!$B$10,IF($E12=Categories!$A$11,Categories!$B$11,IF($E12=Categories!$A$12,Categories!$B$12,IF($E12=Categories!$A$13,Categories!$B$13,IF($E12=Categories!$A$14,Categories!$B$14,IF($E12=Categories!$A$15,Categories!$B$15,IF($E12=Categories!$A$16,Categories!$B$16,IF($E12=Categories!$A$17,Categories!$B$17,IF($E12=Categories!$A$18,Categories!$B$18,IF($E12=Categories!$A$19,Categories!$B$19)))))))))))))))))))</f>
        <v>0</v>
      </c>
      <c r="G12" s="9" t="str">
        <f t="shared" si="0"/>
        <v/>
      </c>
      <c r="H12" s="1" t="str">
        <f t="shared" si="1"/>
        <v/>
      </c>
      <c r="I12" s="1" t="str">
        <f t="shared" si="2"/>
        <v/>
      </c>
      <c r="J12" s="1" t="str">
        <f t="shared" si="3"/>
        <v/>
      </c>
      <c r="K12" s="13" t="str">
        <f t="shared" si="4"/>
        <v/>
      </c>
      <c r="L12" s="9" t="str">
        <f t="shared" si="5"/>
        <v/>
      </c>
      <c r="M12" s="1" t="str">
        <f t="shared" si="6"/>
        <v/>
      </c>
      <c r="N12" s="1" t="str">
        <f t="shared" si="7"/>
        <v/>
      </c>
      <c r="O12" s="1" t="str">
        <f t="shared" si="8"/>
        <v/>
      </c>
      <c r="P12" s="1" t="str">
        <f t="shared" si="9"/>
        <v/>
      </c>
      <c r="Q12" s="1" t="str">
        <f t="shared" si="10"/>
        <v/>
      </c>
      <c r="R12" s="1" t="str">
        <f t="shared" si="11"/>
        <v/>
      </c>
      <c r="S12" s="1" t="str">
        <f t="shared" si="12"/>
        <v/>
      </c>
      <c r="T12" s="1" t="str">
        <f t="shared" si="13"/>
        <v/>
      </c>
      <c r="U12" s="1" t="str">
        <f t="shared" si="14"/>
        <v/>
      </c>
      <c r="V12" s="1" t="str">
        <f t="shared" si="15"/>
        <v/>
      </c>
      <c r="W12" s="26" t="str">
        <f t="shared" si="16"/>
        <v/>
      </c>
      <c r="X12" s="13" t="str">
        <f t="shared" si="17"/>
        <v/>
      </c>
      <c r="Y12" s="9">
        <f t="shared" si="18"/>
        <v>0</v>
      </c>
    </row>
    <row r="13" spans="1:25" x14ac:dyDescent="0.25">
      <c r="A13" s="28"/>
      <c r="B13" s="29"/>
      <c r="C13" s="30"/>
      <c r="D13" s="31"/>
      <c r="E13" s="29" t="s">
        <v>16</v>
      </c>
      <c r="F13" s="13" t="b">
        <f>IF($E13=Categories!$A$1,"",IF($E13=Categories!$A$2,Categories!$B$2,IF($E13=Categories!$A$3,Categories!$B$3,IF($E13=Categories!$A$4,Categories!$B$4,IF($E13=Categories!$A$5,Categories!$B$5,IF($E13=Categories!$A$6,Categories!$B$6,IF($E13=Categories!$A$7,Categories!$B$7,IF($E13=Categories!$A$8,Categories!$B$8,IF($E13=Categories!$A$9,Categories!$B$9,IF($E13=Categories!$A$10,Categories!$B$10,IF($E13=Categories!$A$11,Categories!$B$11,IF($E13=Categories!$A$12,Categories!$B$12,IF($E13=Categories!$A$13,Categories!$B$13,IF($E13=Categories!$A$14,Categories!$B$14,IF($E13=Categories!$A$15,Categories!$B$15,IF($E13=Categories!$A$16,Categories!$B$16,IF($E13=Categories!$A$17,Categories!$B$17,IF($E13=Categories!$A$18,Categories!$B$18,IF($E13=Categories!$A$19,Categories!$B$19)))))))))))))))))))</f>
        <v>0</v>
      </c>
      <c r="G13" s="9" t="str">
        <f t="shared" si="0"/>
        <v/>
      </c>
      <c r="H13" s="1" t="str">
        <f t="shared" si="1"/>
        <v/>
      </c>
      <c r="I13" s="1" t="str">
        <f t="shared" si="2"/>
        <v/>
      </c>
      <c r="J13" s="1" t="str">
        <f t="shared" si="3"/>
        <v/>
      </c>
      <c r="K13" s="13" t="str">
        <f t="shared" si="4"/>
        <v/>
      </c>
      <c r="L13" s="9" t="str">
        <f t="shared" si="5"/>
        <v/>
      </c>
      <c r="M13" s="1" t="str">
        <f t="shared" si="6"/>
        <v/>
      </c>
      <c r="N13" s="1" t="str">
        <f t="shared" si="7"/>
        <v/>
      </c>
      <c r="O13" s="1" t="str">
        <f t="shared" si="8"/>
        <v/>
      </c>
      <c r="P13" s="1" t="str">
        <f t="shared" si="9"/>
        <v/>
      </c>
      <c r="Q13" s="1" t="str">
        <f t="shared" si="10"/>
        <v/>
      </c>
      <c r="R13" s="1" t="str">
        <f t="shared" si="11"/>
        <v/>
      </c>
      <c r="S13" s="1" t="str">
        <f t="shared" si="12"/>
        <v/>
      </c>
      <c r="T13" s="1" t="str">
        <f t="shared" si="13"/>
        <v/>
      </c>
      <c r="U13" s="1" t="str">
        <f t="shared" si="14"/>
        <v/>
      </c>
      <c r="V13" s="1" t="str">
        <f t="shared" si="15"/>
        <v/>
      </c>
      <c r="W13" s="26" t="str">
        <f t="shared" si="16"/>
        <v/>
      </c>
      <c r="X13" s="13" t="str">
        <f t="shared" si="17"/>
        <v/>
      </c>
      <c r="Y13" s="9">
        <f t="shared" si="18"/>
        <v>0</v>
      </c>
    </row>
    <row r="14" spans="1:25" x14ac:dyDescent="0.25">
      <c r="A14" s="28"/>
      <c r="B14" s="29"/>
      <c r="C14" s="30"/>
      <c r="D14" s="31"/>
      <c r="E14" s="29" t="s">
        <v>16</v>
      </c>
      <c r="F14" s="13" t="b">
        <f>IF($E14=Categories!$A$1,"",IF($E14=Categories!$A$2,Categories!$B$2,IF($E14=Categories!$A$3,Categories!$B$3,IF($E14=Categories!$A$4,Categories!$B$4,IF($E14=Categories!$A$5,Categories!$B$5,IF($E14=Categories!$A$6,Categories!$B$6,IF($E14=Categories!$A$7,Categories!$B$7,IF($E14=Categories!$A$8,Categories!$B$8,IF($E14=Categories!$A$9,Categories!$B$9,IF($E14=Categories!$A$10,Categories!$B$10,IF($E14=Categories!$A$11,Categories!$B$11,IF($E14=Categories!$A$12,Categories!$B$12,IF($E14=Categories!$A$13,Categories!$B$13,IF($E14=Categories!$A$14,Categories!$B$14,IF($E14=Categories!$A$15,Categories!$B$15,IF($E14=Categories!$A$16,Categories!$B$16,IF($E14=Categories!$A$17,Categories!$B$17,IF($E14=Categories!$A$18,Categories!$B$18,IF($E14=Categories!$A$19,Categories!$B$19)))))))))))))))))))</f>
        <v>0</v>
      </c>
      <c r="G14" s="9" t="str">
        <f t="shared" si="0"/>
        <v/>
      </c>
      <c r="H14" s="1" t="str">
        <f t="shared" si="1"/>
        <v/>
      </c>
      <c r="I14" s="1" t="str">
        <f t="shared" si="2"/>
        <v/>
      </c>
      <c r="J14" s="1" t="str">
        <f t="shared" si="3"/>
        <v/>
      </c>
      <c r="K14" s="13" t="str">
        <f t="shared" si="4"/>
        <v/>
      </c>
      <c r="L14" s="9" t="str">
        <f t="shared" si="5"/>
        <v/>
      </c>
      <c r="M14" s="1" t="str">
        <f t="shared" si="6"/>
        <v/>
      </c>
      <c r="N14" s="1" t="str">
        <f t="shared" si="7"/>
        <v/>
      </c>
      <c r="O14" s="1" t="str">
        <f t="shared" si="8"/>
        <v/>
      </c>
      <c r="P14" s="1" t="str">
        <f t="shared" si="9"/>
        <v/>
      </c>
      <c r="Q14" s="1" t="str">
        <f t="shared" si="10"/>
        <v/>
      </c>
      <c r="R14" s="1" t="str">
        <f t="shared" si="11"/>
        <v/>
      </c>
      <c r="S14" s="1" t="str">
        <f t="shared" si="12"/>
        <v/>
      </c>
      <c r="T14" s="1" t="str">
        <f t="shared" si="13"/>
        <v/>
      </c>
      <c r="U14" s="1" t="str">
        <f t="shared" si="14"/>
        <v/>
      </c>
      <c r="V14" s="1" t="str">
        <f t="shared" si="15"/>
        <v/>
      </c>
      <c r="W14" s="26" t="str">
        <f t="shared" si="16"/>
        <v/>
      </c>
      <c r="X14" s="13" t="str">
        <f t="shared" si="17"/>
        <v/>
      </c>
      <c r="Y14" s="9">
        <f t="shared" si="18"/>
        <v>0</v>
      </c>
    </row>
    <row r="15" spans="1:25" x14ac:dyDescent="0.25">
      <c r="A15" s="28"/>
      <c r="B15" s="29"/>
      <c r="C15" s="30"/>
      <c r="D15" s="31"/>
      <c r="E15" s="29" t="s">
        <v>16</v>
      </c>
      <c r="F15" s="13" t="b">
        <f>IF($E15=Categories!$A$1,"",IF($E15=Categories!$A$2,Categories!$B$2,IF($E15=Categories!$A$3,Categories!$B$3,IF($E15=Categories!$A$4,Categories!$B$4,IF($E15=Categories!$A$5,Categories!$B$5,IF($E15=Categories!$A$6,Categories!$B$6,IF($E15=Categories!$A$7,Categories!$B$7,IF($E15=Categories!$A$8,Categories!$B$8,IF($E15=Categories!$A$9,Categories!$B$9,IF($E15=Categories!$A$10,Categories!$B$10,IF($E15=Categories!$A$11,Categories!$B$11,IF($E15=Categories!$A$12,Categories!$B$12,IF($E15=Categories!$A$13,Categories!$B$13,IF($E15=Categories!$A$14,Categories!$B$14,IF($E15=Categories!$A$15,Categories!$B$15,IF($E15=Categories!$A$16,Categories!$B$16,IF($E15=Categories!$A$17,Categories!$B$17,IF($E15=Categories!$A$18,Categories!$B$18,IF($E15=Categories!$A$19,Categories!$B$19)))))))))))))))))))</f>
        <v>0</v>
      </c>
      <c r="G15" s="9" t="str">
        <f t="shared" si="0"/>
        <v/>
      </c>
      <c r="H15" s="1" t="str">
        <f t="shared" si="1"/>
        <v/>
      </c>
      <c r="I15" s="1" t="str">
        <f t="shared" si="2"/>
        <v/>
      </c>
      <c r="J15" s="1" t="str">
        <f t="shared" si="3"/>
        <v/>
      </c>
      <c r="K15" s="13" t="str">
        <f t="shared" si="4"/>
        <v/>
      </c>
      <c r="L15" s="9" t="str">
        <f t="shared" si="5"/>
        <v/>
      </c>
      <c r="M15" s="1" t="str">
        <f t="shared" si="6"/>
        <v/>
      </c>
      <c r="N15" s="1" t="str">
        <f t="shared" si="7"/>
        <v/>
      </c>
      <c r="O15" s="1" t="str">
        <f t="shared" si="8"/>
        <v/>
      </c>
      <c r="P15" s="1" t="str">
        <f t="shared" si="9"/>
        <v/>
      </c>
      <c r="Q15" s="1" t="str">
        <f t="shared" si="10"/>
        <v/>
      </c>
      <c r="R15" s="1" t="str">
        <f t="shared" si="11"/>
        <v/>
      </c>
      <c r="S15" s="1" t="str">
        <f t="shared" si="12"/>
        <v/>
      </c>
      <c r="T15" s="1" t="str">
        <f t="shared" si="13"/>
        <v/>
      </c>
      <c r="U15" s="1" t="str">
        <f t="shared" si="14"/>
        <v/>
      </c>
      <c r="V15" s="1" t="str">
        <f t="shared" si="15"/>
        <v/>
      </c>
      <c r="W15" s="26" t="str">
        <f t="shared" si="16"/>
        <v/>
      </c>
      <c r="X15" s="13" t="str">
        <f t="shared" si="17"/>
        <v/>
      </c>
      <c r="Y15" s="9">
        <f t="shared" si="18"/>
        <v>0</v>
      </c>
    </row>
    <row r="16" spans="1:25" x14ac:dyDescent="0.25">
      <c r="A16" s="28"/>
      <c r="B16" s="29"/>
      <c r="C16" s="30"/>
      <c r="D16" s="31"/>
      <c r="E16" s="29" t="s">
        <v>16</v>
      </c>
      <c r="F16" s="13" t="b">
        <f>IF($E16=Categories!$A$1,"",IF($E16=Categories!$A$2,Categories!$B$2,IF($E16=Categories!$A$3,Categories!$B$3,IF($E16=Categories!$A$4,Categories!$B$4,IF($E16=Categories!$A$5,Categories!$B$5,IF($E16=Categories!$A$6,Categories!$B$6,IF($E16=Categories!$A$7,Categories!$B$7,IF($E16=Categories!$A$8,Categories!$B$8,IF($E16=Categories!$A$9,Categories!$B$9,IF($E16=Categories!$A$10,Categories!$B$10,IF($E16=Categories!$A$11,Categories!$B$11,IF($E16=Categories!$A$12,Categories!$B$12,IF($E16=Categories!$A$13,Categories!$B$13,IF($E16=Categories!$A$14,Categories!$B$14,IF($E16=Categories!$A$15,Categories!$B$15,IF($E16=Categories!$A$16,Categories!$B$16,IF($E16=Categories!$A$17,Categories!$B$17,IF($E16=Categories!$A$18,Categories!$B$18,IF($E16=Categories!$A$19,Categories!$B$19)))))))))))))))))))</f>
        <v>0</v>
      </c>
      <c r="G16" s="9" t="str">
        <f t="shared" si="0"/>
        <v/>
      </c>
      <c r="H16" s="1" t="str">
        <f t="shared" si="1"/>
        <v/>
      </c>
      <c r="I16" s="1" t="str">
        <f t="shared" si="2"/>
        <v/>
      </c>
      <c r="J16" s="1" t="str">
        <f t="shared" si="3"/>
        <v/>
      </c>
      <c r="K16" s="13" t="str">
        <f t="shared" si="4"/>
        <v/>
      </c>
      <c r="L16" s="9" t="str">
        <f t="shared" si="5"/>
        <v/>
      </c>
      <c r="M16" s="1" t="str">
        <f t="shared" si="6"/>
        <v/>
      </c>
      <c r="N16" s="1" t="str">
        <f t="shared" si="7"/>
        <v/>
      </c>
      <c r="O16" s="1" t="str">
        <f t="shared" si="8"/>
        <v/>
      </c>
      <c r="P16" s="1" t="str">
        <f t="shared" si="9"/>
        <v/>
      </c>
      <c r="Q16" s="1" t="str">
        <f t="shared" si="10"/>
        <v/>
      </c>
      <c r="R16" s="1" t="str">
        <f t="shared" si="11"/>
        <v/>
      </c>
      <c r="S16" s="1" t="str">
        <f t="shared" si="12"/>
        <v/>
      </c>
      <c r="T16" s="1" t="str">
        <f t="shared" si="13"/>
        <v/>
      </c>
      <c r="U16" s="1" t="str">
        <f t="shared" si="14"/>
        <v/>
      </c>
      <c r="V16" s="1" t="str">
        <f t="shared" si="15"/>
        <v/>
      </c>
      <c r="W16" s="26" t="str">
        <f t="shared" si="16"/>
        <v/>
      </c>
      <c r="X16" s="13" t="str">
        <f t="shared" si="17"/>
        <v/>
      </c>
      <c r="Y16" s="9">
        <f t="shared" si="18"/>
        <v>0</v>
      </c>
    </row>
    <row r="17" spans="1:25" x14ac:dyDescent="0.25">
      <c r="A17" s="28"/>
      <c r="B17" s="29"/>
      <c r="C17" s="30"/>
      <c r="D17" s="31"/>
      <c r="E17" s="29" t="s">
        <v>16</v>
      </c>
      <c r="F17" s="13" t="b">
        <f>IF($E17=Categories!$A$1,"",IF($E17=Categories!$A$2,Categories!$B$2,IF($E17=Categories!$A$3,Categories!$B$3,IF($E17=Categories!$A$4,Categories!$B$4,IF($E17=Categories!$A$5,Categories!$B$5,IF($E17=Categories!$A$6,Categories!$B$6,IF($E17=Categories!$A$7,Categories!$B$7,IF($E17=Categories!$A$8,Categories!$B$8,IF($E17=Categories!$A$9,Categories!$B$9,IF($E17=Categories!$A$10,Categories!$B$10,IF($E17=Categories!$A$11,Categories!$B$11,IF($E17=Categories!$A$12,Categories!$B$12,IF($E17=Categories!$A$13,Categories!$B$13,IF($E17=Categories!$A$14,Categories!$B$14,IF($E17=Categories!$A$15,Categories!$B$15,IF($E17=Categories!$A$16,Categories!$B$16,IF($E17=Categories!$A$17,Categories!$B$17,IF($E17=Categories!$A$18,Categories!$B$18,IF($E17=Categories!$A$19,Categories!$B$19)))))))))))))))))))</f>
        <v>0</v>
      </c>
      <c r="G17" s="9" t="str">
        <f t="shared" si="0"/>
        <v/>
      </c>
      <c r="H17" s="1" t="str">
        <f t="shared" si="1"/>
        <v/>
      </c>
      <c r="I17" s="1" t="str">
        <f t="shared" si="2"/>
        <v/>
      </c>
      <c r="J17" s="1" t="str">
        <f t="shared" si="3"/>
        <v/>
      </c>
      <c r="K17" s="13" t="str">
        <f t="shared" si="4"/>
        <v/>
      </c>
      <c r="L17" s="9" t="str">
        <f t="shared" si="5"/>
        <v/>
      </c>
      <c r="M17" s="1" t="str">
        <f t="shared" si="6"/>
        <v/>
      </c>
      <c r="N17" s="1" t="str">
        <f t="shared" si="7"/>
        <v/>
      </c>
      <c r="O17" s="1" t="str">
        <f t="shared" si="8"/>
        <v/>
      </c>
      <c r="P17" s="1" t="str">
        <f t="shared" si="9"/>
        <v/>
      </c>
      <c r="Q17" s="1" t="str">
        <f t="shared" si="10"/>
        <v/>
      </c>
      <c r="R17" s="1" t="str">
        <f t="shared" si="11"/>
        <v/>
      </c>
      <c r="S17" s="1" t="str">
        <f t="shared" si="12"/>
        <v/>
      </c>
      <c r="T17" s="1" t="str">
        <f t="shared" si="13"/>
        <v/>
      </c>
      <c r="U17" s="1" t="str">
        <f t="shared" si="14"/>
        <v/>
      </c>
      <c r="V17" s="1" t="str">
        <f t="shared" si="15"/>
        <v/>
      </c>
      <c r="W17" s="26" t="str">
        <f t="shared" si="16"/>
        <v/>
      </c>
      <c r="X17" s="13" t="str">
        <f t="shared" si="17"/>
        <v/>
      </c>
      <c r="Y17" s="9">
        <f t="shared" si="18"/>
        <v>0</v>
      </c>
    </row>
    <row r="18" spans="1:25" x14ac:dyDescent="0.25">
      <c r="A18" s="28"/>
      <c r="B18" s="29"/>
      <c r="C18" s="30"/>
      <c r="D18" s="31"/>
      <c r="E18" s="29" t="s">
        <v>16</v>
      </c>
      <c r="F18" s="13" t="b">
        <f>IF($E18=Categories!$A$1,"",IF($E18=Categories!$A$2,Categories!$B$2,IF($E18=Categories!$A$3,Categories!$B$3,IF($E18=Categories!$A$4,Categories!$B$4,IF($E18=Categories!$A$5,Categories!$B$5,IF($E18=Categories!$A$6,Categories!$B$6,IF($E18=Categories!$A$7,Categories!$B$7,IF($E18=Categories!$A$8,Categories!$B$8,IF($E18=Categories!$A$9,Categories!$B$9,IF($E18=Categories!$A$10,Categories!$B$10,IF($E18=Categories!$A$11,Categories!$B$11,IF($E18=Categories!$A$12,Categories!$B$12,IF($E18=Categories!$A$13,Categories!$B$13,IF($E18=Categories!$A$14,Categories!$B$14,IF($E18=Categories!$A$15,Categories!$B$15,IF($E18=Categories!$A$16,Categories!$B$16,IF($E18=Categories!$A$17,Categories!$B$17,IF($E18=Categories!$A$18,Categories!$B$18,IF($E18=Categories!$A$19,Categories!$B$19)))))))))))))))))))</f>
        <v>0</v>
      </c>
      <c r="G18" s="9" t="str">
        <f t="shared" si="0"/>
        <v/>
      </c>
      <c r="H18" s="1" t="str">
        <f t="shared" si="1"/>
        <v/>
      </c>
      <c r="I18" s="1" t="str">
        <f t="shared" si="2"/>
        <v/>
      </c>
      <c r="J18" s="1" t="str">
        <f t="shared" si="3"/>
        <v/>
      </c>
      <c r="K18" s="13" t="str">
        <f t="shared" si="4"/>
        <v/>
      </c>
      <c r="L18" s="9" t="str">
        <f t="shared" si="5"/>
        <v/>
      </c>
      <c r="M18" s="1" t="str">
        <f t="shared" si="6"/>
        <v/>
      </c>
      <c r="N18" s="1" t="str">
        <f t="shared" si="7"/>
        <v/>
      </c>
      <c r="O18" s="1" t="str">
        <f t="shared" si="8"/>
        <v/>
      </c>
      <c r="P18" s="1" t="str">
        <f t="shared" si="9"/>
        <v/>
      </c>
      <c r="Q18" s="1" t="str">
        <f t="shared" si="10"/>
        <v/>
      </c>
      <c r="R18" s="1" t="str">
        <f t="shared" si="11"/>
        <v/>
      </c>
      <c r="S18" s="1" t="str">
        <f t="shared" si="12"/>
        <v/>
      </c>
      <c r="T18" s="1" t="str">
        <f t="shared" si="13"/>
        <v/>
      </c>
      <c r="U18" s="1" t="str">
        <f t="shared" si="14"/>
        <v/>
      </c>
      <c r="V18" s="1" t="str">
        <f t="shared" si="15"/>
        <v/>
      </c>
      <c r="W18" s="26" t="str">
        <f t="shared" si="16"/>
        <v/>
      </c>
      <c r="X18" s="13" t="str">
        <f t="shared" si="17"/>
        <v/>
      </c>
      <c r="Y18" s="9">
        <f t="shared" si="18"/>
        <v>0</v>
      </c>
    </row>
    <row r="19" spans="1:25" x14ac:dyDescent="0.25">
      <c r="A19" s="28"/>
      <c r="B19" s="29"/>
      <c r="C19" s="30"/>
      <c r="D19" s="31"/>
      <c r="E19" s="29" t="s">
        <v>16</v>
      </c>
      <c r="F19" s="13" t="b">
        <f>IF($E19=Categories!$A$1,"",IF($E19=Categories!$A$2,Categories!$B$2,IF($E19=Categories!$A$3,Categories!$B$3,IF($E19=Categories!$A$4,Categories!$B$4,IF($E19=Categories!$A$5,Categories!$B$5,IF($E19=Categories!$A$6,Categories!$B$6,IF($E19=Categories!$A$7,Categories!$B$7,IF($E19=Categories!$A$8,Categories!$B$8,IF($E19=Categories!$A$9,Categories!$B$9,IF($E19=Categories!$A$10,Categories!$B$10,IF($E19=Categories!$A$11,Categories!$B$11,IF($E19=Categories!$A$12,Categories!$B$12,IF($E19=Categories!$A$13,Categories!$B$13,IF($E19=Categories!$A$14,Categories!$B$14,IF($E19=Categories!$A$15,Categories!$B$15,IF($E19=Categories!$A$16,Categories!$B$16,IF($E19=Categories!$A$17,Categories!$B$17,IF($E19=Categories!$A$18,Categories!$B$18,IF($E19=Categories!$A$19,Categories!$B$19)))))))))))))))))))</f>
        <v>0</v>
      </c>
      <c r="G19" s="9" t="str">
        <f t="shared" si="0"/>
        <v/>
      </c>
      <c r="H19" s="1" t="str">
        <f t="shared" si="1"/>
        <v/>
      </c>
      <c r="I19" s="1" t="str">
        <f t="shared" si="2"/>
        <v/>
      </c>
      <c r="J19" s="1" t="str">
        <f t="shared" si="3"/>
        <v/>
      </c>
      <c r="K19" s="13" t="str">
        <f t="shared" si="4"/>
        <v/>
      </c>
      <c r="L19" s="9" t="str">
        <f t="shared" si="5"/>
        <v/>
      </c>
      <c r="M19" s="1" t="str">
        <f t="shared" si="6"/>
        <v/>
      </c>
      <c r="N19" s="1" t="str">
        <f t="shared" si="7"/>
        <v/>
      </c>
      <c r="O19" s="1" t="str">
        <f t="shared" si="8"/>
        <v/>
      </c>
      <c r="P19" s="1" t="str">
        <f t="shared" si="9"/>
        <v/>
      </c>
      <c r="Q19" s="1" t="str">
        <f t="shared" si="10"/>
        <v/>
      </c>
      <c r="R19" s="1" t="str">
        <f t="shared" si="11"/>
        <v/>
      </c>
      <c r="S19" s="1" t="str">
        <f t="shared" si="12"/>
        <v/>
      </c>
      <c r="T19" s="1" t="str">
        <f t="shared" si="13"/>
        <v/>
      </c>
      <c r="U19" s="1" t="str">
        <f t="shared" si="14"/>
        <v/>
      </c>
      <c r="V19" s="1" t="str">
        <f t="shared" si="15"/>
        <v/>
      </c>
      <c r="W19" s="26" t="str">
        <f t="shared" si="16"/>
        <v/>
      </c>
      <c r="X19" s="13" t="str">
        <f t="shared" si="17"/>
        <v/>
      </c>
      <c r="Y19" s="9">
        <f t="shared" si="18"/>
        <v>0</v>
      </c>
    </row>
    <row r="20" spans="1:25" x14ac:dyDescent="0.25">
      <c r="A20" s="28"/>
      <c r="B20" s="29"/>
      <c r="C20" s="30"/>
      <c r="D20" s="31"/>
      <c r="E20" s="29" t="s">
        <v>16</v>
      </c>
      <c r="F20" s="13" t="b">
        <f>IF($E20=Categories!$A$1,"",IF($E20=Categories!$A$2,Categories!$B$2,IF($E20=Categories!$A$3,Categories!$B$3,IF($E20=Categories!$A$4,Categories!$B$4,IF($E20=Categories!$A$5,Categories!$B$5,IF($E20=Categories!$A$6,Categories!$B$6,IF($E20=Categories!$A$7,Categories!$B$7,IF($E20=Categories!$A$8,Categories!$B$8,IF($E20=Categories!$A$9,Categories!$B$9,IF($E20=Categories!$A$10,Categories!$B$10,IF($E20=Categories!$A$11,Categories!$B$11,IF($E20=Categories!$A$12,Categories!$B$12,IF($E20=Categories!$A$13,Categories!$B$13,IF($E20=Categories!$A$14,Categories!$B$14,IF($E20=Categories!$A$15,Categories!$B$15,IF($E20=Categories!$A$16,Categories!$B$16,IF($E20=Categories!$A$17,Categories!$B$17,IF($E20=Categories!$A$18,Categories!$B$18,IF($E20=Categories!$A$19,Categories!$B$19)))))))))))))))))))</f>
        <v>0</v>
      </c>
      <c r="G20" s="9" t="str">
        <f t="shared" si="0"/>
        <v/>
      </c>
      <c r="H20" s="1" t="str">
        <f t="shared" si="1"/>
        <v/>
      </c>
      <c r="I20" s="1" t="str">
        <f t="shared" si="2"/>
        <v/>
      </c>
      <c r="J20" s="1" t="str">
        <f t="shared" si="3"/>
        <v/>
      </c>
      <c r="K20" s="13" t="str">
        <f t="shared" si="4"/>
        <v/>
      </c>
      <c r="L20" s="9" t="str">
        <f t="shared" si="5"/>
        <v/>
      </c>
      <c r="M20" s="1" t="str">
        <f t="shared" si="6"/>
        <v/>
      </c>
      <c r="N20" s="1" t="str">
        <f t="shared" si="7"/>
        <v/>
      </c>
      <c r="O20" s="1" t="str">
        <f t="shared" si="8"/>
        <v/>
      </c>
      <c r="P20" s="1" t="str">
        <f t="shared" si="9"/>
        <v/>
      </c>
      <c r="Q20" s="1" t="str">
        <f t="shared" si="10"/>
        <v/>
      </c>
      <c r="R20" s="1" t="str">
        <f t="shared" si="11"/>
        <v/>
      </c>
      <c r="S20" s="1" t="str">
        <f t="shared" si="12"/>
        <v/>
      </c>
      <c r="T20" s="1" t="str">
        <f t="shared" si="13"/>
        <v/>
      </c>
      <c r="U20" s="1" t="str">
        <f t="shared" si="14"/>
        <v/>
      </c>
      <c r="V20" s="1" t="str">
        <f t="shared" si="15"/>
        <v/>
      </c>
      <c r="W20" s="26" t="str">
        <f t="shared" si="16"/>
        <v/>
      </c>
      <c r="X20" s="13" t="str">
        <f t="shared" si="17"/>
        <v/>
      </c>
      <c r="Y20" s="9">
        <f t="shared" si="18"/>
        <v>0</v>
      </c>
    </row>
    <row r="21" spans="1:25" x14ac:dyDescent="0.25">
      <c r="A21" s="28"/>
      <c r="B21" s="29"/>
      <c r="C21" s="30"/>
      <c r="D21" s="31"/>
      <c r="E21" s="29" t="s">
        <v>16</v>
      </c>
      <c r="F21" s="13" t="b">
        <f>IF($E21=Categories!$A$1,"",IF($E21=Categories!$A$2,Categories!$B$2,IF($E21=Categories!$A$3,Categories!$B$3,IF($E21=Categories!$A$4,Categories!$B$4,IF($E21=Categories!$A$5,Categories!$B$5,IF($E21=Categories!$A$6,Categories!$B$6,IF($E21=Categories!$A$7,Categories!$B$7,IF($E21=Categories!$A$8,Categories!$B$8,IF($E21=Categories!$A$9,Categories!$B$9,IF($E21=Categories!$A$10,Categories!$B$10,IF($E21=Categories!$A$11,Categories!$B$11,IF($E21=Categories!$A$12,Categories!$B$12,IF($E21=Categories!$A$13,Categories!$B$13,IF($E21=Categories!$A$14,Categories!$B$14,IF($E21=Categories!$A$15,Categories!$B$15,IF($E21=Categories!$A$16,Categories!$B$16,IF($E21=Categories!$A$17,Categories!$B$17,IF($E21=Categories!$A$18,Categories!$B$18,IF($E21=Categories!$A$19,Categories!$B$19)))))))))))))))))))</f>
        <v>0</v>
      </c>
      <c r="G21" s="9" t="str">
        <f t="shared" si="0"/>
        <v/>
      </c>
      <c r="H21" s="1" t="str">
        <f t="shared" si="1"/>
        <v/>
      </c>
      <c r="I21" s="1" t="str">
        <f t="shared" si="2"/>
        <v/>
      </c>
      <c r="J21" s="1" t="str">
        <f t="shared" si="3"/>
        <v/>
      </c>
      <c r="K21" s="13" t="str">
        <f t="shared" si="4"/>
        <v/>
      </c>
      <c r="L21" s="9" t="str">
        <f t="shared" si="5"/>
        <v/>
      </c>
      <c r="M21" s="1" t="str">
        <f t="shared" si="6"/>
        <v/>
      </c>
      <c r="N21" s="1" t="str">
        <f t="shared" si="7"/>
        <v/>
      </c>
      <c r="O21" s="1" t="str">
        <f t="shared" si="8"/>
        <v/>
      </c>
      <c r="P21" s="1" t="str">
        <f t="shared" si="9"/>
        <v/>
      </c>
      <c r="Q21" s="1" t="str">
        <f t="shared" si="10"/>
        <v/>
      </c>
      <c r="R21" s="1" t="str">
        <f t="shared" si="11"/>
        <v/>
      </c>
      <c r="S21" s="1" t="str">
        <f t="shared" si="12"/>
        <v/>
      </c>
      <c r="T21" s="1" t="str">
        <f t="shared" si="13"/>
        <v/>
      </c>
      <c r="U21" s="1" t="str">
        <f t="shared" si="14"/>
        <v/>
      </c>
      <c r="V21" s="1" t="str">
        <f t="shared" si="15"/>
        <v/>
      </c>
      <c r="W21" s="26" t="str">
        <f t="shared" si="16"/>
        <v/>
      </c>
      <c r="X21" s="13" t="str">
        <f t="shared" si="17"/>
        <v/>
      </c>
      <c r="Y21" s="9">
        <f t="shared" si="18"/>
        <v>0</v>
      </c>
    </row>
    <row r="22" spans="1:25" x14ac:dyDescent="0.25">
      <c r="A22" s="28"/>
      <c r="B22" s="29"/>
      <c r="C22" s="30"/>
      <c r="D22" s="31"/>
      <c r="E22" s="29" t="s">
        <v>16</v>
      </c>
      <c r="F22" s="13" t="b">
        <f>IF($E22=Categories!$A$1,"",IF($E22=Categories!$A$2,Categories!$B$2,IF($E22=Categories!$A$3,Categories!$B$3,IF($E22=Categories!$A$4,Categories!$B$4,IF($E22=Categories!$A$5,Categories!$B$5,IF($E22=Categories!$A$6,Categories!$B$6,IF($E22=Categories!$A$7,Categories!$B$7,IF($E22=Categories!$A$8,Categories!$B$8,IF($E22=Categories!$A$9,Categories!$B$9,IF($E22=Categories!$A$10,Categories!$B$10,IF($E22=Categories!$A$11,Categories!$B$11,IF($E22=Categories!$A$12,Categories!$B$12,IF($E22=Categories!$A$13,Categories!$B$13,IF($E22=Categories!$A$14,Categories!$B$14,IF($E22=Categories!$A$15,Categories!$B$15,IF($E22=Categories!$A$16,Categories!$B$16,IF($E22=Categories!$A$17,Categories!$B$17,IF($E22=Categories!$A$18,Categories!$B$18,IF($E22=Categories!$A$19,Categories!$B$19)))))))))))))))))))</f>
        <v>0</v>
      </c>
      <c r="G22" s="9" t="str">
        <f t="shared" si="0"/>
        <v/>
      </c>
      <c r="H22" s="1" t="str">
        <f t="shared" si="1"/>
        <v/>
      </c>
      <c r="I22" s="1" t="str">
        <f t="shared" si="2"/>
        <v/>
      </c>
      <c r="J22" s="1" t="str">
        <f t="shared" si="3"/>
        <v/>
      </c>
      <c r="K22" s="13" t="str">
        <f t="shared" si="4"/>
        <v/>
      </c>
      <c r="L22" s="9" t="str">
        <f t="shared" si="5"/>
        <v/>
      </c>
      <c r="M22" s="1" t="str">
        <f t="shared" si="6"/>
        <v/>
      </c>
      <c r="N22" s="1" t="str">
        <f t="shared" si="7"/>
        <v/>
      </c>
      <c r="O22" s="1" t="str">
        <f t="shared" si="8"/>
        <v/>
      </c>
      <c r="P22" s="1" t="str">
        <f t="shared" si="9"/>
        <v/>
      </c>
      <c r="Q22" s="1" t="str">
        <f t="shared" si="10"/>
        <v/>
      </c>
      <c r="R22" s="1" t="str">
        <f t="shared" si="11"/>
        <v/>
      </c>
      <c r="S22" s="1" t="str">
        <f t="shared" si="12"/>
        <v/>
      </c>
      <c r="T22" s="1" t="str">
        <f t="shared" si="13"/>
        <v/>
      </c>
      <c r="U22" s="1" t="str">
        <f t="shared" si="14"/>
        <v/>
      </c>
      <c r="V22" s="1" t="str">
        <f t="shared" si="15"/>
        <v/>
      </c>
      <c r="W22" s="26" t="str">
        <f t="shared" si="16"/>
        <v/>
      </c>
      <c r="X22" s="13" t="str">
        <f t="shared" si="17"/>
        <v/>
      </c>
      <c r="Y22" s="9">
        <f t="shared" si="18"/>
        <v>0</v>
      </c>
    </row>
    <row r="23" spans="1:25" x14ac:dyDescent="0.25">
      <c r="A23" s="28"/>
      <c r="B23" s="29"/>
      <c r="C23" s="30"/>
      <c r="D23" s="31"/>
      <c r="E23" s="29" t="s">
        <v>16</v>
      </c>
      <c r="F23" s="13" t="b">
        <f>IF($E23=Categories!$A$1,"",IF($E23=Categories!$A$2,Categories!$B$2,IF($E23=Categories!$A$3,Categories!$B$3,IF($E23=Categories!$A$4,Categories!$B$4,IF($E23=Categories!$A$5,Categories!$B$5,IF($E23=Categories!$A$6,Categories!$B$6,IF($E23=Categories!$A$7,Categories!$B$7,IF($E23=Categories!$A$8,Categories!$B$8,IF($E23=Categories!$A$9,Categories!$B$9,IF($E23=Categories!$A$10,Categories!$B$10,IF($E23=Categories!$A$11,Categories!$B$11,IF($E23=Categories!$A$12,Categories!$B$12,IF($E23=Categories!$A$13,Categories!$B$13,IF($E23=Categories!$A$14,Categories!$B$14,IF($E23=Categories!$A$15,Categories!$B$15,IF($E23=Categories!$A$16,Categories!$B$16,IF($E23=Categories!$A$17,Categories!$B$17,IF($E23=Categories!$A$18,Categories!$B$18,IF($E23=Categories!$A$19,Categories!$B$19)))))))))))))))))))</f>
        <v>0</v>
      </c>
      <c r="G23" s="9" t="str">
        <f t="shared" si="0"/>
        <v/>
      </c>
      <c r="H23" s="1" t="str">
        <f t="shared" si="1"/>
        <v/>
      </c>
      <c r="I23" s="1" t="str">
        <f t="shared" si="2"/>
        <v/>
      </c>
      <c r="J23" s="1" t="str">
        <f t="shared" si="3"/>
        <v/>
      </c>
      <c r="K23" s="13" t="str">
        <f t="shared" si="4"/>
        <v/>
      </c>
      <c r="L23" s="9" t="str">
        <f t="shared" si="5"/>
        <v/>
      </c>
      <c r="M23" s="1" t="str">
        <f t="shared" si="6"/>
        <v/>
      </c>
      <c r="N23" s="1" t="str">
        <f t="shared" si="7"/>
        <v/>
      </c>
      <c r="O23" s="1" t="str">
        <f t="shared" si="8"/>
        <v/>
      </c>
      <c r="P23" s="1" t="str">
        <f t="shared" si="9"/>
        <v/>
      </c>
      <c r="Q23" s="1" t="str">
        <f t="shared" si="10"/>
        <v/>
      </c>
      <c r="R23" s="1" t="str">
        <f t="shared" si="11"/>
        <v/>
      </c>
      <c r="S23" s="1" t="str">
        <f t="shared" si="12"/>
        <v/>
      </c>
      <c r="T23" s="1" t="str">
        <f t="shared" si="13"/>
        <v/>
      </c>
      <c r="U23" s="1" t="str">
        <f t="shared" si="14"/>
        <v/>
      </c>
      <c r="V23" s="1" t="str">
        <f t="shared" si="15"/>
        <v/>
      </c>
      <c r="W23" s="26" t="str">
        <f t="shared" si="16"/>
        <v/>
      </c>
      <c r="X23" s="13" t="str">
        <f t="shared" si="17"/>
        <v/>
      </c>
      <c r="Y23" s="9">
        <f t="shared" si="18"/>
        <v>0</v>
      </c>
    </row>
    <row r="24" spans="1:25" x14ac:dyDescent="0.25">
      <c r="A24" s="28"/>
      <c r="B24" s="29"/>
      <c r="C24" s="30"/>
      <c r="D24" s="31"/>
      <c r="E24" s="29" t="s">
        <v>16</v>
      </c>
      <c r="F24" s="13" t="b">
        <f>IF($E24=Categories!$A$1,"",IF($E24=Categories!$A$2,Categories!$B$2,IF($E24=Categories!$A$3,Categories!$B$3,IF($E24=Categories!$A$4,Categories!$B$4,IF($E24=Categories!$A$5,Categories!$B$5,IF($E24=Categories!$A$6,Categories!$B$6,IF($E24=Categories!$A$7,Categories!$B$7,IF($E24=Categories!$A$8,Categories!$B$8,IF($E24=Categories!$A$9,Categories!$B$9,IF($E24=Categories!$A$10,Categories!$B$10,IF($E24=Categories!$A$11,Categories!$B$11,IF($E24=Categories!$A$12,Categories!$B$12,IF($E24=Categories!$A$13,Categories!$B$13,IF($E24=Categories!$A$14,Categories!$B$14,IF($E24=Categories!$A$15,Categories!$B$15,IF($E24=Categories!$A$16,Categories!$B$16,IF($E24=Categories!$A$17,Categories!$B$17,IF($E24=Categories!$A$18,Categories!$B$18,IF($E24=Categories!$A$19,Categories!$B$19)))))))))))))))))))</f>
        <v>0</v>
      </c>
      <c r="G24" s="9" t="str">
        <f t="shared" si="0"/>
        <v/>
      </c>
      <c r="H24" s="1" t="str">
        <f t="shared" si="1"/>
        <v/>
      </c>
      <c r="I24" s="1" t="str">
        <f t="shared" si="2"/>
        <v/>
      </c>
      <c r="J24" s="1" t="str">
        <f t="shared" si="3"/>
        <v/>
      </c>
      <c r="K24" s="13" t="str">
        <f t="shared" si="4"/>
        <v/>
      </c>
      <c r="L24" s="9" t="str">
        <f t="shared" si="5"/>
        <v/>
      </c>
      <c r="M24" s="1" t="str">
        <f t="shared" si="6"/>
        <v/>
      </c>
      <c r="N24" s="1" t="str">
        <f t="shared" si="7"/>
        <v/>
      </c>
      <c r="O24" s="1" t="str">
        <f t="shared" si="8"/>
        <v/>
      </c>
      <c r="P24" s="1" t="str">
        <f t="shared" si="9"/>
        <v/>
      </c>
      <c r="Q24" s="1" t="str">
        <f t="shared" si="10"/>
        <v/>
      </c>
      <c r="R24" s="1" t="str">
        <f t="shared" si="11"/>
        <v/>
      </c>
      <c r="S24" s="1" t="str">
        <f t="shared" si="12"/>
        <v/>
      </c>
      <c r="T24" s="1" t="str">
        <f t="shared" si="13"/>
        <v/>
      </c>
      <c r="U24" s="1" t="str">
        <f t="shared" si="14"/>
        <v/>
      </c>
      <c r="V24" s="1" t="str">
        <f t="shared" si="15"/>
        <v/>
      </c>
      <c r="W24" s="26" t="str">
        <f t="shared" si="16"/>
        <v/>
      </c>
      <c r="X24" s="13" t="str">
        <f t="shared" si="17"/>
        <v/>
      </c>
      <c r="Y24" s="9">
        <f t="shared" si="18"/>
        <v>0</v>
      </c>
    </row>
    <row r="25" spans="1:25" x14ac:dyDescent="0.25">
      <c r="A25" s="28"/>
      <c r="B25" s="29"/>
      <c r="C25" s="30"/>
      <c r="D25" s="31"/>
      <c r="E25" s="29" t="s">
        <v>16</v>
      </c>
      <c r="F25" s="13" t="b">
        <f>IF($E25=Categories!$A$1,"",IF($E25=Categories!$A$2,Categories!$B$2,IF($E25=Categories!$A$3,Categories!$B$3,IF($E25=Categories!$A$4,Categories!$B$4,IF($E25=Categories!$A$5,Categories!$B$5,IF($E25=Categories!$A$6,Categories!$B$6,IF($E25=Categories!$A$7,Categories!$B$7,IF($E25=Categories!$A$8,Categories!$B$8,IF($E25=Categories!$A$9,Categories!$B$9,IF($E25=Categories!$A$10,Categories!$B$10,IF($E25=Categories!$A$11,Categories!$B$11,IF($E25=Categories!$A$12,Categories!$B$12,IF($E25=Categories!$A$13,Categories!$B$13,IF($E25=Categories!$A$14,Categories!$B$14,IF($E25=Categories!$A$15,Categories!$B$15,IF($E25=Categories!$A$16,Categories!$B$16,IF($E25=Categories!$A$17,Categories!$B$17,IF($E25=Categories!$A$18,Categories!$B$18,IF($E25=Categories!$A$19,Categories!$B$19)))))))))))))))))))</f>
        <v>0</v>
      </c>
      <c r="G25" s="9" t="str">
        <f t="shared" si="0"/>
        <v/>
      </c>
      <c r="H25" s="1" t="str">
        <f t="shared" si="1"/>
        <v/>
      </c>
      <c r="I25" s="1" t="str">
        <f t="shared" si="2"/>
        <v/>
      </c>
      <c r="J25" s="1" t="str">
        <f t="shared" si="3"/>
        <v/>
      </c>
      <c r="K25" s="13" t="str">
        <f t="shared" si="4"/>
        <v/>
      </c>
      <c r="L25" s="9" t="str">
        <f t="shared" si="5"/>
        <v/>
      </c>
      <c r="M25" s="1" t="str">
        <f t="shared" si="6"/>
        <v/>
      </c>
      <c r="N25" s="1" t="str">
        <f t="shared" si="7"/>
        <v/>
      </c>
      <c r="O25" s="1" t="str">
        <f t="shared" si="8"/>
        <v/>
      </c>
      <c r="P25" s="1" t="str">
        <f t="shared" si="9"/>
        <v/>
      </c>
      <c r="Q25" s="1" t="str">
        <f t="shared" si="10"/>
        <v/>
      </c>
      <c r="R25" s="1" t="str">
        <f t="shared" si="11"/>
        <v/>
      </c>
      <c r="S25" s="1" t="str">
        <f t="shared" si="12"/>
        <v/>
      </c>
      <c r="T25" s="1" t="str">
        <f t="shared" si="13"/>
        <v/>
      </c>
      <c r="U25" s="1" t="str">
        <f t="shared" si="14"/>
        <v/>
      </c>
      <c r="V25" s="1" t="str">
        <f t="shared" si="15"/>
        <v/>
      </c>
      <c r="W25" s="26" t="str">
        <f t="shared" si="16"/>
        <v/>
      </c>
      <c r="X25" s="13" t="str">
        <f t="shared" si="17"/>
        <v/>
      </c>
      <c r="Y25" s="9">
        <f t="shared" si="18"/>
        <v>0</v>
      </c>
    </row>
    <row r="26" spans="1:25" x14ac:dyDescent="0.25">
      <c r="A26" s="28"/>
      <c r="B26" s="29"/>
      <c r="C26" s="30"/>
      <c r="D26" s="31"/>
      <c r="E26" s="29" t="s">
        <v>16</v>
      </c>
      <c r="F26" s="13" t="b">
        <f>IF($E26=Categories!$A$1,"",IF($E26=Categories!$A$2,Categories!$B$2,IF($E26=Categories!$A$3,Categories!$B$3,IF($E26=Categories!$A$4,Categories!$B$4,IF($E26=Categories!$A$5,Categories!$B$5,IF($E26=Categories!$A$6,Categories!$B$6,IF($E26=Categories!$A$7,Categories!$B$7,IF($E26=Categories!$A$8,Categories!$B$8,IF($E26=Categories!$A$9,Categories!$B$9,IF($E26=Categories!$A$10,Categories!$B$10,IF($E26=Categories!$A$11,Categories!$B$11,IF($E26=Categories!$A$12,Categories!$B$12,IF($E26=Categories!$A$13,Categories!$B$13,IF($E26=Categories!$A$14,Categories!$B$14,IF($E26=Categories!$A$15,Categories!$B$15,IF($E26=Categories!$A$16,Categories!$B$16,IF($E26=Categories!$A$17,Categories!$B$17,IF($E26=Categories!$A$18,Categories!$B$18,IF($E26=Categories!$A$19,Categories!$B$19)))))))))))))))))))</f>
        <v>0</v>
      </c>
      <c r="G26" s="9" t="str">
        <f t="shared" si="0"/>
        <v/>
      </c>
      <c r="H26" s="1" t="str">
        <f t="shared" si="1"/>
        <v/>
      </c>
      <c r="I26" s="1" t="str">
        <f t="shared" si="2"/>
        <v/>
      </c>
      <c r="J26" s="1" t="str">
        <f t="shared" si="3"/>
        <v/>
      </c>
      <c r="K26" s="13" t="str">
        <f t="shared" si="4"/>
        <v/>
      </c>
      <c r="L26" s="9" t="str">
        <f t="shared" si="5"/>
        <v/>
      </c>
      <c r="M26" s="1" t="str">
        <f t="shared" si="6"/>
        <v/>
      </c>
      <c r="N26" s="1" t="str">
        <f t="shared" si="7"/>
        <v/>
      </c>
      <c r="O26" s="1" t="str">
        <f t="shared" si="8"/>
        <v/>
      </c>
      <c r="P26" s="1" t="str">
        <f t="shared" si="9"/>
        <v/>
      </c>
      <c r="Q26" s="1" t="str">
        <f t="shared" si="10"/>
        <v/>
      </c>
      <c r="R26" s="1" t="str">
        <f t="shared" si="11"/>
        <v/>
      </c>
      <c r="S26" s="1" t="str">
        <f t="shared" si="12"/>
        <v/>
      </c>
      <c r="T26" s="1" t="str">
        <f t="shared" si="13"/>
        <v/>
      </c>
      <c r="U26" s="1" t="str">
        <f t="shared" si="14"/>
        <v/>
      </c>
      <c r="V26" s="1" t="str">
        <f t="shared" si="15"/>
        <v/>
      </c>
      <c r="W26" s="26" t="str">
        <f t="shared" si="16"/>
        <v/>
      </c>
      <c r="X26" s="13" t="str">
        <f t="shared" si="17"/>
        <v/>
      </c>
      <c r="Y26" s="9">
        <f t="shared" si="18"/>
        <v>0</v>
      </c>
    </row>
    <row r="27" spans="1:25" x14ac:dyDescent="0.25">
      <c r="A27" s="28"/>
      <c r="B27" s="29"/>
      <c r="C27" s="30"/>
      <c r="D27" s="31"/>
      <c r="E27" s="29" t="s">
        <v>16</v>
      </c>
      <c r="F27" s="13" t="b">
        <f>IF($E27=Categories!$A$1,"",IF($E27=Categories!$A$2,Categories!$B$2,IF($E27=Categories!$A$3,Categories!$B$3,IF($E27=Categories!$A$4,Categories!$B$4,IF($E27=Categories!$A$5,Categories!$B$5,IF($E27=Categories!$A$6,Categories!$B$6,IF($E27=Categories!$A$7,Categories!$B$7,IF($E27=Categories!$A$8,Categories!$B$8,IF($E27=Categories!$A$9,Categories!$B$9,IF($E27=Categories!$A$10,Categories!$B$10,IF($E27=Categories!$A$11,Categories!$B$11,IF($E27=Categories!$A$12,Categories!$B$12,IF($E27=Categories!$A$13,Categories!$B$13,IF($E27=Categories!$A$14,Categories!$B$14,IF($E27=Categories!$A$15,Categories!$B$15,IF($E27=Categories!$A$16,Categories!$B$16,IF($E27=Categories!$A$17,Categories!$B$17,IF($E27=Categories!$A$18,Categories!$B$18,IF($E27=Categories!$A$19,Categories!$B$19)))))))))))))))))))</f>
        <v>0</v>
      </c>
      <c r="G27" s="9" t="str">
        <f t="shared" si="0"/>
        <v/>
      </c>
      <c r="H27" s="1" t="str">
        <f t="shared" si="1"/>
        <v/>
      </c>
      <c r="I27" s="1" t="str">
        <f t="shared" si="2"/>
        <v/>
      </c>
      <c r="J27" s="1" t="str">
        <f t="shared" si="3"/>
        <v/>
      </c>
      <c r="K27" s="13" t="str">
        <f t="shared" si="4"/>
        <v/>
      </c>
      <c r="L27" s="9" t="str">
        <f t="shared" si="5"/>
        <v/>
      </c>
      <c r="M27" s="1" t="str">
        <f t="shared" si="6"/>
        <v/>
      </c>
      <c r="N27" s="1" t="str">
        <f t="shared" si="7"/>
        <v/>
      </c>
      <c r="O27" s="1" t="str">
        <f t="shared" si="8"/>
        <v/>
      </c>
      <c r="P27" s="1" t="str">
        <f t="shared" si="9"/>
        <v/>
      </c>
      <c r="Q27" s="1" t="str">
        <f t="shared" si="10"/>
        <v/>
      </c>
      <c r="R27" s="1" t="str">
        <f t="shared" si="11"/>
        <v/>
      </c>
      <c r="S27" s="1" t="str">
        <f t="shared" si="12"/>
        <v/>
      </c>
      <c r="T27" s="1" t="str">
        <f t="shared" si="13"/>
        <v/>
      </c>
      <c r="U27" s="1" t="str">
        <f t="shared" si="14"/>
        <v/>
      </c>
      <c r="V27" s="1" t="str">
        <f t="shared" si="15"/>
        <v/>
      </c>
      <c r="W27" s="26" t="str">
        <f t="shared" si="16"/>
        <v/>
      </c>
      <c r="X27" s="13" t="str">
        <f t="shared" si="17"/>
        <v/>
      </c>
      <c r="Y27" s="9">
        <f t="shared" si="18"/>
        <v>0</v>
      </c>
    </row>
    <row r="28" spans="1:25" x14ac:dyDescent="0.25">
      <c r="A28" s="28"/>
      <c r="B28" s="29"/>
      <c r="C28" s="30"/>
      <c r="D28" s="31"/>
      <c r="E28" s="29" t="s">
        <v>16</v>
      </c>
      <c r="F28" s="13" t="b">
        <f>IF($E28=Categories!$A$1,"",IF($E28=Categories!$A$2,Categories!$B$2,IF($E28=Categories!$A$3,Categories!$B$3,IF($E28=Categories!$A$4,Categories!$B$4,IF($E28=Categories!$A$5,Categories!$B$5,IF($E28=Categories!$A$6,Categories!$B$6,IF($E28=Categories!$A$7,Categories!$B$7,IF($E28=Categories!$A$8,Categories!$B$8,IF($E28=Categories!$A$9,Categories!$B$9,IF($E28=Categories!$A$10,Categories!$B$10,IF($E28=Categories!$A$11,Categories!$B$11,IF($E28=Categories!$A$12,Categories!$B$12,IF($E28=Categories!$A$13,Categories!$B$13,IF($E28=Categories!$A$14,Categories!$B$14,IF($E28=Categories!$A$15,Categories!$B$15,IF($E28=Categories!$A$16,Categories!$B$16,IF($E28=Categories!$A$17,Categories!$B$17,IF($E28=Categories!$A$18,Categories!$B$18,IF($E28=Categories!$A$19,Categories!$B$19)))))))))))))))))))</f>
        <v>0</v>
      </c>
      <c r="G28" s="9" t="str">
        <f t="shared" si="0"/>
        <v/>
      </c>
      <c r="H28" s="1" t="str">
        <f t="shared" si="1"/>
        <v/>
      </c>
      <c r="I28" s="1" t="str">
        <f t="shared" si="2"/>
        <v/>
      </c>
      <c r="J28" s="1" t="str">
        <f t="shared" si="3"/>
        <v/>
      </c>
      <c r="K28" s="13" t="str">
        <f t="shared" si="4"/>
        <v/>
      </c>
      <c r="L28" s="9" t="str">
        <f t="shared" si="5"/>
        <v/>
      </c>
      <c r="M28" s="1" t="str">
        <f t="shared" si="6"/>
        <v/>
      </c>
      <c r="N28" s="1" t="str">
        <f t="shared" si="7"/>
        <v/>
      </c>
      <c r="O28" s="1" t="str">
        <f t="shared" si="8"/>
        <v/>
      </c>
      <c r="P28" s="1" t="str">
        <f t="shared" si="9"/>
        <v/>
      </c>
      <c r="Q28" s="1" t="str">
        <f t="shared" si="10"/>
        <v/>
      </c>
      <c r="R28" s="1" t="str">
        <f t="shared" si="11"/>
        <v/>
      </c>
      <c r="S28" s="1" t="str">
        <f t="shared" si="12"/>
        <v/>
      </c>
      <c r="T28" s="1" t="str">
        <f t="shared" si="13"/>
        <v/>
      </c>
      <c r="U28" s="1" t="str">
        <f t="shared" si="14"/>
        <v/>
      </c>
      <c r="V28" s="1" t="str">
        <f t="shared" si="15"/>
        <v/>
      </c>
      <c r="W28" s="26" t="str">
        <f t="shared" si="16"/>
        <v/>
      </c>
      <c r="X28" s="13" t="str">
        <f t="shared" si="17"/>
        <v/>
      </c>
      <c r="Y28" s="9">
        <f t="shared" si="18"/>
        <v>0</v>
      </c>
    </row>
    <row r="29" spans="1:25" x14ac:dyDescent="0.25">
      <c r="A29" s="28"/>
      <c r="B29" s="29"/>
      <c r="C29" s="30"/>
      <c r="D29" s="31"/>
      <c r="E29" s="29" t="s">
        <v>16</v>
      </c>
      <c r="F29" s="13" t="b">
        <f>IF($E29=Categories!$A$1,"",IF($E29=Categories!$A$2,Categories!$B$2,IF($E29=Categories!$A$3,Categories!$B$3,IF($E29=Categories!$A$4,Categories!$B$4,IF($E29=Categories!$A$5,Categories!$B$5,IF($E29=Categories!$A$6,Categories!$B$6,IF($E29=Categories!$A$7,Categories!$B$7,IF($E29=Categories!$A$8,Categories!$B$8,IF($E29=Categories!$A$9,Categories!$B$9,IF($E29=Categories!$A$10,Categories!$B$10,IF($E29=Categories!$A$11,Categories!$B$11,IF($E29=Categories!$A$12,Categories!$B$12,IF($E29=Categories!$A$13,Categories!$B$13,IF($E29=Categories!$A$14,Categories!$B$14,IF($E29=Categories!$A$15,Categories!$B$15,IF($E29=Categories!$A$16,Categories!$B$16,IF($E29=Categories!$A$17,Categories!$B$17,IF($E29=Categories!$A$18,Categories!$B$18,IF($E29=Categories!$A$19,Categories!$B$19)))))))))))))))))))</f>
        <v>0</v>
      </c>
      <c r="G29" s="9" t="str">
        <f t="shared" si="0"/>
        <v/>
      </c>
      <c r="H29" s="1" t="str">
        <f t="shared" si="1"/>
        <v/>
      </c>
      <c r="I29" s="1" t="str">
        <f t="shared" si="2"/>
        <v/>
      </c>
      <c r="J29" s="1" t="str">
        <f t="shared" si="3"/>
        <v/>
      </c>
      <c r="K29" s="13" t="str">
        <f t="shared" si="4"/>
        <v/>
      </c>
      <c r="L29" s="9" t="str">
        <f t="shared" si="5"/>
        <v/>
      </c>
      <c r="M29" s="1" t="str">
        <f t="shared" si="6"/>
        <v/>
      </c>
      <c r="N29" s="1" t="str">
        <f t="shared" si="7"/>
        <v/>
      </c>
      <c r="O29" s="1" t="str">
        <f t="shared" si="8"/>
        <v/>
      </c>
      <c r="P29" s="1" t="str">
        <f t="shared" si="9"/>
        <v/>
      </c>
      <c r="Q29" s="1" t="str">
        <f t="shared" si="10"/>
        <v/>
      </c>
      <c r="R29" s="1" t="str">
        <f t="shared" si="11"/>
        <v/>
      </c>
      <c r="S29" s="1" t="str">
        <f t="shared" si="12"/>
        <v/>
      </c>
      <c r="T29" s="1" t="str">
        <f t="shared" si="13"/>
        <v/>
      </c>
      <c r="U29" s="1" t="str">
        <f t="shared" si="14"/>
        <v/>
      </c>
      <c r="V29" s="1" t="str">
        <f t="shared" si="15"/>
        <v/>
      </c>
      <c r="W29" s="26" t="str">
        <f t="shared" si="16"/>
        <v/>
      </c>
      <c r="X29" s="13" t="str">
        <f t="shared" si="17"/>
        <v/>
      </c>
      <c r="Y29" s="9">
        <f t="shared" si="18"/>
        <v>0</v>
      </c>
    </row>
    <row r="30" spans="1:25" x14ac:dyDescent="0.25">
      <c r="A30" s="28"/>
      <c r="B30" s="29"/>
      <c r="C30" s="30"/>
      <c r="D30" s="31"/>
      <c r="E30" s="29" t="s">
        <v>16</v>
      </c>
      <c r="F30" s="13" t="b">
        <f>IF($E30=Categories!$A$1,"",IF($E30=Categories!$A$2,Categories!$B$2,IF($E30=Categories!$A$3,Categories!$B$3,IF($E30=Categories!$A$4,Categories!$B$4,IF($E30=Categories!$A$5,Categories!$B$5,IF($E30=Categories!$A$6,Categories!$B$6,IF($E30=Categories!$A$7,Categories!$B$7,IF($E30=Categories!$A$8,Categories!$B$8,IF($E30=Categories!$A$9,Categories!$B$9,IF($E30=Categories!$A$10,Categories!$B$10,IF($E30=Categories!$A$11,Categories!$B$11,IF($E30=Categories!$A$12,Categories!$B$12,IF($E30=Categories!$A$13,Categories!$B$13,IF($E30=Categories!$A$14,Categories!$B$14,IF($E30=Categories!$A$15,Categories!$B$15,IF($E30=Categories!$A$16,Categories!$B$16,IF($E30=Categories!$A$17,Categories!$B$17,IF($E30=Categories!$A$18,Categories!$B$18,IF($E30=Categories!$A$19,Categories!$B$19)))))))))))))))))))</f>
        <v>0</v>
      </c>
      <c r="G30" s="9" t="str">
        <f t="shared" si="0"/>
        <v/>
      </c>
      <c r="H30" s="1" t="str">
        <f t="shared" si="1"/>
        <v/>
      </c>
      <c r="I30" s="1" t="str">
        <f t="shared" si="2"/>
        <v/>
      </c>
      <c r="J30" s="1" t="str">
        <f t="shared" si="3"/>
        <v/>
      </c>
      <c r="K30" s="13" t="str">
        <f t="shared" si="4"/>
        <v/>
      </c>
      <c r="L30" s="9" t="str">
        <f t="shared" si="5"/>
        <v/>
      </c>
      <c r="M30" s="1" t="str">
        <f t="shared" si="6"/>
        <v/>
      </c>
      <c r="N30" s="1" t="str">
        <f t="shared" si="7"/>
        <v/>
      </c>
      <c r="O30" s="1" t="str">
        <f t="shared" si="8"/>
        <v/>
      </c>
      <c r="P30" s="1" t="str">
        <f t="shared" si="9"/>
        <v/>
      </c>
      <c r="Q30" s="1" t="str">
        <f t="shared" si="10"/>
        <v/>
      </c>
      <c r="R30" s="1" t="str">
        <f t="shared" si="11"/>
        <v/>
      </c>
      <c r="S30" s="1" t="str">
        <f t="shared" si="12"/>
        <v/>
      </c>
      <c r="T30" s="1" t="str">
        <f t="shared" si="13"/>
        <v/>
      </c>
      <c r="U30" s="1" t="str">
        <f t="shared" si="14"/>
        <v/>
      </c>
      <c r="V30" s="1" t="str">
        <f t="shared" si="15"/>
        <v/>
      </c>
      <c r="W30" s="26" t="str">
        <f t="shared" si="16"/>
        <v/>
      </c>
      <c r="X30" s="13" t="str">
        <f t="shared" si="17"/>
        <v/>
      </c>
      <c r="Y30" s="9">
        <f t="shared" si="18"/>
        <v>0</v>
      </c>
    </row>
    <row r="31" spans="1:25" x14ac:dyDescent="0.25">
      <c r="A31" s="28"/>
      <c r="B31" s="29"/>
      <c r="C31" s="30"/>
      <c r="D31" s="31"/>
      <c r="E31" s="29" t="s">
        <v>16</v>
      </c>
      <c r="F31" s="13" t="b">
        <f>IF($E31=Categories!$A$1,"",IF($E31=Categories!$A$2,Categories!$B$2,IF($E31=Categories!$A$3,Categories!$B$3,IF($E31=Categories!$A$4,Categories!$B$4,IF($E31=Categories!$A$5,Categories!$B$5,IF($E31=Categories!$A$6,Categories!$B$6,IF($E31=Categories!$A$7,Categories!$B$7,IF($E31=Categories!$A$8,Categories!$B$8,IF($E31=Categories!$A$9,Categories!$B$9,IF($E31=Categories!$A$10,Categories!$B$10,IF($E31=Categories!$A$11,Categories!$B$11,IF($E31=Categories!$A$12,Categories!$B$12,IF($E31=Categories!$A$13,Categories!$B$13,IF($E31=Categories!$A$14,Categories!$B$14,IF($E31=Categories!$A$15,Categories!$B$15,IF($E31=Categories!$A$16,Categories!$B$16,IF($E31=Categories!$A$17,Categories!$B$17,IF($E31=Categories!$A$18,Categories!$B$18,IF($E31=Categories!$A$19,Categories!$B$19)))))))))))))))))))</f>
        <v>0</v>
      </c>
      <c r="G31" s="9" t="str">
        <f t="shared" si="0"/>
        <v/>
      </c>
      <c r="H31" s="1" t="str">
        <f t="shared" si="1"/>
        <v/>
      </c>
      <c r="I31" s="1" t="str">
        <f t="shared" si="2"/>
        <v/>
      </c>
      <c r="J31" s="1" t="str">
        <f t="shared" si="3"/>
        <v/>
      </c>
      <c r="K31" s="13" t="str">
        <f t="shared" si="4"/>
        <v/>
      </c>
      <c r="L31" s="9" t="str">
        <f t="shared" si="5"/>
        <v/>
      </c>
      <c r="M31" s="1" t="str">
        <f t="shared" si="6"/>
        <v/>
      </c>
      <c r="N31" s="1" t="str">
        <f t="shared" si="7"/>
        <v/>
      </c>
      <c r="O31" s="1" t="str">
        <f t="shared" si="8"/>
        <v/>
      </c>
      <c r="P31" s="1" t="str">
        <f t="shared" si="9"/>
        <v/>
      </c>
      <c r="Q31" s="1" t="str">
        <f t="shared" si="10"/>
        <v/>
      </c>
      <c r="R31" s="1" t="str">
        <f t="shared" si="11"/>
        <v/>
      </c>
      <c r="S31" s="1" t="str">
        <f t="shared" si="12"/>
        <v/>
      </c>
      <c r="T31" s="1" t="str">
        <f t="shared" si="13"/>
        <v/>
      </c>
      <c r="U31" s="1" t="str">
        <f t="shared" si="14"/>
        <v/>
      </c>
      <c r="V31" s="1" t="str">
        <f t="shared" si="15"/>
        <v/>
      </c>
      <c r="W31" s="26" t="str">
        <f t="shared" si="16"/>
        <v/>
      </c>
      <c r="X31" s="13" t="str">
        <f t="shared" si="17"/>
        <v/>
      </c>
      <c r="Y31" s="9">
        <f t="shared" si="18"/>
        <v>0</v>
      </c>
    </row>
    <row r="32" spans="1:25" x14ac:dyDescent="0.25">
      <c r="A32" s="28"/>
      <c r="B32" s="29"/>
      <c r="C32" s="30"/>
      <c r="D32" s="31"/>
      <c r="E32" s="29" t="s">
        <v>16</v>
      </c>
      <c r="F32" s="13" t="b">
        <f>IF($E32=Categories!$A$1,"",IF($E32=Categories!$A$2,Categories!$B$2,IF($E32=Categories!$A$3,Categories!$B$3,IF($E32=Categories!$A$4,Categories!$B$4,IF($E32=Categories!$A$5,Categories!$B$5,IF($E32=Categories!$A$6,Categories!$B$6,IF($E32=Categories!$A$7,Categories!$B$7,IF($E32=Categories!$A$8,Categories!$B$8,IF($E32=Categories!$A$9,Categories!$B$9,IF($E32=Categories!$A$10,Categories!$B$10,IF($E32=Categories!$A$11,Categories!$B$11,IF($E32=Categories!$A$12,Categories!$B$12,IF($E32=Categories!$A$13,Categories!$B$13,IF($E32=Categories!$A$14,Categories!$B$14,IF($E32=Categories!$A$15,Categories!$B$15,IF($E32=Categories!$A$16,Categories!$B$16,IF($E32=Categories!$A$17,Categories!$B$17,IF($E32=Categories!$A$18,Categories!$B$18,IF($E32=Categories!$A$19,Categories!$B$19)))))))))))))))))))</f>
        <v>0</v>
      </c>
      <c r="G32" s="9" t="str">
        <f t="shared" si="0"/>
        <v/>
      </c>
      <c r="H32" s="1" t="str">
        <f t="shared" si="1"/>
        <v/>
      </c>
      <c r="I32" s="1" t="str">
        <f t="shared" si="2"/>
        <v/>
      </c>
      <c r="J32" s="1" t="str">
        <f t="shared" si="3"/>
        <v/>
      </c>
      <c r="K32" s="13" t="str">
        <f t="shared" si="4"/>
        <v/>
      </c>
      <c r="L32" s="9" t="str">
        <f t="shared" si="5"/>
        <v/>
      </c>
      <c r="M32" s="1" t="str">
        <f t="shared" si="6"/>
        <v/>
      </c>
      <c r="N32" s="1" t="str">
        <f t="shared" si="7"/>
        <v/>
      </c>
      <c r="O32" s="1" t="str">
        <f t="shared" si="8"/>
        <v/>
      </c>
      <c r="P32" s="1" t="str">
        <f t="shared" si="9"/>
        <v/>
      </c>
      <c r="Q32" s="1" t="str">
        <f t="shared" si="10"/>
        <v/>
      </c>
      <c r="R32" s="1" t="str">
        <f t="shared" si="11"/>
        <v/>
      </c>
      <c r="S32" s="1" t="str">
        <f t="shared" si="12"/>
        <v/>
      </c>
      <c r="T32" s="1" t="str">
        <f t="shared" si="13"/>
        <v/>
      </c>
      <c r="U32" s="1" t="str">
        <f t="shared" si="14"/>
        <v/>
      </c>
      <c r="V32" s="1" t="str">
        <f t="shared" si="15"/>
        <v/>
      </c>
      <c r="W32" s="26" t="str">
        <f t="shared" si="16"/>
        <v/>
      </c>
      <c r="X32" s="13" t="str">
        <f t="shared" si="17"/>
        <v/>
      </c>
      <c r="Y32" s="9">
        <f t="shared" si="18"/>
        <v>0</v>
      </c>
    </row>
    <row r="33" spans="1:25" x14ac:dyDescent="0.25">
      <c r="A33" s="28"/>
      <c r="B33" s="29"/>
      <c r="C33" s="30"/>
      <c r="D33" s="31"/>
      <c r="E33" s="29" t="s">
        <v>16</v>
      </c>
      <c r="F33" s="13" t="b">
        <f>IF($E33=Categories!$A$1,"",IF($E33=Categories!$A$2,Categories!$B$2,IF($E33=Categories!$A$3,Categories!$B$3,IF($E33=Categories!$A$4,Categories!$B$4,IF($E33=Categories!$A$5,Categories!$B$5,IF($E33=Categories!$A$6,Categories!$B$6,IF($E33=Categories!$A$7,Categories!$B$7,IF($E33=Categories!$A$8,Categories!$B$8,IF($E33=Categories!$A$9,Categories!$B$9,IF($E33=Categories!$A$10,Categories!$B$10,IF($E33=Categories!$A$11,Categories!$B$11,IF($E33=Categories!$A$12,Categories!$B$12,IF($E33=Categories!$A$13,Categories!$B$13,IF($E33=Categories!$A$14,Categories!$B$14,IF($E33=Categories!$A$15,Categories!$B$15,IF($E33=Categories!$A$16,Categories!$B$16,IF($E33=Categories!$A$17,Categories!$B$17,IF($E33=Categories!$A$18,Categories!$B$18,IF($E33=Categories!$A$19,Categories!$B$19)))))))))))))))))))</f>
        <v>0</v>
      </c>
      <c r="G33" s="9" t="str">
        <f t="shared" si="0"/>
        <v/>
      </c>
      <c r="H33" s="1" t="str">
        <f t="shared" si="1"/>
        <v/>
      </c>
      <c r="I33" s="1" t="str">
        <f t="shared" si="2"/>
        <v/>
      </c>
      <c r="J33" s="1" t="str">
        <f t="shared" si="3"/>
        <v/>
      </c>
      <c r="K33" s="13" t="str">
        <f t="shared" si="4"/>
        <v/>
      </c>
      <c r="L33" s="9" t="str">
        <f t="shared" si="5"/>
        <v/>
      </c>
      <c r="M33" s="1" t="str">
        <f t="shared" si="6"/>
        <v/>
      </c>
      <c r="N33" s="1" t="str">
        <f t="shared" si="7"/>
        <v/>
      </c>
      <c r="O33" s="1" t="str">
        <f t="shared" si="8"/>
        <v/>
      </c>
      <c r="P33" s="1" t="str">
        <f t="shared" si="9"/>
        <v/>
      </c>
      <c r="Q33" s="1" t="str">
        <f t="shared" si="10"/>
        <v/>
      </c>
      <c r="R33" s="1" t="str">
        <f t="shared" si="11"/>
        <v/>
      </c>
      <c r="S33" s="1" t="str">
        <f t="shared" si="12"/>
        <v/>
      </c>
      <c r="T33" s="1" t="str">
        <f t="shared" si="13"/>
        <v/>
      </c>
      <c r="U33" s="1" t="str">
        <f t="shared" si="14"/>
        <v/>
      </c>
      <c r="V33" s="1" t="str">
        <f t="shared" si="15"/>
        <v/>
      </c>
      <c r="W33" s="26" t="str">
        <f t="shared" si="16"/>
        <v/>
      </c>
      <c r="X33" s="13" t="str">
        <f t="shared" si="17"/>
        <v/>
      </c>
      <c r="Y33" s="9">
        <f t="shared" si="18"/>
        <v>0</v>
      </c>
    </row>
    <row r="34" spans="1:25" x14ac:dyDescent="0.25">
      <c r="A34" s="28"/>
      <c r="B34" s="29"/>
      <c r="C34" s="30"/>
      <c r="D34" s="31"/>
      <c r="E34" s="29" t="s">
        <v>16</v>
      </c>
      <c r="F34" s="13" t="b">
        <f>IF($E34=Categories!$A$1,"",IF($E34=Categories!$A$2,Categories!$B$2,IF($E34=Categories!$A$3,Categories!$B$3,IF($E34=Categories!$A$4,Categories!$B$4,IF($E34=Categories!$A$5,Categories!$B$5,IF($E34=Categories!$A$6,Categories!$B$6,IF($E34=Categories!$A$7,Categories!$B$7,IF($E34=Categories!$A$8,Categories!$B$8,IF($E34=Categories!$A$9,Categories!$B$9,IF($E34=Categories!$A$10,Categories!$B$10,IF($E34=Categories!$A$11,Categories!$B$11,IF($E34=Categories!$A$12,Categories!$B$12,IF($E34=Categories!$A$13,Categories!$B$13,IF($E34=Categories!$A$14,Categories!$B$14,IF($E34=Categories!$A$15,Categories!$B$15,IF($E34=Categories!$A$16,Categories!$B$16,IF($E34=Categories!$A$17,Categories!$B$17,IF($E34=Categories!$A$18,Categories!$B$18,IF($E34=Categories!$A$19,Categories!$B$19)))))))))))))))))))</f>
        <v>0</v>
      </c>
      <c r="G34" s="9" t="str">
        <f t="shared" si="0"/>
        <v/>
      </c>
      <c r="H34" s="1" t="str">
        <f t="shared" si="1"/>
        <v/>
      </c>
      <c r="I34" s="1" t="str">
        <f t="shared" si="2"/>
        <v/>
      </c>
      <c r="J34" s="1" t="str">
        <f t="shared" si="3"/>
        <v/>
      </c>
      <c r="K34" s="13" t="str">
        <f t="shared" si="4"/>
        <v/>
      </c>
      <c r="L34" s="9" t="str">
        <f t="shared" si="5"/>
        <v/>
      </c>
      <c r="M34" s="1" t="str">
        <f t="shared" si="6"/>
        <v/>
      </c>
      <c r="N34" s="1" t="str">
        <f t="shared" si="7"/>
        <v/>
      </c>
      <c r="O34" s="1" t="str">
        <f t="shared" si="8"/>
        <v/>
      </c>
      <c r="P34" s="1" t="str">
        <f t="shared" si="9"/>
        <v/>
      </c>
      <c r="Q34" s="1" t="str">
        <f t="shared" si="10"/>
        <v/>
      </c>
      <c r="R34" s="1" t="str">
        <f t="shared" si="11"/>
        <v/>
      </c>
      <c r="S34" s="1" t="str">
        <f t="shared" si="12"/>
        <v/>
      </c>
      <c r="T34" s="1" t="str">
        <f t="shared" si="13"/>
        <v/>
      </c>
      <c r="U34" s="1" t="str">
        <f t="shared" si="14"/>
        <v/>
      </c>
      <c r="V34" s="1" t="str">
        <f t="shared" si="15"/>
        <v/>
      </c>
      <c r="W34" s="26" t="str">
        <f t="shared" si="16"/>
        <v/>
      </c>
      <c r="X34" s="13" t="str">
        <f t="shared" si="17"/>
        <v/>
      </c>
      <c r="Y34" s="9">
        <f t="shared" si="18"/>
        <v>0</v>
      </c>
    </row>
    <row r="35" spans="1:25" x14ac:dyDescent="0.25">
      <c r="A35" s="28"/>
      <c r="B35" s="29"/>
      <c r="C35" s="30"/>
      <c r="D35" s="31"/>
      <c r="E35" s="29" t="s">
        <v>16</v>
      </c>
      <c r="F35" s="13" t="b">
        <f>IF($E35=Categories!$A$1,"",IF($E35=Categories!$A$2,Categories!$B$2,IF($E35=Categories!$A$3,Categories!$B$3,IF($E35=Categories!$A$4,Categories!$B$4,IF($E35=Categories!$A$5,Categories!$B$5,IF($E35=Categories!$A$6,Categories!$B$6,IF($E35=Categories!$A$7,Categories!$B$7,IF($E35=Categories!$A$8,Categories!$B$8,IF($E35=Categories!$A$9,Categories!$B$9,IF($E35=Categories!$A$10,Categories!$B$10,IF($E35=Categories!$A$11,Categories!$B$11,IF($E35=Categories!$A$12,Categories!$B$12,IF($E35=Categories!$A$13,Categories!$B$13,IF($E35=Categories!$A$14,Categories!$B$14,IF($E35=Categories!$A$15,Categories!$B$15,IF($E35=Categories!$A$16,Categories!$B$16,IF($E35=Categories!$A$17,Categories!$B$17,IF($E35=Categories!$A$18,Categories!$B$18,IF($E35=Categories!$A$19,Categories!$B$19)))))))))))))))))))</f>
        <v>0</v>
      </c>
      <c r="G35" s="9" t="str">
        <f t="shared" si="0"/>
        <v/>
      </c>
      <c r="H35" s="1" t="str">
        <f t="shared" si="1"/>
        <v/>
      </c>
      <c r="I35" s="1" t="str">
        <f t="shared" si="2"/>
        <v/>
      </c>
      <c r="J35" s="1" t="str">
        <f t="shared" si="3"/>
        <v/>
      </c>
      <c r="K35" s="13" t="str">
        <f t="shared" si="4"/>
        <v/>
      </c>
      <c r="L35" s="9" t="str">
        <f t="shared" si="5"/>
        <v/>
      </c>
      <c r="M35" s="1" t="str">
        <f t="shared" si="6"/>
        <v/>
      </c>
      <c r="N35" s="1" t="str">
        <f t="shared" si="7"/>
        <v/>
      </c>
      <c r="O35" s="1" t="str">
        <f t="shared" si="8"/>
        <v/>
      </c>
      <c r="P35" s="1" t="str">
        <f t="shared" si="9"/>
        <v/>
      </c>
      <c r="Q35" s="1" t="str">
        <f t="shared" si="10"/>
        <v/>
      </c>
      <c r="R35" s="1" t="str">
        <f t="shared" si="11"/>
        <v/>
      </c>
      <c r="S35" s="1" t="str">
        <f t="shared" si="12"/>
        <v/>
      </c>
      <c r="T35" s="1" t="str">
        <f t="shared" si="13"/>
        <v/>
      </c>
      <c r="U35" s="1" t="str">
        <f t="shared" si="14"/>
        <v/>
      </c>
      <c r="V35" s="1" t="str">
        <f t="shared" si="15"/>
        <v/>
      </c>
      <c r="W35" s="26" t="str">
        <f t="shared" si="16"/>
        <v/>
      </c>
      <c r="X35" s="13" t="str">
        <f t="shared" si="17"/>
        <v/>
      </c>
      <c r="Y35" s="9">
        <f t="shared" si="18"/>
        <v>0</v>
      </c>
    </row>
    <row r="36" spans="1:25" x14ac:dyDescent="0.25">
      <c r="A36" s="28"/>
      <c r="B36" s="29"/>
      <c r="C36" s="30"/>
      <c r="D36" s="31"/>
      <c r="E36" s="29" t="s">
        <v>16</v>
      </c>
      <c r="F36" s="13" t="b">
        <f>IF($E36=Categories!$A$1,"",IF($E36=Categories!$A$2,Categories!$B$2,IF($E36=Categories!$A$3,Categories!$B$3,IF($E36=Categories!$A$4,Categories!$B$4,IF($E36=Categories!$A$5,Categories!$B$5,IF($E36=Categories!$A$6,Categories!$B$6,IF($E36=Categories!$A$7,Categories!$B$7,IF($E36=Categories!$A$8,Categories!$B$8,IF($E36=Categories!$A$9,Categories!$B$9,IF($E36=Categories!$A$10,Categories!$B$10,IF($E36=Categories!$A$11,Categories!$B$11,IF($E36=Categories!$A$12,Categories!$B$12,IF($E36=Categories!$A$13,Categories!$B$13,IF($E36=Categories!$A$14,Categories!$B$14,IF($E36=Categories!$A$15,Categories!$B$15,IF($E36=Categories!$A$16,Categories!$B$16,IF($E36=Categories!$A$17,Categories!$B$17,IF($E36=Categories!$A$18,Categories!$B$18,IF($E36=Categories!$A$19,Categories!$B$19)))))))))))))))))))</f>
        <v>0</v>
      </c>
      <c r="G36" s="9" t="str">
        <f t="shared" si="0"/>
        <v/>
      </c>
      <c r="H36" s="1" t="str">
        <f t="shared" si="1"/>
        <v/>
      </c>
      <c r="I36" s="1" t="str">
        <f t="shared" si="2"/>
        <v/>
      </c>
      <c r="J36" s="1" t="str">
        <f t="shared" si="3"/>
        <v/>
      </c>
      <c r="K36" s="13" t="str">
        <f t="shared" si="4"/>
        <v/>
      </c>
      <c r="L36" s="9" t="str">
        <f t="shared" si="5"/>
        <v/>
      </c>
      <c r="M36" s="1" t="str">
        <f t="shared" si="6"/>
        <v/>
      </c>
      <c r="N36" s="1" t="str">
        <f t="shared" si="7"/>
        <v/>
      </c>
      <c r="O36" s="1" t="str">
        <f t="shared" si="8"/>
        <v/>
      </c>
      <c r="P36" s="1" t="str">
        <f t="shared" si="9"/>
        <v/>
      </c>
      <c r="Q36" s="1" t="str">
        <f t="shared" si="10"/>
        <v/>
      </c>
      <c r="R36" s="1" t="str">
        <f t="shared" si="11"/>
        <v/>
      </c>
      <c r="S36" s="1" t="str">
        <f t="shared" si="12"/>
        <v/>
      </c>
      <c r="T36" s="1" t="str">
        <f t="shared" si="13"/>
        <v/>
      </c>
      <c r="U36" s="1" t="str">
        <f t="shared" si="14"/>
        <v/>
      </c>
      <c r="V36" s="1" t="str">
        <f t="shared" si="15"/>
        <v/>
      </c>
      <c r="W36" s="26" t="str">
        <f t="shared" si="16"/>
        <v/>
      </c>
      <c r="X36" s="13" t="str">
        <f t="shared" si="17"/>
        <v/>
      </c>
      <c r="Y36" s="9">
        <f t="shared" si="18"/>
        <v>0</v>
      </c>
    </row>
    <row r="37" spans="1:25" x14ac:dyDescent="0.25">
      <c r="A37" s="28"/>
      <c r="B37" s="29"/>
      <c r="C37" s="30"/>
      <c r="D37" s="31"/>
      <c r="E37" s="29" t="s">
        <v>16</v>
      </c>
      <c r="F37" s="13" t="b">
        <f>IF($E37=Categories!$A$1,"",IF($E37=Categories!$A$2,Categories!$B$2,IF($E37=Categories!$A$3,Categories!$B$3,IF($E37=Categories!$A$4,Categories!$B$4,IF($E37=Categories!$A$5,Categories!$B$5,IF($E37=Categories!$A$6,Categories!$B$6,IF($E37=Categories!$A$7,Categories!$B$7,IF($E37=Categories!$A$8,Categories!$B$8,IF($E37=Categories!$A$9,Categories!$B$9,IF($E37=Categories!$A$10,Categories!$B$10,IF($E37=Categories!$A$11,Categories!$B$11,IF($E37=Categories!$A$12,Categories!$B$12,IF($E37=Categories!$A$13,Categories!$B$13,IF($E37=Categories!$A$14,Categories!$B$14,IF($E37=Categories!$A$15,Categories!$B$15,IF($E37=Categories!$A$16,Categories!$B$16,IF($E37=Categories!$A$17,Categories!$B$17,IF($E37=Categories!$A$18,Categories!$B$18,IF($E37=Categories!$A$19,Categories!$B$19)))))))))))))))))))</f>
        <v>0</v>
      </c>
      <c r="G37" s="9" t="str">
        <f t="shared" si="0"/>
        <v/>
      </c>
      <c r="H37" s="1" t="str">
        <f t="shared" si="1"/>
        <v/>
      </c>
      <c r="I37" s="1" t="str">
        <f t="shared" si="2"/>
        <v/>
      </c>
      <c r="J37" s="1" t="str">
        <f t="shared" si="3"/>
        <v/>
      </c>
      <c r="K37" s="13" t="str">
        <f t="shared" si="4"/>
        <v/>
      </c>
      <c r="L37" s="9" t="str">
        <f t="shared" si="5"/>
        <v/>
      </c>
      <c r="M37" s="1" t="str">
        <f t="shared" si="6"/>
        <v/>
      </c>
      <c r="N37" s="1" t="str">
        <f t="shared" si="7"/>
        <v/>
      </c>
      <c r="O37" s="1" t="str">
        <f t="shared" si="8"/>
        <v/>
      </c>
      <c r="P37" s="1" t="str">
        <f t="shared" si="9"/>
        <v/>
      </c>
      <c r="Q37" s="1" t="str">
        <f t="shared" si="10"/>
        <v/>
      </c>
      <c r="R37" s="1" t="str">
        <f t="shared" si="11"/>
        <v/>
      </c>
      <c r="S37" s="1" t="str">
        <f t="shared" si="12"/>
        <v/>
      </c>
      <c r="T37" s="1" t="str">
        <f t="shared" si="13"/>
        <v/>
      </c>
      <c r="U37" s="1" t="str">
        <f t="shared" si="14"/>
        <v/>
      </c>
      <c r="V37" s="1" t="str">
        <f t="shared" si="15"/>
        <v/>
      </c>
      <c r="W37" s="26" t="str">
        <f t="shared" si="16"/>
        <v/>
      </c>
      <c r="X37" s="13" t="str">
        <f t="shared" si="17"/>
        <v/>
      </c>
      <c r="Y37" s="9">
        <f t="shared" si="18"/>
        <v>0</v>
      </c>
    </row>
    <row r="38" spans="1:25" x14ac:dyDescent="0.25">
      <c r="A38" s="28"/>
      <c r="B38" s="29"/>
      <c r="C38" s="30"/>
      <c r="D38" s="31"/>
      <c r="E38" s="29" t="s">
        <v>16</v>
      </c>
      <c r="F38" s="13" t="b">
        <f>IF($E38=Categories!$A$1,"",IF($E38=Categories!$A$2,Categories!$B$2,IF($E38=Categories!$A$3,Categories!$B$3,IF($E38=Categories!$A$4,Categories!$B$4,IF($E38=Categories!$A$5,Categories!$B$5,IF($E38=Categories!$A$6,Categories!$B$6,IF($E38=Categories!$A$7,Categories!$B$7,IF($E38=Categories!$A$8,Categories!$B$8,IF($E38=Categories!$A$9,Categories!$B$9,IF($E38=Categories!$A$10,Categories!$B$10,IF($E38=Categories!$A$11,Categories!$B$11,IF($E38=Categories!$A$12,Categories!$B$12,IF($E38=Categories!$A$13,Categories!$B$13,IF($E38=Categories!$A$14,Categories!$B$14,IF($E38=Categories!$A$15,Categories!$B$15,IF($E38=Categories!$A$16,Categories!$B$16,IF($E38=Categories!$A$17,Categories!$B$17,IF($E38=Categories!$A$18,Categories!$B$18,IF($E38=Categories!$A$19,Categories!$B$19)))))))))))))))))))</f>
        <v>0</v>
      </c>
      <c r="G38" s="9" t="str">
        <f t="shared" si="0"/>
        <v/>
      </c>
      <c r="H38" s="1" t="str">
        <f t="shared" si="1"/>
        <v/>
      </c>
      <c r="I38" s="1" t="str">
        <f t="shared" si="2"/>
        <v/>
      </c>
      <c r="J38" s="1" t="str">
        <f t="shared" si="3"/>
        <v/>
      </c>
      <c r="K38" s="13" t="str">
        <f t="shared" si="4"/>
        <v/>
      </c>
      <c r="L38" s="9" t="str">
        <f t="shared" si="5"/>
        <v/>
      </c>
      <c r="M38" s="1" t="str">
        <f t="shared" si="6"/>
        <v/>
      </c>
      <c r="N38" s="1" t="str">
        <f t="shared" si="7"/>
        <v/>
      </c>
      <c r="O38" s="1" t="str">
        <f t="shared" si="8"/>
        <v/>
      </c>
      <c r="P38" s="1" t="str">
        <f t="shared" si="9"/>
        <v/>
      </c>
      <c r="Q38" s="1" t="str">
        <f t="shared" si="10"/>
        <v/>
      </c>
      <c r="R38" s="1" t="str">
        <f t="shared" si="11"/>
        <v/>
      </c>
      <c r="S38" s="1" t="str">
        <f t="shared" si="12"/>
        <v/>
      </c>
      <c r="T38" s="1" t="str">
        <f t="shared" si="13"/>
        <v/>
      </c>
      <c r="U38" s="1" t="str">
        <f t="shared" si="14"/>
        <v/>
      </c>
      <c r="V38" s="1" t="str">
        <f t="shared" si="15"/>
        <v/>
      </c>
      <c r="W38" s="26" t="str">
        <f t="shared" si="16"/>
        <v/>
      </c>
      <c r="X38" s="13" t="str">
        <f t="shared" si="17"/>
        <v/>
      </c>
      <c r="Y38" s="9">
        <f t="shared" si="18"/>
        <v>0</v>
      </c>
    </row>
    <row r="39" spans="1:25" x14ac:dyDescent="0.25">
      <c r="A39" s="28"/>
      <c r="B39" s="29"/>
      <c r="C39" s="30"/>
      <c r="D39" s="31"/>
      <c r="E39" s="29" t="s">
        <v>16</v>
      </c>
      <c r="F39" s="13" t="b">
        <f>IF($E39=Categories!$A$1,"",IF($E39=Categories!$A$2,Categories!$B$2,IF($E39=Categories!$A$3,Categories!$B$3,IF($E39=Categories!$A$4,Categories!$B$4,IF($E39=Categories!$A$5,Categories!$B$5,IF($E39=Categories!$A$6,Categories!$B$6,IF($E39=Categories!$A$7,Categories!$B$7,IF($E39=Categories!$A$8,Categories!$B$8,IF($E39=Categories!$A$9,Categories!$B$9,IF($E39=Categories!$A$10,Categories!$B$10,IF($E39=Categories!$A$11,Categories!$B$11,IF($E39=Categories!$A$12,Categories!$B$12,IF($E39=Categories!$A$13,Categories!$B$13,IF($E39=Categories!$A$14,Categories!$B$14,IF($E39=Categories!$A$15,Categories!$B$15,IF($E39=Categories!$A$16,Categories!$B$16,IF($E39=Categories!$A$17,Categories!$B$17,IF($E39=Categories!$A$18,Categories!$B$18,IF($E39=Categories!$A$19,Categories!$B$19)))))))))))))))))))</f>
        <v>0</v>
      </c>
      <c r="G39" s="9" t="str">
        <f t="shared" si="0"/>
        <v/>
      </c>
      <c r="H39" s="1" t="str">
        <f t="shared" si="1"/>
        <v/>
      </c>
      <c r="I39" s="1" t="str">
        <f t="shared" si="2"/>
        <v/>
      </c>
      <c r="J39" s="1" t="str">
        <f t="shared" si="3"/>
        <v/>
      </c>
      <c r="K39" s="13" t="str">
        <f t="shared" si="4"/>
        <v/>
      </c>
      <c r="L39" s="9" t="str">
        <f t="shared" si="5"/>
        <v/>
      </c>
      <c r="M39" s="1" t="str">
        <f t="shared" si="6"/>
        <v/>
      </c>
      <c r="N39" s="1" t="str">
        <f t="shared" si="7"/>
        <v/>
      </c>
      <c r="O39" s="1" t="str">
        <f t="shared" si="8"/>
        <v/>
      </c>
      <c r="P39" s="1" t="str">
        <f t="shared" si="9"/>
        <v/>
      </c>
      <c r="Q39" s="1" t="str">
        <f t="shared" si="10"/>
        <v/>
      </c>
      <c r="R39" s="1" t="str">
        <f t="shared" si="11"/>
        <v/>
      </c>
      <c r="S39" s="1" t="str">
        <f t="shared" si="12"/>
        <v/>
      </c>
      <c r="T39" s="1" t="str">
        <f t="shared" si="13"/>
        <v/>
      </c>
      <c r="U39" s="1" t="str">
        <f t="shared" si="14"/>
        <v/>
      </c>
      <c r="V39" s="1" t="str">
        <f t="shared" si="15"/>
        <v/>
      </c>
      <c r="W39" s="26" t="str">
        <f t="shared" si="16"/>
        <v/>
      </c>
      <c r="X39" s="13" t="str">
        <f t="shared" si="17"/>
        <v/>
      </c>
      <c r="Y39" s="9">
        <f t="shared" si="18"/>
        <v>0</v>
      </c>
    </row>
    <row r="40" spans="1:25" x14ac:dyDescent="0.25">
      <c r="A40" s="28"/>
      <c r="B40" s="29"/>
      <c r="C40" s="30"/>
      <c r="D40" s="31"/>
      <c r="E40" s="29" t="s">
        <v>16</v>
      </c>
      <c r="F40" s="13" t="b">
        <f>IF($E40=Categories!$A$1,"",IF($E40=Categories!$A$2,Categories!$B$2,IF($E40=Categories!$A$3,Categories!$B$3,IF($E40=Categories!$A$4,Categories!$B$4,IF($E40=Categories!$A$5,Categories!$B$5,IF($E40=Categories!$A$6,Categories!$B$6,IF($E40=Categories!$A$7,Categories!$B$7,IF($E40=Categories!$A$8,Categories!$B$8,IF($E40=Categories!$A$9,Categories!$B$9,IF($E40=Categories!$A$10,Categories!$B$10,IF($E40=Categories!$A$11,Categories!$B$11,IF($E40=Categories!$A$12,Categories!$B$12,IF($E40=Categories!$A$13,Categories!$B$13,IF($E40=Categories!$A$14,Categories!$B$14,IF($E40=Categories!$A$15,Categories!$B$15,IF($E40=Categories!$A$16,Categories!$B$16,IF($E40=Categories!$A$17,Categories!$B$17,IF($E40=Categories!$A$18,Categories!$B$18,IF($E40=Categories!$A$19,Categories!$B$19)))))))))))))))))))</f>
        <v>0</v>
      </c>
      <c r="G40" s="9" t="str">
        <f t="shared" si="0"/>
        <v/>
      </c>
      <c r="H40" s="1" t="str">
        <f t="shared" si="1"/>
        <v/>
      </c>
      <c r="I40" s="1" t="str">
        <f t="shared" si="2"/>
        <v/>
      </c>
      <c r="J40" s="1" t="str">
        <f t="shared" si="3"/>
        <v/>
      </c>
      <c r="K40" s="13" t="str">
        <f t="shared" si="4"/>
        <v/>
      </c>
      <c r="L40" s="9" t="str">
        <f t="shared" si="5"/>
        <v/>
      </c>
      <c r="M40" s="1" t="str">
        <f t="shared" si="6"/>
        <v/>
      </c>
      <c r="N40" s="1" t="str">
        <f t="shared" si="7"/>
        <v/>
      </c>
      <c r="O40" s="1" t="str">
        <f t="shared" si="8"/>
        <v/>
      </c>
      <c r="P40" s="1" t="str">
        <f t="shared" si="9"/>
        <v/>
      </c>
      <c r="Q40" s="1" t="str">
        <f t="shared" si="10"/>
        <v/>
      </c>
      <c r="R40" s="1" t="str">
        <f t="shared" si="11"/>
        <v/>
      </c>
      <c r="S40" s="1" t="str">
        <f t="shared" si="12"/>
        <v/>
      </c>
      <c r="T40" s="1" t="str">
        <f t="shared" si="13"/>
        <v/>
      </c>
      <c r="U40" s="1" t="str">
        <f t="shared" si="14"/>
        <v/>
      </c>
      <c r="V40" s="1" t="str">
        <f t="shared" si="15"/>
        <v/>
      </c>
      <c r="W40" s="26" t="str">
        <f t="shared" si="16"/>
        <v/>
      </c>
      <c r="X40" s="13" t="str">
        <f t="shared" si="17"/>
        <v/>
      </c>
      <c r="Y40" s="9">
        <f t="shared" si="18"/>
        <v>0</v>
      </c>
    </row>
    <row r="41" spans="1:25" x14ac:dyDescent="0.25">
      <c r="A41" s="28"/>
      <c r="B41" s="29"/>
      <c r="C41" s="30"/>
      <c r="D41" s="31"/>
      <c r="E41" s="29" t="s">
        <v>16</v>
      </c>
      <c r="F41" s="13" t="b">
        <f>IF($E41=Categories!$A$1,"",IF($E41=Categories!$A$2,Categories!$B$2,IF($E41=Categories!$A$3,Categories!$B$3,IF($E41=Categories!$A$4,Categories!$B$4,IF($E41=Categories!$A$5,Categories!$B$5,IF($E41=Categories!$A$6,Categories!$B$6,IF($E41=Categories!$A$7,Categories!$B$7,IF($E41=Categories!$A$8,Categories!$B$8,IF($E41=Categories!$A$9,Categories!$B$9,IF($E41=Categories!$A$10,Categories!$B$10,IF($E41=Categories!$A$11,Categories!$B$11,IF($E41=Categories!$A$12,Categories!$B$12,IF($E41=Categories!$A$13,Categories!$B$13,IF($E41=Categories!$A$14,Categories!$B$14,IF($E41=Categories!$A$15,Categories!$B$15,IF($E41=Categories!$A$16,Categories!$B$16,IF($E41=Categories!$A$17,Categories!$B$17,IF($E41=Categories!$A$18,Categories!$B$18,IF($E41=Categories!$A$19,Categories!$B$19)))))))))))))))))))</f>
        <v>0</v>
      </c>
      <c r="G41" s="9" t="str">
        <f t="shared" si="0"/>
        <v/>
      </c>
      <c r="H41" s="1" t="str">
        <f t="shared" si="1"/>
        <v/>
      </c>
      <c r="I41" s="1" t="str">
        <f t="shared" si="2"/>
        <v/>
      </c>
      <c r="J41" s="1" t="str">
        <f t="shared" si="3"/>
        <v/>
      </c>
      <c r="K41" s="13" t="str">
        <f t="shared" si="4"/>
        <v/>
      </c>
      <c r="L41" s="9" t="str">
        <f t="shared" si="5"/>
        <v/>
      </c>
      <c r="M41" s="1" t="str">
        <f t="shared" si="6"/>
        <v/>
      </c>
      <c r="N41" s="1" t="str">
        <f t="shared" si="7"/>
        <v/>
      </c>
      <c r="O41" s="1" t="str">
        <f t="shared" si="8"/>
        <v/>
      </c>
      <c r="P41" s="1" t="str">
        <f t="shared" si="9"/>
        <v/>
      </c>
      <c r="Q41" s="1" t="str">
        <f t="shared" si="10"/>
        <v/>
      </c>
      <c r="R41" s="1" t="str">
        <f t="shared" si="11"/>
        <v/>
      </c>
      <c r="S41" s="1" t="str">
        <f t="shared" si="12"/>
        <v/>
      </c>
      <c r="T41" s="1" t="str">
        <f t="shared" si="13"/>
        <v/>
      </c>
      <c r="U41" s="1" t="str">
        <f t="shared" si="14"/>
        <v/>
      </c>
      <c r="V41" s="1" t="str">
        <f t="shared" si="15"/>
        <v/>
      </c>
      <c r="W41" s="26" t="str">
        <f t="shared" si="16"/>
        <v/>
      </c>
      <c r="X41" s="13" t="str">
        <f t="shared" si="17"/>
        <v/>
      </c>
      <c r="Y41" s="9">
        <f t="shared" si="18"/>
        <v>0</v>
      </c>
    </row>
    <row r="42" spans="1:25" x14ac:dyDescent="0.25">
      <c r="A42" s="28"/>
      <c r="B42" s="29"/>
      <c r="C42" s="30"/>
      <c r="D42" s="31"/>
      <c r="E42" s="29" t="s">
        <v>16</v>
      </c>
      <c r="F42" s="13" t="b">
        <f>IF($E42=Categories!$A$1,"",IF($E42=Categories!$A$2,Categories!$B$2,IF($E42=Categories!$A$3,Categories!$B$3,IF($E42=Categories!$A$4,Categories!$B$4,IF($E42=Categories!$A$5,Categories!$B$5,IF($E42=Categories!$A$6,Categories!$B$6,IF($E42=Categories!$A$7,Categories!$B$7,IF($E42=Categories!$A$8,Categories!$B$8,IF($E42=Categories!$A$9,Categories!$B$9,IF($E42=Categories!$A$10,Categories!$B$10,IF($E42=Categories!$A$11,Categories!$B$11,IF($E42=Categories!$A$12,Categories!$B$12,IF($E42=Categories!$A$13,Categories!$B$13,IF($E42=Categories!$A$14,Categories!$B$14,IF($E42=Categories!$A$15,Categories!$B$15,IF($E42=Categories!$A$16,Categories!$B$16,IF($E42=Categories!$A$17,Categories!$B$17,IF($E42=Categories!$A$18,Categories!$B$18,IF($E42=Categories!$A$19,Categories!$B$19)))))))))))))))))))</f>
        <v>0</v>
      </c>
      <c r="G42" s="9" t="str">
        <f t="shared" si="0"/>
        <v/>
      </c>
      <c r="H42" s="1" t="str">
        <f t="shared" si="1"/>
        <v/>
      </c>
      <c r="I42" s="1" t="str">
        <f t="shared" si="2"/>
        <v/>
      </c>
      <c r="J42" s="1" t="str">
        <f t="shared" si="3"/>
        <v/>
      </c>
      <c r="K42" s="13" t="str">
        <f t="shared" si="4"/>
        <v/>
      </c>
      <c r="L42" s="9" t="str">
        <f t="shared" si="5"/>
        <v/>
      </c>
      <c r="M42" s="1" t="str">
        <f t="shared" si="6"/>
        <v/>
      </c>
      <c r="N42" s="1" t="str">
        <f t="shared" si="7"/>
        <v/>
      </c>
      <c r="O42" s="1" t="str">
        <f t="shared" si="8"/>
        <v/>
      </c>
      <c r="P42" s="1" t="str">
        <f t="shared" si="9"/>
        <v/>
      </c>
      <c r="Q42" s="1" t="str">
        <f t="shared" si="10"/>
        <v/>
      </c>
      <c r="R42" s="1" t="str">
        <f t="shared" si="11"/>
        <v/>
      </c>
      <c r="S42" s="1" t="str">
        <f t="shared" si="12"/>
        <v/>
      </c>
      <c r="T42" s="1" t="str">
        <f t="shared" si="13"/>
        <v/>
      </c>
      <c r="U42" s="1" t="str">
        <f t="shared" si="14"/>
        <v/>
      </c>
      <c r="V42" s="1" t="str">
        <f t="shared" si="15"/>
        <v/>
      </c>
      <c r="W42" s="26" t="str">
        <f t="shared" si="16"/>
        <v/>
      </c>
      <c r="X42" s="13" t="str">
        <f t="shared" si="17"/>
        <v/>
      </c>
      <c r="Y42" s="9">
        <f t="shared" si="18"/>
        <v>0</v>
      </c>
    </row>
    <row r="43" spans="1:25" x14ac:dyDescent="0.25">
      <c r="A43" s="28"/>
      <c r="B43" s="29"/>
      <c r="C43" s="30"/>
      <c r="D43" s="31"/>
      <c r="E43" s="29" t="s">
        <v>16</v>
      </c>
      <c r="F43" s="13" t="b">
        <f>IF($E43=Categories!$A$1,"",IF($E43=Categories!$A$2,Categories!$B$2,IF($E43=Categories!$A$3,Categories!$B$3,IF($E43=Categories!$A$4,Categories!$B$4,IF($E43=Categories!$A$5,Categories!$B$5,IF($E43=Categories!$A$6,Categories!$B$6,IF($E43=Categories!$A$7,Categories!$B$7,IF($E43=Categories!$A$8,Categories!$B$8,IF($E43=Categories!$A$9,Categories!$B$9,IF($E43=Categories!$A$10,Categories!$B$10,IF($E43=Categories!$A$11,Categories!$B$11,IF($E43=Categories!$A$12,Categories!$B$12,IF($E43=Categories!$A$13,Categories!$B$13,IF($E43=Categories!$A$14,Categories!$B$14,IF($E43=Categories!$A$15,Categories!$B$15,IF($E43=Categories!$A$16,Categories!$B$16,IF($E43=Categories!$A$17,Categories!$B$17,IF($E43=Categories!$A$18,Categories!$B$18,IF($E43=Categories!$A$19,Categories!$B$19)))))))))))))))))))</f>
        <v>0</v>
      </c>
      <c r="G43" s="9" t="str">
        <f t="shared" si="0"/>
        <v/>
      </c>
      <c r="H43" s="1" t="str">
        <f t="shared" si="1"/>
        <v/>
      </c>
      <c r="I43" s="1" t="str">
        <f t="shared" si="2"/>
        <v/>
      </c>
      <c r="J43" s="1" t="str">
        <f t="shared" si="3"/>
        <v/>
      </c>
      <c r="K43" s="13" t="str">
        <f t="shared" si="4"/>
        <v/>
      </c>
      <c r="L43" s="9" t="str">
        <f t="shared" si="5"/>
        <v/>
      </c>
      <c r="M43" s="1" t="str">
        <f t="shared" si="6"/>
        <v/>
      </c>
      <c r="N43" s="1" t="str">
        <f t="shared" si="7"/>
        <v/>
      </c>
      <c r="O43" s="1" t="str">
        <f t="shared" si="8"/>
        <v/>
      </c>
      <c r="P43" s="1" t="str">
        <f t="shared" si="9"/>
        <v/>
      </c>
      <c r="Q43" s="1" t="str">
        <f t="shared" si="10"/>
        <v/>
      </c>
      <c r="R43" s="1" t="str">
        <f t="shared" si="11"/>
        <v/>
      </c>
      <c r="S43" s="1" t="str">
        <f t="shared" si="12"/>
        <v/>
      </c>
      <c r="T43" s="1" t="str">
        <f t="shared" si="13"/>
        <v/>
      </c>
      <c r="U43" s="1" t="str">
        <f t="shared" si="14"/>
        <v/>
      </c>
      <c r="V43" s="1" t="str">
        <f t="shared" si="15"/>
        <v/>
      </c>
      <c r="W43" s="26" t="str">
        <f t="shared" si="16"/>
        <v/>
      </c>
      <c r="X43" s="13" t="str">
        <f t="shared" si="17"/>
        <v/>
      </c>
      <c r="Y43" s="9">
        <f t="shared" si="18"/>
        <v>0</v>
      </c>
    </row>
    <row r="44" spans="1:25" x14ac:dyDescent="0.25">
      <c r="A44" s="28"/>
      <c r="B44" s="29"/>
      <c r="C44" s="30"/>
      <c r="D44" s="31"/>
      <c r="E44" s="29" t="s">
        <v>16</v>
      </c>
      <c r="F44" s="13" t="b">
        <f>IF($E44=Categories!$A$1,"",IF($E44=Categories!$A$2,Categories!$B$2,IF($E44=Categories!$A$3,Categories!$B$3,IF($E44=Categories!$A$4,Categories!$B$4,IF($E44=Categories!$A$5,Categories!$B$5,IF($E44=Categories!$A$6,Categories!$B$6,IF($E44=Categories!$A$7,Categories!$B$7,IF($E44=Categories!$A$8,Categories!$B$8,IF($E44=Categories!$A$9,Categories!$B$9,IF($E44=Categories!$A$10,Categories!$B$10,IF($E44=Categories!$A$11,Categories!$B$11,IF($E44=Categories!$A$12,Categories!$B$12,IF($E44=Categories!$A$13,Categories!$B$13,IF($E44=Categories!$A$14,Categories!$B$14,IF($E44=Categories!$A$15,Categories!$B$15,IF($E44=Categories!$A$16,Categories!$B$16,IF($E44=Categories!$A$17,Categories!$B$17,IF($E44=Categories!$A$18,Categories!$B$18,IF($E44=Categories!$A$19,Categories!$B$19)))))))))))))))))))</f>
        <v>0</v>
      </c>
      <c r="G44" s="9" t="str">
        <f t="shared" si="0"/>
        <v/>
      </c>
      <c r="H44" s="1" t="str">
        <f t="shared" si="1"/>
        <v/>
      </c>
      <c r="I44" s="1" t="str">
        <f t="shared" si="2"/>
        <v/>
      </c>
      <c r="J44" s="1" t="str">
        <f t="shared" si="3"/>
        <v/>
      </c>
      <c r="K44" s="13" t="str">
        <f t="shared" si="4"/>
        <v/>
      </c>
      <c r="L44" s="9" t="str">
        <f t="shared" si="5"/>
        <v/>
      </c>
      <c r="M44" s="1" t="str">
        <f t="shared" si="6"/>
        <v/>
      </c>
      <c r="N44" s="1" t="str">
        <f t="shared" si="7"/>
        <v/>
      </c>
      <c r="O44" s="1" t="str">
        <f t="shared" si="8"/>
        <v/>
      </c>
      <c r="P44" s="1" t="str">
        <f t="shared" si="9"/>
        <v/>
      </c>
      <c r="Q44" s="1" t="str">
        <f t="shared" si="10"/>
        <v/>
      </c>
      <c r="R44" s="1" t="str">
        <f t="shared" si="11"/>
        <v/>
      </c>
      <c r="S44" s="1" t="str">
        <f t="shared" si="12"/>
        <v/>
      </c>
      <c r="T44" s="1" t="str">
        <f t="shared" si="13"/>
        <v/>
      </c>
      <c r="U44" s="1" t="str">
        <f t="shared" si="14"/>
        <v/>
      </c>
      <c r="V44" s="1" t="str">
        <f t="shared" si="15"/>
        <v/>
      </c>
      <c r="W44" s="26" t="str">
        <f t="shared" si="16"/>
        <v/>
      </c>
      <c r="X44" s="13" t="str">
        <f t="shared" si="17"/>
        <v/>
      </c>
      <c r="Y44" s="9">
        <f t="shared" si="18"/>
        <v>0</v>
      </c>
    </row>
    <row r="45" spans="1:25" x14ac:dyDescent="0.25">
      <c r="A45" s="28"/>
      <c r="B45" s="29"/>
      <c r="C45" s="30"/>
      <c r="D45" s="31"/>
      <c r="E45" s="29" t="s">
        <v>16</v>
      </c>
      <c r="F45" s="13" t="b">
        <f>IF($E45=Categories!$A$1,"",IF($E45=Categories!$A$2,Categories!$B$2,IF($E45=Categories!$A$3,Categories!$B$3,IF($E45=Categories!$A$4,Categories!$B$4,IF($E45=Categories!$A$5,Categories!$B$5,IF($E45=Categories!$A$6,Categories!$B$6,IF($E45=Categories!$A$7,Categories!$B$7,IF($E45=Categories!$A$8,Categories!$B$8,IF($E45=Categories!$A$9,Categories!$B$9,IF($E45=Categories!$A$10,Categories!$B$10,IF($E45=Categories!$A$11,Categories!$B$11,IF($E45=Categories!$A$12,Categories!$B$12,IF($E45=Categories!$A$13,Categories!$B$13,IF($E45=Categories!$A$14,Categories!$B$14,IF($E45=Categories!$A$15,Categories!$B$15,IF($E45=Categories!$A$16,Categories!$B$16,IF($E45=Categories!$A$17,Categories!$B$17,IF($E45=Categories!$A$18,Categories!$B$18,IF($E45=Categories!$A$19,Categories!$B$19)))))))))))))))))))</f>
        <v>0</v>
      </c>
      <c r="G45" s="9" t="str">
        <f t="shared" si="0"/>
        <v/>
      </c>
      <c r="H45" s="1" t="str">
        <f t="shared" si="1"/>
        <v/>
      </c>
      <c r="I45" s="1" t="str">
        <f t="shared" si="2"/>
        <v/>
      </c>
      <c r="J45" s="1" t="str">
        <f t="shared" si="3"/>
        <v/>
      </c>
      <c r="K45" s="13" t="str">
        <f t="shared" si="4"/>
        <v/>
      </c>
      <c r="L45" s="9" t="str">
        <f t="shared" si="5"/>
        <v/>
      </c>
      <c r="M45" s="1" t="str">
        <f t="shared" si="6"/>
        <v/>
      </c>
      <c r="N45" s="1" t="str">
        <f t="shared" si="7"/>
        <v/>
      </c>
      <c r="O45" s="1" t="str">
        <f t="shared" si="8"/>
        <v/>
      </c>
      <c r="P45" s="1" t="str">
        <f t="shared" si="9"/>
        <v/>
      </c>
      <c r="Q45" s="1" t="str">
        <f t="shared" si="10"/>
        <v/>
      </c>
      <c r="R45" s="1" t="str">
        <f t="shared" si="11"/>
        <v/>
      </c>
      <c r="S45" s="1" t="str">
        <f t="shared" si="12"/>
        <v/>
      </c>
      <c r="T45" s="1" t="str">
        <f t="shared" si="13"/>
        <v/>
      </c>
      <c r="U45" s="1" t="str">
        <f t="shared" si="14"/>
        <v/>
      </c>
      <c r="V45" s="1" t="str">
        <f t="shared" si="15"/>
        <v/>
      </c>
      <c r="W45" s="26" t="str">
        <f t="shared" si="16"/>
        <v/>
      </c>
      <c r="X45" s="13" t="str">
        <f t="shared" si="17"/>
        <v/>
      </c>
      <c r="Y45" s="9">
        <f t="shared" si="18"/>
        <v>0</v>
      </c>
    </row>
    <row r="46" spans="1:25" x14ac:dyDescent="0.25">
      <c r="A46" s="28"/>
      <c r="B46" s="29"/>
      <c r="C46" s="30"/>
      <c r="D46" s="31"/>
      <c r="E46" s="29" t="s">
        <v>16</v>
      </c>
      <c r="F46" s="13" t="b">
        <f>IF($E46=Categories!$A$1,"",IF($E46=Categories!$A$2,Categories!$B$2,IF($E46=Categories!$A$3,Categories!$B$3,IF($E46=Categories!$A$4,Categories!$B$4,IF($E46=Categories!$A$5,Categories!$B$5,IF($E46=Categories!$A$6,Categories!$B$6,IF($E46=Categories!$A$7,Categories!$B$7,IF($E46=Categories!$A$8,Categories!$B$8,IF($E46=Categories!$A$9,Categories!$B$9,IF($E46=Categories!$A$10,Categories!$B$10,IF($E46=Categories!$A$11,Categories!$B$11,IF($E46=Categories!$A$12,Categories!$B$12,IF($E46=Categories!$A$13,Categories!$B$13,IF($E46=Categories!$A$14,Categories!$B$14,IF($E46=Categories!$A$15,Categories!$B$15,IF($E46=Categories!$A$16,Categories!$B$16,IF($E46=Categories!$A$17,Categories!$B$17,IF($E46=Categories!$A$18,Categories!$B$18,IF($E46=Categories!$A$19,Categories!$B$19)))))))))))))))))))</f>
        <v>0</v>
      </c>
      <c r="G46" s="9" t="str">
        <f t="shared" si="0"/>
        <v/>
      </c>
      <c r="H46" s="1" t="str">
        <f t="shared" si="1"/>
        <v/>
      </c>
      <c r="I46" s="1" t="str">
        <f t="shared" si="2"/>
        <v/>
      </c>
      <c r="J46" s="1" t="str">
        <f t="shared" si="3"/>
        <v/>
      </c>
      <c r="K46" s="13" t="str">
        <f t="shared" si="4"/>
        <v/>
      </c>
      <c r="L46" s="9" t="str">
        <f t="shared" si="5"/>
        <v/>
      </c>
      <c r="M46" s="1" t="str">
        <f t="shared" si="6"/>
        <v/>
      </c>
      <c r="N46" s="1" t="str">
        <f t="shared" si="7"/>
        <v/>
      </c>
      <c r="O46" s="1" t="str">
        <f t="shared" si="8"/>
        <v/>
      </c>
      <c r="P46" s="1" t="str">
        <f t="shared" si="9"/>
        <v/>
      </c>
      <c r="Q46" s="1" t="str">
        <f t="shared" si="10"/>
        <v/>
      </c>
      <c r="R46" s="1" t="str">
        <f t="shared" si="11"/>
        <v/>
      </c>
      <c r="S46" s="1" t="str">
        <f t="shared" si="12"/>
        <v/>
      </c>
      <c r="T46" s="1" t="str">
        <f t="shared" si="13"/>
        <v/>
      </c>
      <c r="U46" s="1" t="str">
        <f t="shared" si="14"/>
        <v/>
      </c>
      <c r="V46" s="1" t="str">
        <f t="shared" si="15"/>
        <v/>
      </c>
      <c r="W46" s="26" t="str">
        <f t="shared" si="16"/>
        <v/>
      </c>
      <c r="X46" s="13" t="str">
        <f t="shared" si="17"/>
        <v/>
      </c>
      <c r="Y46" s="9">
        <f t="shared" si="18"/>
        <v>0</v>
      </c>
    </row>
    <row r="47" spans="1:25" x14ac:dyDescent="0.25">
      <c r="A47" s="28"/>
      <c r="B47" s="29"/>
      <c r="C47" s="30"/>
      <c r="D47" s="31"/>
      <c r="E47" s="29" t="s">
        <v>16</v>
      </c>
      <c r="F47" s="13" t="b">
        <f>IF($E47=Categories!$A$1,"",IF($E47=Categories!$A$2,Categories!$B$2,IF($E47=Categories!$A$3,Categories!$B$3,IF($E47=Categories!$A$4,Categories!$B$4,IF($E47=Categories!$A$5,Categories!$B$5,IF($E47=Categories!$A$6,Categories!$B$6,IF($E47=Categories!$A$7,Categories!$B$7,IF($E47=Categories!$A$8,Categories!$B$8,IF($E47=Categories!$A$9,Categories!$B$9,IF($E47=Categories!$A$10,Categories!$B$10,IF($E47=Categories!$A$11,Categories!$B$11,IF($E47=Categories!$A$12,Categories!$B$12,IF($E47=Categories!$A$13,Categories!$B$13,IF($E47=Categories!$A$14,Categories!$B$14,IF($E47=Categories!$A$15,Categories!$B$15,IF($E47=Categories!$A$16,Categories!$B$16,IF($E47=Categories!$A$17,Categories!$B$17,IF($E47=Categories!$A$18,Categories!$B$18,IF($E47=Categories!$A$19,Categories!$B$19)))))))))))))))))))</f>
        <v>0</v>
      </c>
      <c r="G47" s="9" t="str">
        <f t="shared" si="0"/>
        <v/>
      </c>
      <c r="H47" s="1" t="str">
        <f t="shared" si="1"/>
        <v/>
      </c>
      <c r="I47" s="1" t="str">
        <f t="shared" si="2"/>
        <v/>
      </c>
      <c r="J47" s="1" t="str">
        <f t="shared" si="3"/>
        <v/>
      </c>
      <c r="K47" s="13" t="str">
        <f t="shared" si="4"/>
        <v/>
      </c>
      <c r="L47" s="9" t="str">
        <f t="shared" si="5"/>
        <v/>
      </c>
      <c r="M47" s="1" t="str">
        <f t="shared" si="6"/>
        <v/>
      </c>
      <c r="N47" s="1" t="str">
        <f t="shared" si="7"/>
        <v/>
      </c>
      <c r="O47" s="1" t="str">
        <f t="shared" si="8"/>
        <v/>
      </c>
      <c r="P47" s="1" t="str">
        <f t="shared" si="9"/>
        <v/>
      </c>
      <c r="Q47" s="1" t="str">
        <f t="shared" si="10"/>
        <v/>
      </c>
      <c r="R47" s="1" t="str">
        <f t="shared" si="11"/>
        <v/>
      </c>
      <c r="S47" s="1" t="str">
        <f t="shared" si="12"/>
        <v/>
      </c>
      <c r="T47" s="1" t="str">
        <f t="shared" si="13"/>
        <v/>
      </c>
      <c r="U47" s="1" t="str">
        <f t="shared" si="14"/>
        <v/>
      </c>
      <c r="V47" s="1" t="str">
        <f t="shared" si="15"/>
        <v/>
      </c>
      <c r="W47" s="26" t="str">
        <f t="shared" si="16"/>
        <v/>
      </c>
      <c r="X47" s="13" t="str">
        <f t="shared" si="17"/>
        <v/>
      </c>
      <c r="Y47" s="9">
        <f t="shared" si="18"/>
        <v>0</v>
      </c>
    </row>
    <row r="48" spans="1:25" x14ac:dyDescent="0.25">
      <c r="A48" s="28"/>
      <c r="B48" s="29"/>
      <c r="C48" s="30"/>
      <c r="D48" s="31"/>
      <c r="E48" s="29" t="s">
        <v>16</v>
      </c>
      <c r="F48" s="13" t="b">
        <f>IF($E48=Categories!$A$1,"",IF($E48=Categories!$A$2,Categories!$B$2,IF($E48=Categories!$A$3,Categories!$B$3,IF($E48=Categories!$A$4,Categories!$B$4,IF($E48=Categories!$A$5,Categories!$B$5,IF($E48=Categories!$A$6,Categories!$B$6,IF($E48=Categories!$A$7,Categories!$B$7,IF($E48=Categories!$A$8,Categories!$B$8,IF($E48=Categories!$A$9,Categories!$B$9,IF($E48=Categories!$A$10,Categories!$B$10,IF($E48=Categories!$A$11,Categories!$B$11,IF($E48=Categories!$A$12,Categories!$B$12,IF($E48=Categories!$A$13,Categories!$B$13,IF($E48=Categories!$A$14,Categories!$B$14,IF($E48=Categories!$A$15,Categories!$B$15,IF($E48=Categories!$A$16,Categories!$B$16,IF($E48=Categories!$A$17,Categories!$B$17,IF($E48=Categories!$A$18,Categories!$B$18,IF($E48=Categories!$A$19,Categories!$B$19)))))))))))))))))))</f>
        <v>0</v>
      </c>
      <c r="G48" s="9" t="str">
        <f t="shared" si="0"/>
        <v/>
      </c>
      <c r="H48" s="1" t="str">
        <f t="shared" si="1"/>
        <v/>
      </c>
      <c r="I48" s="1" t="str">
        <f t="shared" si="2"/>
        <v/>
      </c>
      <c r="J48" s="1" t="str">
        <f t="shared" si="3"/>
        <v/>
      </c>
      <c r="K48" s="13" t="str">
        <f t="shared" si="4"/>
        <v/>
      </c>
      <c r="L48" s="9" t="str">
        <f t="shared" si="5"/>
        <v/>
      </c>
      <c r="M48" s="1" t="str">
        <f t="shared" si="6"/>
        <v/>
      </c>
      <c r="N48" s="1" t="str">
        <f t="shared" si="7"/>
        <v/>
      </c>
      <c r="O48" s="1" t="str">
        <f t="shared" si="8"/>
        <v/>
      </c>
      <c r="P48" s="1" t="str">
        <f t="shared" si="9"/>
        <v/>
      </c>
      <c r="Q48" s="1" t="str">
        <f t="shared" si="10"/>
        <v/>
      </c>
      <c r="R48" s="1" t="str">
        <f t="shared" si="11"/>
        <v/>
      </c>
      <c r="S48" s="1" t="str">
        <f t="shared" si="12"/>
        <v/>
      </c>
      <c r="T48" s="1" t="str">
        <f t="shared" si="13"/>
        <v/>
      </c>
      <c r="U48" s="1" t="str">
        <f t="shared" si="14"/>
        <v/>
      </c>
      <c r="V48" s="1" t="str">
        <f t="shared" si="15"/>
        <v/>
      </c>
      <c r="W48" s="26" t="str">
        <f t="shared" si="16"/>
        <v/>
      </c>
      <c r="X48" s="13" t="str">
        <f t="shared" si="17"/>
        <v/>
      </c>
      <c r="Y48" s="9">
        <f t="shared" si="18"/>
        <v>0</v>
      </c>
    </row>
    <row r="49" spans="1:25" x14ac:dyDescent="0.25">
      <c r="A49" s="28"/>
      <c r="B49" s="29"/>
      <c r="C49" s="30"/>
      <c r="D49" s="31"/>
      <c r="E49" s="29" t="s">
        <v>16</v>
      </c>
      <c r="F49" s="13" t="b">
        <f>IF($E49=Categories!$A$1,"",IF($E49=Categories!$A$2,Categories!$B$2,IF($E49=Categories!$A$3,Categories!$B$3,IF($E49=Categories!$A$4,Categories!$B$4,IF($E49=Categories!$A$5,Categories!$B$5,IF($E49=Categories!$A$6,Categories!$B$6,IF($E49=Categories!$A$7,Categories!$B$7,IF($E49=Categories!$A$8,Categories!$B$8,IF($E49=Categories!$A$9,Categories!$B$9,IF($E49=Categories!$A$10,Categories!$B$10,IF($E49=Categories!$A$11,Categories!$B$11,IF($E49=Categories!$A$12,Categories!$B$12,IF($E49=Categories!$A$13,Categories!$B$13,IF($E49=Categories!$A$14,Categories!$B$14,IF($E49=Categories!$A$15,Categories!$B$15,IF($E49=Categories!$A$16,Categories!$B$16,IF($E49=Categories!$A$17,Categories!$B$17,IF($E49=Categories!$A$18,Categories!$B$18,IF($E49=Categories!$A$19,Categories!$B$19)))))))))))))))))))</f>
        <v>0</v>
      </c>
      <c r="G49" s="9" t="str">
        <f t="shared" si="0"/>
        <v/>
      </c>
      <c r="H49" s="1" t="str">
        <f t="shared" si="1"/>
        <v/>
      </c>
      <c r="I49" s="1" t="str">
        <f t="shared" si="2"/>
        <v/>
      </c>
      <c r="J49" s="1" t="str">
        <f t="shared" si="3"/>
        <v/>
      </c>
      <c r="K49" s="13" t="str">
        <f t="shared" si="4"/>
        <v/>
      </c>
      <c r="L49" s="9" t="str">
        <f t="shared" si="5"/>
        <v/>
      </c>
      <c r="M49" s="1" t="str">
        <f t="shared" si="6"/>
        <v/>
      </c>
      <c r="N49" s="1" t="str">
        <f t="shared" si="7"/>
        <v/>
      </c>
      <c r="O49" s="1" t="str">
        <f t="shared" si="8"/>
        <v/>
      </c>
      <c r="P49" s="1" t="str">
        <f t="shared" si="9"/>
        <v/>
      </c>
      <c r="Q49" s="1" t="str">
        <f t="shared" si="10"/>
        <v/>
      </c>
      <c r="R49" s="1" t="str">
        <f t="shared" si="11"/>
        <v/>
      </c>
      <c r="S49" s="1" t="str">
        <f t="shared" si="12"/>
        <v/>
      </c>
      <c r="T49" s="1" t="str">
        <f t="shared" si="13"/>
        <v/>
      </c>
      <c r="U49" s="1" t="str">
        <f t="shared" si="14"/>
        <v/>
      </c>
      <c r="V49" s="1" t="str">
        <f t="shared" si="15"/>
        <v/>
      </c>
      <c r="W49" s="26" t="str">
        <f t="shared" si="16"/>
        <v/>
      </c>
      <c r="X49" s="13" t="str">
        <f t="shared" si="17"/>
        <v/>
      </c>
      <c r="Y49" s="9">
        <f t="shared" si="18"/>
        <v>0</v>
      </c>
    </row>
    <row r="50" spans="1:25" x14ac:dyDescent="0.25">
      <c r="A50" s="28"/>
      <c r="B50" s="29"/>
      <c r="C50" s="30"/>
      <c r="D50" s="31"/>
      <c r="E50" s="29" t="s">
        <v>16</v>
      </c>
      <c r="F50" s="13" t="b">
        <f>IF($E50=Categories!$A$1,"",IF($E50=Categories!$A$2,Categories!$B$2,IF($E50=Categories!$A$3,Categories!$B$3,IF($E50=Categories!$A$4,Categories!$B$4,IF($E50=Categories!$A$5,Categories!$B$5,IF($E50=Categories!$A$6,Categories!$B$6,IF($E50=Categories!$A$7,Categories!$B$7,IF($E50=Categories!$A$8,Categories!$B$8,IF($E50=Categories!$A$9,Categories!$B$9,IF($E50=Categories!$A$10,Categories!$B$10,IF($E50=Categories!$A$11,Categories!$B$11,IF($E50=Categories!$A$12,Categories!$B$12,IF($E50=Categories!$A$13,Categories!$B$13,IF($E50=Categories!$A$14,Categories!$B$14,IF($E50=Categories!$A$15,Categories!$B$15,IF($E50=Categories!$A$16,Categories!$B$16,IF($E50=Categories!$A$17,Categories!$B$17,IF($E50=Categories!$A$18,Categories!$B$18,IF($E50=Categories!$A$19,Categories!$B$19)))))))))))))))))))</f>
        <v>0</v>
      </c>
      <c r="G50" s="9" t="str">
        <f t="shared" si="0"/>
        <v/>
      </c>
      <c r="H50" s="1" t="str">
        <f t="shared" si="1"/>
        <v/>
      </c>
      <c r="I50" s="1" t="str">
        <f t="shared" si="2"/>
        <v/>
      </c>
      <c r="J50" s="1" t="str">
        <f t="shared" si="3"/>
        <v/>
      </c>
      <c r="K50" s="13" t="str">
        <f t="shared" si="4"/>
        <v/>
      </c>
      <c r="L50" s="9" t="str">
        <f t="shared" si="5"/>
        <v/>
      </c>
      <c r="M50" s="1" t="str">
        <f t="shared" si="6"/>
        <v/>
      </c>
      <c r="N50" s="1" t="str">
        <f t="shared" si="7"/>
        <v/>
      </c>
      <c r="O50" s="1" t="str">
        <f t="shared" si="8"/>
        <v/>
      </c>
      <c r="P50" s="1" t="str">
        <f t="shared" si="9"/>
        <v/>
      </c>
      <c r="Q50" s="1" t="str">
        <f t="shared" si="10"/>
        <v/>
      </c>
      <c r="R50" s="1" t="str">
        <f t="shared" si="11"/>
        <v/>
      </c>
      <c r="S50" s="1" t="str">
        <f t="shared" si="12"/>
        <v/>
      </c>
      <c r="T50" s="1" t="str">
        <f t="shared" si="13"/>
        <v/>
      </c>
      <c r="U50" s="1" t="str">
        <f t="shared" si="14"/>
        <v/>
      </c>
      <c r="V50" s="1" t="str">
        <f t="shared" si="15"/>
        <v/>
      </c>
      <c r="W50" s="26" t="str">
        <f t="shared" si="16"/>
        <v/>
      </c>
      <c r="X50" s="13" t="str">
        <f t="shared" si="17"/>
        <v/>
      </c>
      <c r="Y50" s="9">
        <f t="shared" si="18"/>
        <v>0</v>
      </c>
    </row>
    <row r="51" spans="1:25" x14ac:dyDescent="0.25">
      <c r="A51" s="28"/>
      <c r="B51" s="29"/>
      <c r="C51" s="30"/>
      <c r="D51" s="31"/>
      <c r="E51" s="29" t="s">
        <v>16</v>
      </c>
      <c r="F51" s="13" t="b">
        <f>IF($E51=Categories!$A$1,"",IF($E51=Categories!$A$2,Categories!$B$2,IF($E51=Categories!$A$3,Categories!$B$3,IF($E51=Categories!$A$4,Categories!$B$4,IF($E51=Categories!$A$5,Categories!$B$5,IF($E51=Categories!$A$6,Categories!$B$6,IF($E51=Categories!$A$7,Categories!$B$7,IF($E51=Categories!$A$8,Categories!$B$8,IF($E51=Categories!$A$9,Categories!$B$9,IF($E51=Categories!$A$10,Categories!$B$10,IF($E51=Categories!$A$11,Categories!$B$11,IF($E51=Categories!$A$12,Categories!$B$12,IF($E51=Categories!$A$13,Categories!$B$13,IF($E51=Categories!$A$14,Categories!$B$14,IF($E51=Categories!$A$15,Categories!$B$15,IF($E51=Categories!$A$16,Categories!$B$16,IF($E51=Categories!$A$17,Categories!$B$17,IF($E51=Categories!$A$18,Categories!$B$18,IF($E51=Categories!$A$19,Categories!$B$19)))))))))))))))))))</f>
        <v>0</v>
      </c>
      <c r="G51" s="9" t="str">
        <f t="shared" si="0"/>
        <v/>
      </c>
      <c r="H51" s="1" t="str">
        <f t="shared" si="1"/>
        <v/>
      </c>
      <c r="I51" s="1" t="str">
        <f t="shared" si="2"/>
        <v/>
      </c>
      <c r="J51" s="1" t="str">
        <f t="shared" si="3"/>
        <v/>
      </c>
      <c r="K51" s="13" t="str">
        <f t="shared" si="4"/>
        <v/>
      </c>
      <c r="L51" s="9" t="str">
        <f t="shared" si="5"/>
        <v/>
      </c>
      <c r="M51" s="1" t="str">
        <f t="shared" si="6"/>
        <v/>
      </c>
      <c r="N51" s="1" t="str">
        <f t="shared" si="7"/>
        <v/>
      </c>
      <c r="O51" s="1" t="str">
        <f t="shared" si="8"/>
        <v/>
      </c>
      <c r="P51" s="1" t="str">
        <f t="shared" si="9"/>
        <v/>
      </c>
      <c r="Q51" s="1" t="str">
        <f t="shared" si="10"/>
        <v/>
      </c>
      <c r="R51" s="1" t="str">
        <f t="shared" si="11"/>
        <v/>
      </c>
      <c r="S51" s="1" t="str">
        <f t="shared" si="12"/>
        <v/>
      </c>
      <c r="T51" s="1" t="str">
        <f t="shared" si="13"/>
        <v/>
      </c>
      <c r="U51" s="1" t="str">
        <f t="shared" si="14"/>
        <v/>
      </c>
      <c r="V51" s="1" t="str">
        <f t="shared" si="15"/>
        <v/>
      </c>
      <c r="W51" s="26" t="str">
        <f t="shared" si="16"/>
        <v/>
      </c>
      <c r="X51" s="13" t="str">
        <f t="shared" si="17"/>
        <v/>
      </c>
      <c r="Y51" s="9">
        <f t="shared" si="18"/>
        <v>0</v>
      </c>
    </row>
    <row r="52" spans="1:25" x14ac:dyDescent="0.25">
      <c r="A52" s="28"/>
      <c r="B52" s="29"/>
      <c r="C52" s="30"/>
      <c r="D52" s="31"/>
      <c r="E52" s="29" t="s">
        <v>16</v>
      </c>
      <c r="F52" s="13" t="b">
        <f>IF($E52=Categories!$A$1,"",IF($E52=Categories!$A$2,Categories!$B$2,IF($E52=Categories!$A$3,Categories!$B$3,IF($E52=Categories!$A$4,Categories!$B$4,IF($E52=Categories!$A$5,Categories!$B$5,IF($E52=Categories!$A$6,Categories!$B$6,IF($E52=Categories!$A$7,Categories!$B$7,IF($E52=Categories!$A$8,Categories!$B$8,IF($E52=Categories!$A$9,Categories!$B$9,IF($E52=Categories!$A$10,Categories!$B$10,IF($E52=Categories!$A$11,Categories!$B$11,IF($E52=Categories!$A$12,Categories!$B$12,IF($E52=Categories!$A$13,Categories!$B$13,IF($E52=Categories!$A$14,Categories!$B$14,IF($E52=Categories!$A$15,Categories!$B$15,IF($E52=Categories!$A$16,Categories!$B$16,IF($E52=Categories!$A$17,Categories!$B$17,IF($E52=Categories!$A$18,Categories!$B$18,IF($E52=Categories!$A$19,Categories!$B$19)))))))))))))))))))</f>
        <v>0</v>
      </c>
      <c r="G52" s="9" t="str">
        <f t="shared" si="0"/>
        <v/>
      </c>
      <c r="H52" s="1" t="str">
        <f t="shared" si="1"/>
        <v/>
      </c>
      <c r="I52" s="1" t="str">
        <f t="shared" si="2"/>
        <v/>
      </c>
      <c r="J52" s="1" t="str">
        <f t="shared" si="3"/>
        <v/>
      </c>
      <c r="K52" s="13" t="str">
        <f t="shared" si="4"/>
        <v/>
      </c>
      <c r="L52" s="9" t="str">
        <f t="shared" si="5"/>
        <v/>
      </c>
      <c r="M52" s="1" t="str">
        <f t="shared" si="6"/>
        <v/>
      </c>
      <c r="N52" s="1" t="str">
        <f t="shared" si="7"/>
        <v/>
      </c>
      <c r="O52" s="1" t="str">
        <f t="shared" si="8"/>
        <v/>
      </c>
      <c r="P52" s="1" t="str">
        <f t="shared" si="9"/>
        <v/>
      </c>
      <c r="Q52" s="1" t="str">
        <f t="shared" si="10"/>
        <v/>
      </c>
      <c r="R52" s="1" t="str">
        <f t="shared" si="11"/>
        <v/>
      </c>
      <c r="S52" s="1" t="str">
        <f t="shared" si="12"/>
        <v/>
      </c>
      <c r="T52" s="1" t="str">
        <f t="shared" si="13"/>
        <v/>
      </c>
      <c r="U52" s="1" t="str">
        <f t="shared" si="14"/>
        <v/>
      </c>
      <c r="V52" s="1" t="str">
        <f t="shared" si="15"/>
        <v/>
      </c>
      <c r="W52" s="26" t="str">
        <f t="shared" si="16"/>
        <v/>
      </c>
      <c r="X52" s="13" t="str">
        <f t="shared" si="17"/>
        <v/>
      </c>
      <c r="Y52" s="9">
        <f t="shared" si="18"/>
        <v>0</v>
      </c>
    </row>
    <row r="53" spans="1:25" x14ac:dyDescent="0.25">
      <c r="A53" s="28"/>
      <c r="B53" s="29"/>
      <c r="C53" s="30"/>
      <c r="D53" s="31"/>
      <c r="E53" s="29" t="s">
        <v>16</v>
      </c>
      <c r="F53" s="13" t="b">
        <f>IF($E53=Categories!$A$1,"",IF($E53=Categories!$A$2,Categories!$B$2,IF($E53=Categories!$A$3,Categories!$B$3,IF($E53=Categories!$A$4,Categories!$B$4,IF($E53=Categories!$A$5,Categories!$B$5,IF($E53=Categories!$A$6,Categories!$B$6,IF($E53=Categories!$A$7,Categories!$B$7,IF($E53=Categories!$A$8,Categories!$B$8,IF($E53=Categories!$A$9,Categories!$B$9,IF($E53=Categories!$A$10,Categories!$B$10,IF($E53=Categories!$A$11,Categories!$B$11,IF($E53=Categories!$A$12,Categories!$B$12,IF($E53=Categories!$A$13,Categories!$B$13,IF($E53=Categories!$A$14,Categories!$B$14,IF($E53=Categories!$A$15,Categories!$B$15,IF($E53=Categories!$A$16,Categories!$B$16,IF($E53=Categories!$A$17,Categories!$B$17,IF($E53=Categories!$A$18,Categories!$B$18,IF($E53=Categories!$A$19,Categories!$B$19)))))))))))))))))))</f>
        <v>0</v>
      </c>
      <c r="G53" s="9" t="str">
        <f t="shared" si="0"/>
        <v/>
      </c>
      <c r="H53" s="1" t="str">
        <f t="shared" si="1"/>
        <v/>
      </c>
      <c r="I53" s="1" t="str">
        <f t="shared" si="2"/>
        <v/>
      </c>
      <c r="J53" s="1" t="str">
        <f t="shared" si="3"/>
        <v/>
      </c>
      <c r="K53" s="13" t="str">
        <f t="shared" si="4"/>
        <v/>
      </c>
      <c r="L53" s="9" t="str">
        <f t="shared" si="5"/>
        <v/>
      </c>
      <c r="M53" s="1" t="str">
        <f t="shared" si="6"/>
        <v/>
      </c>
      <c r="N53" s="1" t="str">
        <f t="shared" si="7"/>
        <v/>
      </c>
      <c r="O53" s="1" t="str">
        <f t="shared" si="8"/>
        <v/>
      </c>
      <c r="P53" s="1" t="str">
        <f t="shared" si="9"/>
        <v/>
      </c>
      <c r="Q53" s="1" t="str">
        <f t="shared" si="10"/>
        <v/>
      </c>
      <c r="R53" s="1" t="str">
        <f t="shared" si="11"/>
        <v/>
      </c>
      <c r="S53" s="1" t="str">
        <f t="shared" si="12"/>
        <v/>
      </c>
      <c r="T53" s="1" t="str">
        <f t="shared" si="13"/>
        <v/>
      </c>
      <c r="U53" s="1" t="str">
        <f t="shared" si="14"/>
        <v/>
      </c>
      <c r="V53" s="1" t="str">
        <f t="shared" si="15"/>
        <v/>
      </c>
      <c r="W53" s="26" t="str">
        <f t="shared" si="16"/>
        <v/>
      </c>
      <c r="X53" s="13" t="str">
        <f t="shared" si="17"/>
        <v/>
      </c>
      <c r="Y53" s="9">
        <f t="shared" si="18"/>
        <v>0</v>
      </c>
    </row>
    <row r="54" spans="1:25" x14ac:dyDescent="0.25">
      <c r="A54" s="28"/>
      <c r="B54" s="29"/>
      <c r="C54" s="30"/>
      <c r="D54" s="31"/>
      <c r="E54" s="29" t="s">
        <v>16</v>
      </c>
      <c r="F54" s="13" t="b">
        <f>IF($E54=Categories!$A$1,"",IF($E54=Categories!$A$2,Categories!$B$2,IF($E54=Categories!$A$3,Categories!$B$3,IF($E54=Categories!$A$4,Categories!$B$4,IF($E54=Categories!$A$5,Categories!$B$5,IF($E54=Categories!$A$6,Categories!$B$6,IF($E54=Categories!$A$7,Categories!$B$7,IF($E54=Categories!$A$8,Categories!$B$8,IF($E54=Categories!$A$9,Categories!$B$9,IF($E54=Categories!$A$10,Categories!$B$10,IF($E54=Categories!$A$11,Categories!$B$11,IF($E54=Categories!$A$12,Categories!$B$12,IF($E54=Categories!$A$13,Categories!$B$13,IF($E54=Categories!$A$14,Categories!$B$14,IF($E54=Categories!$A$15,Categories!$B$15,IF($E54=Categories!$A$16,Categories!$B$16,IF($E54=Categories!$A$17,Categories!$B$17,IF($E54=Categories!$A$18,Categories!$B$18,IF($E54=Categories!$A$19,Categories!$B$19)))))))))))))))))))</f>
        <v>0</v>
      </c>
      <c r="G54" s="9" t="str">
        <f t="shared" si="0"/>
        <v/>
      </c>
      <c r="H54" s="1" t="str">
        <f t="shared" si="1"/>
        <v/>
      </c>
      <c r="I54" s="1" t="str">
        <f t="shared" si="2"/>
        <v/>
      </c>
      <c r="J54" s="1" t="str">
        <f t="shared" si="3"/>
        <v/>
      </c>
      <c r="K54" s="13" t="str">
        <f t="shared" si="4"/>
        <v/>
      </c>
      <c r="L54" s="9" t="str">
        <f t="shared" si="5"/>
        <v/>
      </c>
      <c r="M54" s="1" t="str">
        <f t="shared" si="6"/>
        <v/>
      </c>
      <c r="N54" s="1" t="str">
        <f t="shared" si="7"/>
        <v/>
      </c>
      <c r="O54" s="1" t="str">
        <f t="shared" si="8"/>
        <v/>
      </c>
      <c r="P54" s="1" t="str">
        <f t="shared" si="9"/>
        <v/>
      </c>
      <c r="Q54" s="1" t="str">
        <f t="shared" si="10"/>
        <v/>
      </c>
      <c r="R54" s="1" t="str">
        <f t="shared" si="11"/>
        <v/>
      </c>
      <c r="S54" s="1" t="str">
        <f t="shared" si="12"/>
        <v/>
      </c>
      <c r="T54" s="1" t="str">
        <f t="shared" si="13"/>
        <v/>
      </c>
      <c r="U54" s="1" t="str">
        <f t="shared" si="14"/>
        <v/>
      </c>
      <c r="V54" s="1" t="str">
        <f t="shared" si="15"/>
        <v/>
      </c>
      <c r="W54" s="26" t="str">
        <f t="shared" si="16"/>
        <v/>
      </c>
      <c r="X54" s="13" t="str">
        <f t="shared" si="17"/>
        <v/>
      </c>
      <c r="Y54" s="9">
        <f t="shared" si="18"/>
        <v>0</v>
      </c>
    </row>
    <row r="55" spans="1:25" x14ac:dyDescent="0.25">
      <c r="A55" s="28"/>
      <c r="B55" s="29"/>
      <c r="C55" s="30"/>
      <c r="D55" s="31"/>
      <c r="E55" s="29" t="s">
        <v>16</v>
      </c>
      <c r="F55" s="13" t="b">
        <f>IF($E55=Categories!$A$1,"",IF($E55=Categories!$A$2,Categories!$B$2,IF($E55=Categories!$A$3,Categories!$B$3,IF($E55=Categories!$A$4,Categories!$B$4,IF($E55=Categories!$A$5,Categories!$B$5,IF($E55=Categories!$A$6,Categories!$B$6,IF($E55=Categories!$A$7,Categories!$B$7,IF($E55=Categories!$A$8,Categories!$B$8,IF($E55=Categories!$A$9,Categories!$B$9,IF($E55=Categories!$A$10,Categories!$B$10,IF($E55=Categories!$A$11,Categories!$B$11,IF($E55=Categories!$A$12,Categories!$B$12,IF($E55=Categories!$A$13,Categories!$B$13,IF($E55=Categories!$A$14,Categories!$B$14,IF($E55=Categories!$A$15,Categories!$B$15,IF($E55=Categories!$A$16,Categories!$B$16,IF($E55=Categories!$A$17,Categories!$B$17,IF($E55=Categories!$A$18,Categories!$B$18,IF($E55=Categories!$A$19,Categories!$B$19)))))))))))))))))))</f>
        <v>0</v>
      </c>
      <c r="G55" s="9" t="str">
        <f t="shared" si="0"/>
        <v/>
      </c>
      <c r="H55" s="1" t="str">
        <f t="shared" si="1"/>
        <v/>
      </c>
      <c r="I55" s="1" t="str">
        <f t="shared" si="2"/>
        <v/>
      </c>
      <c r="J55" s="1" t="str">
        <f t="shared" si="3"/>
        <v/>
      </c>
      <c r="K55" s="13" t="str">
        <f t="shared" si="4"/>
        <v/>
      </c>
      <c r="L55" s="9" t="str">
        <f t="shared" si="5"/>
        <v/>
      </c>
      <c r="M55" s="1" t="str">
        <f t="shared" si="6"/>
        <v/>
      </c>
      <c r="N55" s="1" t="str">
        <f t="shared" si="7"/>
        <v/>
      </c>
      <c r="O55" s="1" t="str">
        <f t="shared" si="8"/>
        <v/>
      </c>
      <c r="P55" s="1" t="str">
        <f t="shared" si="9"/>
        <v/>
      </c>
      <c r="Q55" s="1" t="str">
        <f t="shared" si="10"/>
        <v/>
      </c>
      <c r="R55" s="1" t="str">
        <f t="shared" si="11"/>
        <v/>
      </c>
      <c r="S55" s="1" t="str">
        <f t="shared" si="12"/>
        <v/>
      </c>
      <c r="T55" s="1" t="str">
        <f t="shared" si="13"/>
        <v/>
      </c>
      <c r="U55" s="1" t="str">
        <f t="shared" si="14"/>
        <v/>
      </c>
      <c r="V55" s="1" t="str">
        <f t="shared" si="15"/>
        <v/>
      </c>
      <c r="W55" s="26" t="str">
        <f t="shared" si="16"/>
        <v/>
      </c>
      <c r="X55" s="13" t="str">
        <f t="shared" si="17"/>
        <v/>
      </c>
      <c r="Y55" s="9">
        <f t="shared" si="18"/>
        <v>0</v>
      </c>
    </row>
    <row r="56" spans="1:25" x14ac:dyDescent="0.25">
      <c r="A56" s="28"/>
      <c r="B56" s="29"/>
      <c r="C56" s="30"/>
      <c r="D56" s="31"/>
      <c r="E56" s="29" t="s">
        <v>16</v>
      </c>
      <c r="F56" s="13" t="b">
        <f>IF($E56=Categories!$A$1,"",IF($E56=Categories!$A$2,Categories!$B$2,IF($E56=Categories!$A$3,Categories!$B$3,IF($E56=Categories!$A$4,Categories!$B$4,IF($E56=Categories!$A$5,Categories!$B$5,IF($E56=Categories!$A$6,Categories!$B$6,IF($E56=Categories!$A$7,Categories!$B$7,IF($E56=Categories!$A$8,Categories!$B$8,IF($E56=Categories!$A$9,Categories!$B$9,IF($E56=Categories!$A$10,Categories!$B$10,IF($E56=Categories!$A$11,Categories!$B$11,IF($E56=Categories!$A$12,Categories!$B$12,IF($E56=Categories!$A$13,Categories!$B$13,IF($E56=Categories!$A$14,Categories!$B$14,IF($E56=Categories!$A$15,Categories!$B$15,IF($E56=Categories!$A$16,Categories!$B$16,IF($E56=Categories!$A$17,Categories!$B$17,IF($E56=Categories!$A$18,Categories!$B$18,IF($E56=Categories!$A$19,Categories!$B$19)))))))))))))))))))</f>
        <v>0</v>
      </c>
      <c r="G56" s="9" t="str">
        <f t="shared" si="0"/>
        <v/>
      </c>
      <c r="H56" s="1" t="str">
        <f t="shared" si="1"/>
        <v/>
      </c>
      <c r="I56" s="1" t="str">
        <f t="shared" si="2"/>
        <v/>
      </c>
      <c r="J56" s="1" t="str">
        <f t="shared" si="3"/>
        <v/>
      </c>
      <c r="K56" s="13" t="str">
        <f t="shared" si="4"/>
        <v/>
      </c>
      <c r="L56" s="9" t="str">
        <f t="shared" si="5"/>
        <v/>
      </c>
      <c r="M56" s="1" t="str">
        <f t="shared" si="6"/>
        <v/>
      </c>
      <c r="N56" s="1" t="str">
        <f t="shared" si="7"/>
        <v/>
      </c>
      <c r="O56" s="1" t="str">
        <f t="shared" si="8"/>
        <v/>
      </c>
      <c r="P56" s="1" t="str">
        <f t="shared" si="9"/>
        <v/>
      </c>
      <c r="Q56" s="1" t="str">
        <f t="shared" si="10"/>
        <v/>
      </c>
      <c r="R56" s="1" t="str">
        <f t="shared" si="11"/>
        <v/>
      </c>
      <c r="S56" s="1" t="str">
        <f t="shared" si="12"/>
        <v/>
      </c>
      <c r="T56" s="1" t="str">
        <f t="shared" si="13"/>
        <v/>
      </c>
      <c r="U56" s="1" t="str">
        <f t="shared" si="14"/>
        <v/>
      </c>
      <c r="V56" s="1" t="str">
        <f t="shared" si="15"/>
        <v/>
      </c>
      <c r="W56" s="26" t="str">
        <f t="shared" si="16"/>
        <v/>
      </c>
      <c r="X56" s="13" t="str">
        <f t="shared" si="17"/>
        <v/>
      </c>
      <c r="Y56" s="9">
        <f t="shared" si="18"/>
        <v>0</v>
      </c>
    </row>
    <row r="57" spans="1:25" x14ac:dyDescent="0.25">
      <c r="A57" s="28"/>
      <c r="B57" s="29"/>
      <c r="C57" s="30"/>
      <c r="D57" s="31"/>
      <c r="E57" s="29" t="s">
        <v>16</v>
      </c>
      <c r="F57" s="13" t="b">
        <f>IF($E57=Categories!$A$1,"",IF($E57=Categories!$A$2,Categories!$B$2,IF($E57=Categories!$A$3,Categories!$B$3,IF($E57=Categories!$A$4,Categories!$B$4,IF($E57=Categories!$A$5,Categories!$B$5,IF($E57=Categories!$A$6,Categories!$B$6,IF($E57=Categories!$A$7,Categories!$B$7,IF($E57=Categories!$A$8,Categories!$B$8,IF($E57=Categories!$A$9,Categories!$B$9,IF($E57=Categories!$A$10,Categories!$B$10,IF($E57=Categories!$A$11,Categories!$B$11,IF($E57=Categories!$A$12,Categories!$B$12,IF($E57=Categories!$A$13,Categories!$B$13,IF($E57=Categories!$A$14,Categories!$B$14,IF($E57=Categories!$A$15,Categories!$B$15,IF($E57=Categories!$A$16,Categories!$B$16,IF($E57=Categories!$A$17,Categories!$B$17,IF($E57=Categories!$A$18,Categories!$B$18,IF($E57=Categories!$A$19,Categories!$B$19)))))))))))))))))))</f>
        <v>0</v>
      </c>
      <c r="G57" s="9" t="str">
        <f t="shared" si="0"/>
        <v/>
      </c>
      <c r="H57" s="1" t="str">
        <f t="shared" si="1"/>
        <v/>
      </c>
      <c r="I57" s="1" t="str">
        <f t="shared" si="2"/>
        <v/>
      </c>
      <c r="J57" s="1" t="str">
        <f t="shared" si="3"/>
        <v/>
      </c>
      <c r="K57" s="13" t="str">
        <f t="shared" si="4"/>
        <v/>
      </c>
      <c r="L57" s="9" t="str">
        <f t="shared" si="5"/>
        <v/>
      </c>
      <c r="M57" s="1" t="str">
        <f t="shared" si="6"/>
        <v/>
      </c>
      <c r="N57" s="1" t="str">
        <f t="shared" si="7"/>
        <v/>
      </c>
      <c r="O57" s="1" t="str">
        <f t="shared" si="8"/>
        <v/>
      </c>
      <c r="P57" s="1" t="str">
        <f t="shared" si="9"/>
        <v/>
      </c>
      <c r="Q57" s="1" t="str">
        <f t="shared" si="10"/>
        <v/>
      </c>
      <c r="R57" s="1" t="str">
        <f t="shared" si="11"/>
        <v/>
      </c>
      <c r="S57" s="1" t="str">
        <f t="shared" si="12"/>
        <v/>
      </c>
      <c r="T57" s="1" t="str">
        <f t="shared" si="13"/>
        <v/>
      </c>
      <c r="U57" s="1" t="str">
        <f t="shared" si="14"/>
        <v/>
      </c>
      <c r="V57" s="1" t="str">
        <f t="shared" si="15"/>
        <v/>
      </c>
      <c r="W57" s="26" t="str">
        <f t="shared" si="16"/>
        <v/>
      </c>
      <c r="X57" s="13" t="str">
        <f t="shared" si="17"/>
        <v/>
      </c>
      <c r="Y57" s="9">
        <f t="shared" si="18"/>
        <v>0</v>
      </c>
    </row>
    <row r="58" spans="1:25" x14ac:dyDescent="0.25">
      <c r="A58" s="28"/>
      <c r="B58" s="29"/>
      <c r="C58" s="30"/>
      <c r="D58" s="31"/>
      <c r="E58" s="29" t="s">
        <v>16</v>
      </c>
      <c r="F58" s="13" t="b">
        <f>IF($E58=Categories!$A$1,"",IF($E58=Categories!$A$2,Categories!$B$2,IF($E58=Categories!$A$3,Categories!$B$3,IF($E58=Categories!$A$4,Categories!$B$4,IF($E58=Categories!$A$5,Categories!$B$5,IF($E58=Categories!$A$6,Categories!$B$6,IF($E58=Categories!$A$7,Categories!$B$7,IF($E58=Categories!$A$8,Categories!$B$8,IF($E58=Categories!$A$9,Categories!$B$9,IF($E58=Categories!$A$10,Categories!$B$10,IF($E58=Categories!$A$11,Categories!$B$11,IF($E58=Categories!$A$12,Categories!$B$12,IF($E58=Categories!$A$13,Categories!$B$13,IF($E58=Categories!$A$14,Categories!$B$14,IF($E58=Categories!$A$15,Categories!$B$15,IF($E58=Categories!$A$16,Categories!$B$16,IF($E58=Categories!$A$17,Categories!$B$17,IF($E58=Categories!$A$18,Categories!$B$18,IF($E58=Categories!$A$19,Categories!$B$19)))))))))))))))))))</f>
        <v>0</v>
      </c>
      <c r="G58" s="9" t="str">
        <f t="shared" si="0"/>
        <v/>
      </c>
      <c r="H58" s="1" t="str">
        <f t="shared" si="1"/>
        <v/>
      </c>
      <c r="I58" s="1" t="str">
        <f t="shared" si="2"/>
        <v/>
      </c>
      <c r="J58" s="1" t="str">
        <f t="shared" si="3"/>
        <v/>
      </c>
      <c r="K58" s="13" t="str">
        <f t="shared" si="4"/>
        <v/>
      </c>
      <c r="L58" s="9" t="str">
        <f t="shared" si="5"/>
        <v/>
      </c>
      <c r="M58" s="1" t="str">
        <f t="shared" si="6"/>
        <v/>
      </c>
      <c r="N58" s="1" t="str">
        <f t="shared" si="7"/>
        <v/>
      </c>
      <c r="O58" s="1" t="str">
        <f t="shared" si="8"/>
        <v/>
      </c>
      <c r="P58" s="1" t="str">
        <f t="shared" si="9"/>
        <v/>
      </c>
      <c r="Q58" s="1" t="str">
        <f t="shared" si="10"/>
        <v/>
      </c>
      <c r="R58" s="1" t="str">
        <f t="shared" si="11"/>
        <v/>
      </c>
      <c r="S58" s="1" t="str">
        <f t="shared" si="12"/>
        <v/>
      </c>
      <c r="T58" s="1" t="str">
        <f t="shared" si="13"/>
        <v/>
      </c>
      <c r="U58" s="1" t="str">
        <f t="shared" si="14"/>
        <v/>
      </c>
      <c r="V58" s="1" t="str">
        <f t="shared" si="15"/>
        <v/>
      </c>
      <c r="W58" s="26" t="str">
        <f t="shared" si="16"/>
        <v/>
      </c>
      <c r="X58" s="13" t="str">
        <f t="shared" si="17"/>
        <v/>
      </c>
      <c r="Y58" s="9">
        <f t="shared" si="18"/>
        <v>0</v>
      </c>
    </row>
    <row r="59" spans="1:25" x14ac:dyDescent="0.25">
      <c r="A59" s="28"/>
      <c r="B59" s="29"/>
      <c r="C59" s="30"/>
      <c r="D59" s="31"/>
      <c r="E59" s="29" t="s">
        <v>16</v>
      </c>
      <c r="F59" s="13" t="b">
        <f>IF($E59=Categories!$A$1,"",IF($E59=Categories!$A$2,Categories!$B$2,IF($E59=Categories!$A$3,Categories!$B$3,IF($E59=Categories!$A$4,Categories!$B$4,IF($E59=Categories!$A$5,Categories!$B$5,IF($E59=Categories!$A$6,Categories!$B$6,IF($E59=Categories!$A$7,Categories!$B$7,IF($E59=Categories!$A$8,Categories!$B$8,IF($E59=Categories!$A$9,Categories!$B$9,IF($E59=Categories!$A$10,Categories!$B$10,IF($E59=Categories!$A$11,Categories!$B$11,IF($E59=Categories!$A$12,Categories!$B$12,IF($E59=Categories!$A$13,Categories!$B$13,IF($E59=Categories!$A$14,Categories!$B$14,IF($E59=Categories!$A$15,Categories!$B$15,IF($E59=Categories!$A$16,Categories!$B$16,IF($E59=Categories!$A$17,Categories!$B$17,IF($E59=Categories!$A$18,Categories!$B$18,IF($E59=Categories!$A$19,Categories!$B$19)))))))))))))))))))</f>
        <v>0</v>
      </c>
      <c r="G59" s="9" t="str">
        <f t="shared" si="0"/>
        <v/>
      </c>
      <c r="H59" s="1" t="str">
        <f t="shared" si="1"/>
        <v/>
      </c>
      <c r="I59" s="1" t="str">
        <f t="shared" si="2"/>
        <v/>
      </c>
      <c r="J59" s="1" t="str">
        <f t="shared" si="3"/>
        <v/>
      </c>
      <c r="K59" s="13" t="str">
        <f t="shared" si="4"/>
        <v/>
      </c>
      <c r="L59" s="9" t="str">
        <f t="shared" si="5"/>
        <v/>
      </c>
      <c r="M59" s="1" t="str">
        <f t="shared" si="6"/>
        <v/>
      </c>
      <c r="N59" s="1" t="str">
        <f t="shared" si="7"/>
        <v/>
      </c>
      <c r="O59" s="1" t="str">
        <f t="shared" si="8"/>
        <v/>
      </c>
      <c r="P59" s="1" t="str">
        <f t="shared" si="9"/>
        <v/>
      </c>
      <c r="Q59" s="1" t="str">
        <f t="shared" si="10"/>
        <v/>
      </c>
      <c r="R59" s="1" t="str">
        <f t="shared" si="11"/>
        <v/>
      </c>
      <c r="S59" s="1" t="str">
        <f t="shared" si="12"/>
        <v/>
      </c>
      <c r="T59" s="1" t="str">
        <f t="shared" si="13"/>
        <v/>
      </c>
      <c r="U59" s="1" t="str">
        <f t="shared" si="14"/>
        <v/>
      </c>
      <c r="V59" s="1" t="str">
        <f t="shared" si="15"/>
        <v/>
      </c>
      <c r="W59" s="26" t="str">
        <f t="shared" si="16"/>
        <v/>
      </c>
      <c r="X59" s="13" t="str">
        <f t="shared" si="17"/>
        <v/>
      </c>
      <c r="Y59" s="9">
        <f t="shared" si="18"/>
        <v>0</v>
      </c>
    </row>
    <row r="60" spans="1:25" x14ac:dyDescent="0.25">
      <c r="A60" s="28"/>
      <c r="B60" s="29"/>
      <c r="C60" s="30"/>
      <c r="D60" s="31"/>
      <c r="E60" s="29" t="s">
        <v>16</v>
      </c>
      <c r="F60" s="13" t="b">
        <f>IF($E60=Categories!$A$1,"",IF($E60=Categories!$A$2,Categories!$B$2,IF($E60=Categories!$A$3,Categories!$B$3,IF($E60=Categories!$A$4,Categories!$B$4,IF($E60=Categories!$A$5,Categories!$B$5,IF($E60=Categories!$A$6,Categories!$B$6,IF($E60=Categories!$A$7,Categories!$B$7,IF($E60=Categories!$A$8,Categories!$B$8,IF($E60=Categories!$A$9,Categories!$B$9,IF($E60=Categories!$A$10,Categories!$B$10,IF($E60=Categories!$A$11,Categories!$B$11,IF($E60=Categories!$A$12,Categories!$B$12,IF($E60=Categories!$A$13,Categories!$B$13,IF($E60=Categories!$A$14,Categories!$B$14,IF($E60=Categories!$A$15,Categories!$B$15,IF($E60=Categories!$A$16,Categories!$B$16,IF($E60=Categories!$A$17,Categories!$B$17,IF($E60=Categories!$A$18,Categories!$B$18,IF($E60=Categories!$A$19,Categories!$B$19)))))))))))))))))))</f>
        <v>0</v>
      </c>
      <c r="G60" s="9" t="str">
        <f t="shared" si="0"/>
        <v/>
      </c>
      <c r="H60" s="1" t="str">
        <f t="shared" si="1"/>
        <v/>
      </c>
      <c r="I60" s="1" t="str">
        <f t="shared" si="2"/>
        <v/>
      </c>
      <c r="J60" s="1" t="str">
        <f t="shared" si="3"/>
        <v/>
      </c>
      <c r="K60" s="13" t="str">
        <f t="shared" si="4"/>
        <v/>
      </c>
      <c r="L60" s="9" t="str">
        <f t="shared" si="5"/>
        <v/>
      </c>
      <c r="M60" s="1" t="str">
        <f t="shared" si="6"/>
        <v/>
      </c>
      <c r="N60" s="1" t="str">
        <f t="shared" si="7"/>
        <v/>
      </c>
      <c r="O60" s="1" t="str">
        <f t="shared" si="8"/>
        <v/>
      </c>
      <c r="P60" s="1" t="str">
        <f t="shared" si="9"/>
        <v/>
      </c>
      <c r="Q60" s="1" t="str">
        <f t="shared" si="10"/>
        <v/>
      </c>
      <c r="R60" s="1" t="str">
        <f t="shared" si="11"/>
        <v/>
      </c>
      <c r="S60" s="1" t="str">
        <f t="shared" si="12"/>
        <v/>
      </c>
      <c r="T60" s="1" t="str">
        <f t="shared" si="13"/>
        <v/>
      </c>
      <c r="U60" s="1" t="str">
        <f t="shared" si="14"/>
        <v/>
      </c>
      <c r="V60" s="1" t="str">
        <f t="shared" si="15"/>
        <v/>
      </c>
      <c r="W60" s="26" t="str">
        <f t="shared" si="16"/>
        <v/>
      </c>
      <c r="X60" s="13" t="str">
        <f t="shared" si="17"/>
        <v/>
      </c>
      <c r="Y60" s="9">
        <f t="shared" si="18"/>
        <v>0</v>
      </c>
    </row>
    <row r="61" spans="1:25" x14ac:dyDescent="0.25">
      <c r="A61" s="28"/>
      <c r="B61" s="29"/>
      <c r="C61" s="30"/>
      <c r="D61" s="31"/>
      <c r="E61" s="29" t="s">
        <v>16</v>
      </c>
      <c r="F61" s="13" t="b">
        <f>IF($E61=Categories!$A$1,"",IF($E61=Categories!$A$2,Categories!$B$2,IF($E61=Categories!$A$3,Categories!$B$3,IF($E61=Categories!$A$4,Categories!$B$4,IF($E61=Categories!$A$5,Categories!$B$5,IF($E61=Categories!$A$6,Categories!$B$6,IF($E61=Categories!$A$7,Categories!$B$7,IF($E61=Categories!$A$8,Categories!$B$8,IF($E61=Categories!$A$9,Categories!$B$9,IF($E61=Categories!$A$10,Categories!$B$10,IF($E61=Categories!$A$11,Categories!$B$11,IF($E61=Categories!$A$12,Categories!$B$12,IF($E61=Categories!$A$13,Categories!$B$13,IF($E61=Categories!$A$14,Categories!$B$14,IF($E61=Categories!$A$15,Categories!$B$15,IF($E61=Categories!$A$16,Categories!$B$16,IF($E61=Categories!$A$17,Categories!$B$17,IF($E61=Categories!$A$18,Categories!$B$18,IF($E61=Categories!$A$19,Categories!$B$19)))))))))))))))))))</f>
        <v>0</v>
      </c>
      <c r="G61" s="9" t="str">
        <f t="shared" si="0"/>
        <v/>
      </c>
      <c r="H61" s="1" t="str">
        <f t="shared" si="1"/>
        <v/>
      </c>
      <c r="I61" s="1" t="str">
        <f t="shared" si="2"/>
        <v/>
      </c>
      <c r="J61" s="1" t="str">
        <f t="shared" si="3"/>
        <v/>
      </c>
      <c r="K61" s="13" t="str">
        <f t="shared" si="4"/>
        <v/>
      </c>
      <c r="L61" s="9" t="str">
        <f t="shared" si="5"/>
        <v/>
      </c>
      <c r="M61" s="1" t="str">
        <f t="shared" si="6"/>
        <v/>
      </c>
      <c r="N61" s="1" t="str">
        <f t="shared" si="7"/>
        <v/>
      </c>
      <c r="O61" s="1" t="str">
        <f t="shared" si="8"/>
        <v/>
      </c>
      <c r="P61" s="1" t="str">
        <f t="shared" si="9"/>
        <v/>
      </c>
      <c r="Q61" s="1" t="str">
        <f t="shared" si="10"/>
        <v/>
      </c>
      <c r="R61" s="1" t="str">
        <f t="shared" si="11"/>
        <v/>
      </c>
      <c r="S61" s="1" t="str">
        <f t="shared" si="12"/>
        <v/>
      </c>
      <c r="T61" s="1" t="str">
        <f t="shared" si="13"/>
        <v/>
      </c>
      <c r="U61" s="1" t="str">
        <f t="shared" si="14"/>
        <v/>
      </c>
      <c r="V61" s="1" t="str">
        <f t="shared" si="15"/>
        <v/>
      </c>
      <c r="W61" s="26" t="str">
        <f t="shared" si="16"/>
        <v/>
      </c>
      <c r="X61" s="13" t="str">
        <f t="shared" si="17"/>
        <v/>
      </c>
      <c r="Y61" s="9">
        <f t="shared" si="18"/>
        <v>0</v>
      </c>
    </row>
    <row r="62" spans="1:25" x14ac:dyDescent="0.25">
      <c r="A62" s="28"/>
      <c r="B62" s="29"/>
      <c r="C62" s="30"/>
      <c r="D62" s="31"/>
      <c r="E62" s="29" t="s">
        <v>16</v>
      </c>
      <c r="F62" s="13" t="b">
        <f>IF($E62=Categories!$A$1,"",IF($E62=Categories!$A$2,Categories!$B$2,IF($E62=Categories!$A$3,Categories!$B$3,IF($E62=Categories!$A$4,Categories!$B$4,IF($E62=Categories!$A$5,Categories!$B$5,IF($E62=Categories!$A$6,Categories!$B$6,IF($E62=Categories!$A$7,Categories!$B$7,IF($E62=Categories!$A$8,Categories!$B$8,IF($E62=Categories!$A$9,Categories!$B$9,IF($E62=Categories!$A$10,Categories!$B$10,IF($E62=Categories!$A$11,Categories!$B$11,IF($E62=Categories!$A$12,Categories!$B$12,IF($E62=Categories!$A$13,Categories!$B$13,IF($E62=Categories!$A$14,Categories!$B$14,IF($E62=Categories!$A$15,Categories!$B$15,IF($E62=Categories!$A$16,Categories!$B$16,IF($E62=Categories!$A$17,Categories!$B$17,IF($E62=Categories!$A$18,Categories!$B$18,IF($E62=Categories!$A$19,Categories!$B$19)))))))))))))))))))</f>
        <v>0</v>
      </c>
      <c r="G62" s="9" t="str">
        <f t="shared" si="0"/>
        <v/>
      </c>
      <c r="H62" s="1" t="str">
        <f t="shared" si="1"/>
        <v/>
      </c>
      <c r="I62" s="1" t="str">
        <f t="shared" si="2"/>
        <v/>
      </c>
      <c r="J62" s="1" t="str">
        <f t="shared" si="3"/>
        <v/>
      </c>
      <c r="K62" s="13" t="str">
        <f t="shared" si="4"/>
        <v/>
      </c>
      <c r="L62" s="9" t="str">
        <f t="shared" si="5"/>
        <v/>
      </c>
      <c r="M62" s="1" t="str">
        <f t="shared" si="6"/>
        <v/>
      </c>
      <c r="N62" s="1" t="str">
        <f t="shared" si="7"/>
        <v/>
      </c>
      <c r="O62" s="1" t="str">
        <f t="shared" si="8"/>
        <v/>
      </c>
      <c r="P62" s="1" t="str">
        <f t="shared" si="9"/>
        <v/>
      </c>
      <c r="Q62" s="1" t="str">
        <f t="shared" si="10"/>
        <v/>
      </c>
      <c r="R62" s="1" t="str">
        <f t="shared" si="11"/>
        <v/>
      </c>
      <c r="S62" s="1" t="str">
        <f t="shared" si="12"/>
        <v/>
      </c>
      <c r="T62" s="1" t="str">
        <f t="shared" si="13"/>
        <v/>
      </c>
      <c r="U62" s="1" t="str">
        <f t="shared" si="14"/>
        <v/>
      </c>
      <c r="V62" s="1" t="str">
        <f t="shared" si="15"/>
        <v/>
      </c>
      <c r="W62" s="26" t="str">
        <f t="shared" si="16"/>
        <v/>
      </c>
      <c r="X62" s="13" t="str">
        <f t="shared" si="17"/>
        <v/>
      </c>
      <c r="Y62" s="9">
        <f t="shared" si="18"/>
        <v>0</v>
      </c>
    </row>
    <row r="63" spans="1:25" x14ac:dyDescent="0.25">
      <c r="A63" s="28"/>
      <c r="B63" s="29"/>
      <c r="C63" s="30"/>
      <c r="D63" s="31"/>
      <c r="E63" s="29" t="s">
        <v>16</v>
      </c>
      <c r="F63" s="13" t="b">
        <f>IF($E63=Categories!$A$1,"",IF($E63=Categories!$A$2,Categories!$B$2,IF($E63=Categories!$A$3,Categories!$B$3,IF($E63=Categories!$A$4,Categories!$B$4,IF($E63=Categories!$A$5,Categories!$B$5,IF($E63=Categories!$A$6,Categories!$B$6,IF($E63=Categories!$A$7,Categories!$B$7,IF($E63=Categories!$A$8,Categories!$B$8,IF($E63=Categories!$A$9,Categories!$B$9,IF($E63=Categories!$A$10,Categories!$B$10,IF($E63=Categories!$A$11,Categories!$B$11,IF($E63=Categories!$A$12,Categories!$B$12,IF($E63=Categories!$A$13,Categories!$B$13,IF($E63=Categories!$A$14,Categories!$B$14,IF($E63=Categories!$A$15,Categories!$B$15,IF($E63=Categories!$A$16,Categories!$B$16,IF($E63=Categories!$A$17,Categories!$B$17,IF($E63=Categories!$A$18,Categories!$B$18,IF($E63=Categories!$A$19,Categories!$B$19)))))))))))))))))))</f>
        <v>0</v>
      </c>
      <c r="G63" s="9" t="str">
        <f t="shared" si="0"/>
        <v/>
      </c>
      <c r="H63" s="1" t="str">
        <f t="shared" si="1"/>
        <v/>
      </c>
      <c r="I63" s="1" t="str">
        <f t="shared" si="2"/>
        <v/>
      </c>
      <c r="J63" s="1" t="str">
        <f t="shared" si="3"/>
        <v/>
      </c>
      <c r="K63" s="13" t="str">
        <f t="shared" si="4"/>
        <v/>
      </c>
      <c r="L63" s="9" t="str">
        <f t="shared" si="5"/>
        <v/>
      </c>
      <c r="M63" s="1" t="str">
        <f t="shared" si="6"/>
        <v/>
      </c>
      <c r="N63" s="1" t="str">
        <f t="shared" si="7"/>
        <v/>
      </c>
      <c r="O63" s="1" t="str">
        <f t="shared" si="8"/>
        <v/>
      </c>
      <c r="P63" s="1" t="str">
        <f t="shared" si="9"/>
        <v/>
      </c>
      <c r="Q63" s="1" t="str">
        <f t="shared" si="10"/>
        <v/>
      </c>
      <c r="R63" s="1" t="str">
        <f t="shared" si="11"/>
        <v/>
      </c>
      <c r="S63" s="1" t="str">
        <f t="shared" si="12"/>
        <v/>
      </c>
      <c r="T63" s="1" t="str">
        <f t="shared" si="13"/>
        <v/>
      </c>
      <c r="U63" s="1" t="str">
        <f t="shared" si="14"/>
        <v/>
      </c>
      <c r="V63" s="1" t="str">
        <f t="shared" si="15"/>
        <v/>
      </c>
      <c r="W63" s="26" t="str">
        <f t="shared" si="16"/>
        <v/>
      </c>
      <c r="X63" s="13" t="str">
        <f t="shared" si="17"/>
        <v/>
      </c>
      <c r="Y63" s="9">
        <f t="shared" si="18"/>
        <v>0</v>
      </c>
    </row>
    <row r="64" spans="1:25" x14ac:dyDescent="0.25">
      <c r="A64" s="28"/>
      <c r="B64" s="29"/>
      <c r="C64" s="30"/>
      <c r="D64" s="31"/>
      <c r="E64" s="29" t="s">
        <v>16</v>
      </c>
      <c r="F64" s="13" t="b">
        <f>IF($E64=Categories!$A$1,"",IF($E64=Categories!$A$2,Categories!$B$2,IF($E64=Categories!$A$3,Categories!$B$3,IF($E64=Categories!$A$4,Categories!$B$4,IF($E64=Categories!$A$5,Categories!$B$5,IF($E64=Categories!$A$6,Categories!$B$6,IF($E64=Categories!$A$7,Categories!$B$7,IF($E64=Categories!$A$8,Categories!$B$8,IF($E64=Categories!$A$9,Categories!$B$9,IF($E64=Categories!$A$10,Categories!$B$10,IF($E64=Categories!$A$11,Categories!$B$11,IF($E64=Categories!$A$12,Categories!$B$12,IF($E64=Categories!$A$13,Categories!$B$13,IF($E64=Categories!$A$14,Categories!$B$14,IF($E64=Categories!$A$15,Categories!$B$15,IF($E64=Categories!$A$16,Categories!$B$16,IF($E64=Categories!$A$17,Categories!$B$17,IF($E64=Categories!$A$18,Categories!$B$18,IF($E64=Categories!$A$19,Categories!$B$19)))))))))))))))))))</f>
        <v>0</v>
      </c>
      <c r="G64" s="9" t="str">
        <f t="shared" si="0"/>
        <v/>
      </c>
      <c r="H64" s="1" t="str">
        <f t="shared" si="1"/>
        <v/>
      </c>
      <c r="I64" s="1" t="str">
        <f t="shared" si="2"/>
        <v/>
      </c>
      <c r="J64" s="1" t="str">
        <f t="shared" si="3"/>
        <v/>
      </c>
      <c r="K64" s="13" t="str">
        <f t="shared" si="4"/>
        <v/>
      </c>
      <c r="L64" s="9" t="str">
        <f t="shared" si="5"/>
        <v/>
      </c>
      <c r="M64" s="1" t="str">
        <f t="shared" si="6"/>
        <v/>
      </c>
      <c r="N64" s="1" t="str">
        <f t="shared" si="7"/>
        <v/>
      </c>
      <c r="O64" s="1" t="str">
        <f t="shared" si="8"/>
        <v/>
      </c>
      <c r="P64" s="1" t="str">
        <f t="shared" si="9"/>
        <v/>
      </c>
      <c r="Q64" s="1" t="str">
        <f t="shared" si="10"/>
        <v/>
      </c>
      <c r="R64" s="1" t="str">
        <f t="shared" si="11"/>
        <v/>
      </c>
      <c r="S64" s="1" t="str">
        <f t="shared" si="12"/>
        <v/>
      </c>
      <c r="T64" s="1" t="str">
        <f t="shared" si="13"/>
        <v/>
      </c>
      <c r="U64" s="1" t="str">
        <f t="shared" si="14"/>
        <v/>
      </c>
      <c r="V64" s="1" t="str">
        <f t="shared" si="15"/>
        <v/>
      </c>
      <c r="W64" s="26" t="str">
        <f t="shared" si="16"/>
        <v/>
      </c>
      <c r="X64" s="13" t="str">
        <f t="shared" si="17"/>
        <v/>
      </c>
      <c r="Y64" s="9">
        <f t="shared" si="18"/>
        <v>0</v>
      </c>
    </row>
    <row r="65" spans="1:25" x14ac:dyDescent="0.25">
      <c r="A65" s="28"/>
      <c r="B65" s="29"/>
      <c r="C65" s="30"/>
      <c r="D65" s="31"/>
      <c r="E65" s="29" t="s">
        <v>16</v>
      </c>
      <c r="F65" s="13" t="b">
        <f>IF($E65=Categories!$A$1,"",IF($E65=Categories!$A$2,Categories!$B$2,IF($E65=Categories!$A$3,Categories!$B$3,IF($E65=Categories!$A$4,Categories!$B$4,IF($E65=Categories!$A$5,Categories!$B$5,IF($E65=Categories!$A$6,Categories!$B$6,IF($E65=Categories!$A$7,Categories!$B$7,IF($E65=Categories!$A$8,Categories!$B$8,IF($E65=Categories!$A$9,Categories!$B$9,IF($E65=Categories!$A$10,Categories!$B$10,IF($E65=Categories!$A$11,Categories!$B$11,IF($E65=Categories!$A$12,Categories!$B$12,IF($E65=Categories!$A$13,Categories!$B$13,IF($E65=Categories!$A$14,Categories!$B$14,IF($E65=Categories!$A$15,Categories!$B$15,IF($E65=Categories!$A$16,Categories!$B$16,IF($E65=Categories!$A$17,Categories!$B$17,IF($E65=Categories!$A$18,Categories!$B$18,IF($E65=Categories!$A$19,Categories!$B$19)))))))))))))))))))</f>
        <v>0</v>
      </c>
      <c r="G65" s="9" t="str">
        <f t="shared" si="0"/>
        <v/>
      </c>
      <c r="H65" s="1" t="str">
        <f t="shared" si="1"/>
        <v/>
      </c>
      <c r="I65" s="1" t="str">
        <f t="shared" si="2"/>
        <v/>
      </c>
      <c r="J65" s="1" t="str">
        <f t="shared" si="3"/>
        <v/>
      </c>
      <c r="K65" s="13" t="str">
        <f t="shared" si="4"/>
        <v/>
      </c>
      <c r="L65" s="9" t="str">
        <f t="shared" si="5"/>
        <v/>
      </c>
      <c r="M65" s="1" t="str">
        <f t="shared" si="6"/>
        <v/>
      </c>
      <c r="N65" s="1" t="str">
        <f t="shared" si="7"/>
        <v/>
      </c>
      <c r="O65" s="1" t="str">
        <f t="shared" si="8"/>
        <v/>
      </c>
      <c r="P65" s="1" t="str">
        <f t="shared" si="9"/>
        <v/>
      </c>
      <c r="Q65" s="1" t="str">
        <f t="shared" si="10"/>
        <v/>
      </c>
      <c r="R65" s="1" t="str">
        <f t="shared" si="11"/>
        <v/>
      </c>
      <c r="S65" s="1" t="str">
        <f t="shared" si="12"/>
        <v/>
      </c>
      <c r="T65" s="1" t="str">
        <f t="shared" si="13"/>
        <v/>
      </c>
      <c r="U65" s="1" t="str">
        <f t="shared" si="14"/>
        <v/>
      </c>
      <c r="V65" s="1" t="str">
        <f t="shared" si="15"/>
        <v/>
      </c>
      <c r="W65" s="26" t="str">
        <f t="shared" si="16"/>
        <v/>
      </c>
      <c r="X65" s="13" t="str">
        <f t="shared" si="17"/>
        <v/>
      </c>
      <c r="Y65" s="9">
        <f t="shared" si="18"/>
        <v>0</v>
      </c>
    </row>
    <row r="66" spans="1:25" x14ac:dyDescent="0.25">
      <c r="A66" s="28"/>
      <c r="B66" s="29"/>
      <c r="C66" s="30"/>
      <c r="D66" s="31"/>
      <c r="E66" s="29" t="s">
        <v>16</v>
      </c>
      <c r="F66" s="13" t="b">
        <f>IF($E66=Categories!$A$1,"",IF($E66=Categories!$A$2,Categories!$B$2,IF($E66=Categories!$A$3,Categories!$B$3,IF($E66=Categories!$A$4,Categories!$B$4,IF($E66=Categories!$A$5,Categories!$B$5,IF($E66=Categories!$A$6,Categories!$B$6,IF($E66=Categories!$A$7,Categories!$B$7,IF($E66=Categories!$A$8,Categories!$B$8,IF($E66=Categories!$A$9,Categories!$B$9,IF($E66=Categories!$A$10,Categories!$B$10,IF($E66=Categories!$A$11,Categories!$B$11,IF($E66=Categories!$A$12,Categories!$B$12,IF($E66=Categories!$A$13,Categories!$B$13,IF($E66=Categories!$A$14,Categories!$B$14,IF($E66=Categories!$A$15,Categories!$B$15,IF($E66=Categories!$A$16,Categories!$B$16,IF($E66=Categories!$A$17,Categories!$B$17,IF($E66=Categories!$A$18,Categories!$B$18,IF($E66=Categories!$A$19,Categories!$B$19)))))))))))))))))))</f>
        <v>0</v>
      </c>
      <c r="G66" s="9" t="str">
        <f t="shared" si="0"/>
        <v/>
      </c>
      <c r="H66" s="1" t="str">
        <f t="shared" si="1"/>
        <v/>
      </c>
      <c r="I66" s="1" t="str">
        <f t="shared" si="2"/>
        <v/>
      </c>
      <c r="J66" s="1" t="str">
        <f t="shared" si="3"/>
        <v/>
      </c>
      <c r="K66" s="13" t="str">
        <f t="shared" si="4"/>
        <v/>
      </c>
      <c r="L66" s="9" t="str">
        <f t="shared" si="5"/>
        <v/>
      </c>
      <c r="M66" s="1" t="str">
        <f t="shared" si="6"/>
        <v/>
      </c>
      <c r="N66" s="1" t="str">
        <f t="shared" si="7"/>
        <v/>
      </c>
      <c r="O66" s="1" t="str">
        <f t="shared" si="8"/>
        <v/>
      </c>
      <c r="P66" s="1" t="str">
        <f t="shared" si="9"/>
        <v/>
      </c>
      <c r="Q66" s="1" t="str">
        <f t="shared" si="10"/>
        <v/>
      </c>
      <c r="R66" s="1" t="str">
        <f t="shared" si="11"/>
        <v/>
      </c>
      <c r="S66" s="1" t="str">
        <f t="shared" si="12"/>
        <v/>
      </c>
      <c r="T66" s="1" t="str">
        <f t="shared" si="13"/>
        <v/>
      </c>
      <c r="U66" s="1" t="str">
        <f t="shared" si="14"/>
        <v/>
      </c>
      <c r="V66" s="1" t="str">
        <f t="shared" si="15"/>
        <v/>
      </c>
      <c r="W66" s="26" t="str">
        <f t="shared" si="16"/>
        <v/>
      </c>
      <c r="X66" s="13" t="str">
        <f t="shared" si="17"/>
        <v/>
      </c>
      <c r="Y66" s="9">
        <f t="shared" si="18"/>
        <v>0</v>
      </c>
    </row>
    <row r="67" spans="1:25" x14ac:dyDescent="0.25">
      <c r="A67" s="28"/>
      <c r="B67" s="29"/>
      <c r="C67" s="30"/>
      <c r="D67" s="31"/>
      <c r="E67" s="29" t="s">
        <v>16</v>
      </c>
      <c r="F67" s="13" t="b">
        <f>IF($E67=Categories!$A$1,"",IF($E67=Categories!$A$2,Categories!$B$2,IF($E67=Categories!$A$3,Categories!$B$3,IF($E67=Categories!$A$4,Categories!$B$4,IF($E67=Categories!$A$5,Categories!$B$5,IF($E67=Categories!$A$6,Categories!$B$6,IF($E67=Categories!$A$7,Categories!$B$7,IF($E67=Categories!$A$8,Categories!$B$8,IF($E67=Categories!$A$9,Categories!$B$9,IF($E67=Categories!$A$10,Categories!$B$10,IF($E67=Categories!$A$11,Categories!$B$11,IF($E67=Categories!$A$12,Categories!$B$12,IF($E67=Categories!$A$13,Categories!$B$13,IF($E67=Categories!$A$14,Categories!$B$14,IF($E67=Categories!$A$15,Categories!$B$15,IF($E67=Categories!$A$16,Categories!$B$16,IF($E67=Categories!$A$17,Categories!$B$17,IF($E67=Categories!$A$18,Categories!$B$18,IF($E67=Categories!$A$19,Categories!$B$19)))))))))))))))))))</f>
        <v>0</v>
      </c>
      <c r="G67" s="9" t="str">
        <f t="shared" si="0"/>
        <v/>
      </c>
      <c r="H67" s="1" t="str">
        <f t="shared" si="1"/>
        <v/>
      </c>
      <c r="I67" s="1" t="str">
        <f t="shared" si="2"/>
        <v/>
      </c>
      <c r="J67" s="1" t="str">
        <f t="shared" si="3"/>
        <v/>
      </c>
      <c r="K67" s="13" t="str">
        <f t="shared" si="4"/>
        <v/>
      </c>
      <c r="L67" s="9" t="str">
        <f t="shared" si="5"/>
        <v/>
      </c>
      <c r="M67" s="1" t="str">
        <f t="shared" si="6"/>
        <v/>
      </c>
      <c r="N67" s="1" t="str">
        <f t="shared" si="7"/>
        <v/>
      </c>
      <c r="O67" s="1" t="str">
        <f t="shared" si="8"/>
        <v/>
      </c>
      <c r="P67" s="1" t="str">
        <f t="shared" si="9"/>
        <v/>
      </c>
      <c r="Q67" s="1" t="str">
        <f t="shared" si="10"/>
        <v/>
      </c>
      <c r="R67" s="1" t="str">
        <f t="shared" si="11"/>
        <v/>
      </c>
      <c r="S67" s="1" t="str">
        <f t="shared" si="12"/>
        <v/>
      </c>
      <c r="T67" s="1" t="str">
        <f t="shared" si="13"/>
        <v/>
      </c>
      <c r="U67" s="1" t="str">
        <f t="shared" si="14"/>
        <v/>
      </c>
      <c r="V67" s="1" t="str">
        <f t="shared" si="15"/>
        <v/>
      </c>
      <c r="W67" s="26" t="str">
        <f t="shared" si="16"/>
        <v/>
      </c>
      <c r="X67" s="13" t="str">
        <f t="shared" si="17"/>
        <v/>
      </c>
      <c r="Y67" s="9">
        <f t="shared" si="18"/>
        <v>0</v>
      </c>
    </row>
    <row r="68" spans="1:25" x14ac:dyDescent="0.25">
      <c r="A68" s="28"/>
      <c r="B68" s="29"/>
      <c r="C68" s="30"/>
      <c r="D68" s="31"/>
      <c r="E68" s="29" t="s">
        <v>16</v>
      </c>
      <c r="F68" s="13" t="b">
        <f>IF($E68=Categories!$A$1,"",IF($E68=Categories!$A$2,Categories!$B$2,IF($E68=Categories!$A$3,Categories!$B$3,IF($E68=Categories!$A$4,Categories!$B$4,IF($E68=Categories!$A$5,Categories!$B$5,IF($E68=Categories!$A$6,Categories!$B$6,IF($E68=Categories!$A$7,Categories!$B$7,IF($E68=Categories!$A$8,Categories!$B$8,IF($E68=Categories!$A$9,Categories!$B$9,IF($E68=Categories!$A$10,Categories!$B$10,IF($E68=Categories!$A$11,Categories!$B$11,IF($E68=Categories!$A$12,Categories!$B$12,IF($E68=Categories!$A$13,Categories!$B$13,IF($E68=Categories!$A$14,Categories!$B$14,IF($E68=Categories!$A$15,Categories!$B$15,IF($E68=Categories!$A$16,Categories!$B$16,IF($E68=Categories!$A$17,Categories!$B$17,IF($E68=Categories!$A$18,Categories!$B$18,IF($E68=Categories!$A$19,Categories!$B$19)))))))))))))))))))</f>
        <v>0</v>
      </c>
      <c r="G68" s="9" t="str">
        <f t="shared" si="0"/>
        <v/>
      </c>
      <c r="H68" s="1" t="str">
        <f t="shared" si="1"/>
        <v/>
      </c>
      <c r="I68" s="1" t="str">
        <f t="shared" si="2"/>
        <v/>
      </c>
      <c r="J68" s="1" t="str">
        <f t="shared" si="3"/>
        <v/>
      </c>
      <c r="K68" s="13" t="str">
        <f t="shared" si="4"/>
        <v/>
      </c>
      <c r="L68" s="9" t="str">
        <f t="shared" si="5"/>
        <v/>
      </c>
      <c r="M68" s="1" t="str">
        <f t="shared" si="6"/>
        <v/>
      </c>
      <c r="N68" s="1" t="str">
        <f t="shared" si="7"/>
        <v/>
      </c>
      <c r="O68" s="1" t="str">
        <f t="shared" si="8"/>
        <v/>
      </c>
      <c r="P68" s="1" t="str">
        <f t="shared" si="9"/>
        <v/>
      </c>
      <c r="Q68" s="1" t="str">
        <f t="shared" si="10"/>
        <v/>
      </c>
      <c r="R68" s="1" t="str">
        <f t="shared" si="11"/>
        <v/>
      </c>
      <c r="S68" s="1" t="str">
        <f t="shared" si="12"/>
        <v/>
      </c>
      <c r="T68" s="1" t="str">
        <f t="shared" si="13"/>
        <v/>
      </c>
      <c r="U68" s="1" t="str">
        <f t="shared" si="14"/>
        <v/>
      </c>
      <c r="V68" s="1" t="str">
        <f t="shared" si="15"/>
        <v/>
      </c>
      <c r="W68" s="26" t="str">
        <f t="shared" si="16"/>
        <v/>
      </c>
      <c r="X68" s="13" t="str">
        <f t="shared" si="17"/>
        <v/>
      </c>
      <c r="Y68" s="9">
        <f t="shared" si="18"/>
        <v>0</v>
      </c>
    </row>
    <row r="69" spans="1:25" x14ac:dyDescent="0.25">
      <c r="A69" s="28"/>
      <c r="B69" s="29"/>
      <c r="C69" s="30"/>
      <c r="D69" s="31"/>
      <c r="E69" s="29" t="s">
        <v>16</v>
      </c>
      <c r="F69" s="13" t="b">
        <f>IF($E69=Categories!$A$1,"",IF($E69=Categories!$A$2,Categories!$B$2,IF($E69=Categories!$A$3,Categories!$B$3,IF($E69=Categories!$A$4,Categories!$B$4,IF($E69=Categories!$A$5,Categories!$B$5,IF($E69=Categories!$A$6,Categories!$B$6,IF($E69=Categories!$A$7,Categories!$B$7,IF($E69=Categories!$A$8,Categories!$B$8,IF($E69=Categories!$A$9,Categories!$B$9,IF($E69=Categories!$A$10,Categories!$B$10,IF($E69=Categories!$A$11,Categories!$B$11,IF($E69=Categories!$A$12,Categories!$B$12,IF($E69=Categories!$A$13,Categories!$B$13,IF($E69=Categories!$A$14,Categories!$B$14,IF($E69=Categories!$A$15,Categories!$B$15,IF($E69=Categories!$A$16,Categories!$B$16,IF($E69=Categories!$A$17,Categories!$B$17,IF($E69=Categories!$A$18,Categories!$B$18,IF($E69=Categories!$A$19,Categories!$B$19)))))))))))))))))))</f>
        <v>0</v>
      </c>
      <c r="G69" s="9" t="str">
        <f t="shared" si="0"/>
        <v/>
      </c>
      <c r="H69" s="1" t="str">
        <f t="shared" si="1"/>
        <v/>
      </c>
      <c r="I69" s="1" t="str">
        <f t="shared" si="2"/>
        <v/>
      </c>
      <c r="J69" s="1" t="str">
        <f t="shared" si="3"/>
        <v/>
      </c>
      <c r="K69" s="13" t="str">
        <f t="shared" si="4"/>
        <v/>
      </c>
      <c r="L69" s="9" t="str">
        <f t="shared" si="5"/>
        <v/>
      </c>
      <c r="M69" s="1" t="str">
        <f t="shared" si="6"/>
        <v/>
      </c>
      <c r="N69" s="1" t="str">
        <f t="shared" si="7"/>
        <v/>
      </c>
      <c r="O69" s="1" t="str">
        <f t="shared" si="8"/>
        <v/>
      </c>
      <c r="P69" s="1" t="str">
        <f t="shared" si="9"/>
        <v/>
      </c>
      <c r="Q69" s="1" t="str">
        <f t="shared" si="10"/>
        <v/>
      </c>
      <c r="R69" s="1" t="str">
        <f t="shared" si="11"/>
        <v/>
      </c>
      <c r="S69" s="1" t="str">
        <f t="shared" si="12"/>
        <v/>
      </c>
      <c r="T69" s="1" t="str">
        <f t="shared" si="13"/>
        <v/>
      </c>
      <c r="U69" s="1" t="str">
        <f t="shared" si="14"/>
        <v/>
      </c>
      <c r="V69" s="1" t="str">
        <f t="shared" si="15"/>
        <v/>
      </c>
      <c r="W69" s="26" t="str">
        <f t="shared" si="16"/>
        <v/>
      </c>
      <c r="X69" s="13" t="str">
        <f t="shared" si="17"/>
        <v/>
      </c>
      <c r="Y69" s="9">
        <f t="shared" si="18"/>
        <v>0</v>
      </c>
    </row>
    <row r="70" spans="1:25" x14ac:dyDescent="0.25">
      <c r="A70" s="28"/>
      <c r="B70" s="29"/>
      <c r="C70" s="30"/>
      <c r="D70" s="31"/>
      <c r="E70" s="29" t="s">
        <v>16</v>
      </c>
      <c r="F70" s="13" t="b">
        <f>IF($E70=Categories!$A$1,"",IF($E70=Categories!$A$2,Categories!$B$2,IF($E70=Categories!$A$3,Categories!$B$3,IF($E70=Categories!$A$4,Categories!$B$4,IF($E70=Categories!$A$5,Categories!$B$5,IF($E70=Categories!$A$6,Categories!$B$6,IF($E70=Categories!$A$7,Categories!$B$7,IF($E70=Categories!$A$8,Categories!$B$8,IF($E70=Categories!$A$9,Categories!$B$9,IF($E70=Categories!$A$10,Categories!$B$10,IF($E70=Categories!$A$11,Categories!$B$11,IF($E70=Categories!$A$12,Categories!$B$12,IF($E70=Categories!$A$13,Categories!$B$13,IF($E70=Categories!$A$14,Categories!$B$14,IF($E70=Categories!$A$15,Categories!$B$15,IF($E70=Categories!$A$16,Categories!$B$16,IF($E70=Categories!$A$17,Categories!$B$17,IF($E70=Categories!$A$18,Categories!$B$18,IF($E70=Categories!$A$19,Categories!$B$19)))))))))))))))))))</f>
        <v>0</v>
      </c>
      <c r="G70" s="9" t="str">
        <f t="shared" si="0"/>
        <v/>
      </c>
      <c r="H70" s="1" t="str">
        <f t="shared" si="1"/>
        <v/>
      </c>
      <c r="I70" s="1" t="str">
        <f t="shared" si="2"/>
        <v/>
      </c>
      <c r="J70" s="1" t="str">
        <f t="shared" si="3"/>
        <v/>
      </c>
      <c r="K70" s="13" t="str">
        <f t="shared" si="4"/>
        <v/>
      </c>
      <c r="L70" s="9" t="str">
        <f t="shared" si="5"/>
        <v/>
      </c>
      <c r="M70" s="1" t="str">
        <f t="shared" si="6"/>
        <v/>
      </c>
      <c r="N70" s="1" t="str">
        <f t="shared" si="7"/>
        <v/>
      </c>
      <c r="O70" s="1" t="str">
        <f t="shared" si="8"/>
        <v/>
      </c>
      <c r="P70" s="1" t="str">
        <f t="shared" si="9"/>
        <v/>
      </c>
      <c r="Q70" s="1" t="str">
        <f t="shared" si="10"/>
        <v/>
      </c>
      <c r="R70" s="1" t="str">
        <f t="shared" si="11"/>
        <v/>
      </c>
      <c r="S70" s="1" t="str">
        <f t="shared" si="12"/>
        <v/>
      </c>
      <c r="T70" s="1" t="str">
        <f t="shared" si="13"/>
        <v/>
      </c>
      <c r="U70" s="1" t="str">
        <f t="shared" si="14"/>
        <v/>
      </c>
      <c r="V70" s="1" t="str">
        <f t="shared" si="15"/>
        <v/>
      </c>
      <c r="W70" s="26" t="str">
        <f t="shared" si="16"/>
        <v/>
      </c>
      <c r="X70" s="13" t="str">
        <f t="shared" si="17"/>
        <v/>
      </c>
      <c r="Y70" s="9">
        <f t="shared" si="18"/>
        <v>0</v>
      </c>
    </row>
    <row r="71" spans="1:25" x14ac:dyDescent="0.25">
      <c r="A71" s="28"/>
      <c r="B71" s="29"/>
      <c r="C71" s="30"/>
      <c r="D71" s="31"/>
      <c r="E71" s="29" t="s">
        <v>16</v>
      </c>
      <c r="F71" s="13" t="b">
        <f>IF($E71=Categories!$A$1,"",IF($E71=Categories!$A$2,Categories!$B$2,IF($E71=Categories!$A$3,Categories!$B$3,IF($E71=Categories!$A$4,Categories!$B$4,IF($E71=Categories!$A$5,Categories!$B$5,IF($E71=Categories!$A$6,Categories!$B$6,IF($E71=Categories!$A$7,Categories!$B$7,IF($E71=Categories!$A$8,Categories!$B$8,IF($E71=Categories!$A$9,Categories!$B$9,IF($E71=Categories!$A$10,Categories!$B$10,IF($E71=Categories!$A$11,Categories!$B$11,IF($E71=Categories!$A$12,Categories!$B$12,IF($E71=Categories!$A$13,Categories!$B$13,IF($E71=Categories!$A$14,Categories!$B$14,IF($E71=Categories!$A$15,Categories!$B$15,IF($E71=Categories!$A$16,Categories!$B$16,IF($E71=Categories!$A$17,Categories!$B$17,IF($E71=Categories!$A$18,Categories!$B$18,IF($E71=Categories!$A$19,Categories!$B$19)))))))))))))))))))</f>
        <v>0</v>
      </c>
      <c r="G71" s="9" t="str">
        <f t="shared" ref="G71:G95" si="19">IF($F71="Inc1",$D71,"")</f>
        <v/>
      </c>
      <c r="H71" s="1" t="str">
        <f t="shared" ref="H71:H95" si="20">IF($F71="Inc2",$D71,"")</f>
        <v/>
      </c>
      <c r="I71" s="1" t="str">
        <f t="shared" ref="I71:I95" si="21">IF($F71="Int",$D71,"")</f>
        <v/>
      </c>
      <c r="J71" s="1" t="str">
        <f t="shared" ref="J71:J95" si="22">IF($F71="Inc4",$D71,"")</f>
        <v/>
      </c>
      <c r="K71" s="13" t="str">
        <f t="shared" ref="K71:K95" si="23">IF($F71="Inc5",$D71,"")</f>
        <v/>
      </c>
      <c r="L71" s="9" t="str">
        <f t="shared" ref="L71:L95" si="24">IF($F71="ExpA",$D71,"")</f>
        <v/>
      </c>
      <c r="M71" s="1" t="str">
        <f t="shared" ref="M71:M95" si="25">IF($F71="ExpB",$D71,"")</f>
        <v/>
      </c>
      <c r="N71" s="1" t="str">
        <f t="shared" ref="N71:N95" si="26">IF($F71="ExpC",$D71,"")</f>
        <v/>
      </c>
      <c r="O71" s="1" t="str">
        <f t="shared" ref="O71:O95" si="27">IF($F71="ExpD",$D71,"")</f>
        <v/>
      </c>
      <c r="P71" s="1" t="str">
        <f t="shared" ref="P71:P95" si="28">IF($F71="ExpE",$D71,"")</f>
        <v/>
      </c>
      <c r="Q71" s="1" t="str">
        <f t="shared" ref="Q71:Q95" si="29">IF($F71="ExpF",$D71,"")</f>
        <v/>
      </c>
      <c r="R71" s="1" t="str">
        <f t="shared" ref="R71:R95" si="30">IF($F71="ExpG",$D71,"")</f>
        <v/>
      </c>
      <c r="S71" s="1" t="str">
        <f t="shared" ref="S71:S95" si="31">IF($F71="ExpH",$D71,"")</f>
        <v/>
      </c>
      <c r="T71" s="1" t="str">
        <f t="shared" ref="T71:T95" si="32">IF($F71="ExpI",$D71,"")</f>
        <v/>
      </c>
      <c r="U71" s="1" t="str">
        <f t="shared" ref="U71:U95" si="33">IF($F71="ExpJ",$D71,"")</f>
        <v/>
      </c>
      <c r="V71" s="1" t="str">
        <f t="shared" ref="V71:V95" si="34">IF($F71="ExpK",$D71,"")</f>
        <v/>
      </c>
      <c r="W71" s="26" t="str">
        <f t="shared" ref="W71:W95" si="35">IF($F71="ExpL",$D71,"")</f>
        <v/>
      </c>
      <c r="X71" s="13" t="str">
        <f t="shared" ref="X71:X95" si="36">IF($F71="Expm",$D71,"")</f>
        <v/>
      </c>
      <c r="Y71" s="9">
        <f t="shared" si="18"/>
        <v>0</v>
      </c>
    </row>
    <row r="72" spans="1:25" x14ac:dyDescent="0.25">
      <c r="A72" s="28"/>
      <c r="B72" s="29"/>
      <c r="C72" s="30"/>
      <c r="D72" s="31"/>
      <c r="E72" s="29" t="s">
        <v>16</v>
      </c>
      <c r="F72" s="13" t="b">
        <f>IF($E72=Categories!$A$1,"",IF($E72=Categories!$A$2,Categories!$B$2,IF($E72=Categories!$A$3,Categories!$B$3,IF($E72=Categories!$A$4,Categories!$B$4,IF($E72=Categories!$A$5,Categories!$B$5,IF($E72=Categories!$A$6,Categories!$B$6,IF($E72=Categories!$A$7,Categories!$B$7,IF($E72=Categories!$A$8,Categories!$B$8,IF($E72=Categories!$A$9,Categories!$B$9,IF($E72=Categories!$A$10,Categories!$B$10,IF($E72=Categories!$A$11,Categories!$B$11,IF($E72=Categories!$A$12,Categories!$B$12,IF($E72=Categories!$A$13,Categories!$B$13,IF($E72=Categories!$A$14,Categories!$B$14,IF($E72=Categories!$A$15,Categories!$B$15,IF($E72=Categories!$A$16,Categories!$B$16,IF($E72=Categories!$A$17,Categories!$B$17,IF($E72=Categories!$A$18,Categories!$B$18,IF($E72=Categories!$A$19,Categories!$B$19)))))))))))))))))))</f>
        <v>0</v>
      </c>
      <c r="G72" s="9" t="str">
        <f t="shared" si="19"/>
        <v/>
      </c>
      <c r="H72" s="1" t="str">
        <f t="shared" si="20"/>
        <v/>
      </c>
      <c r="I72" s="1" t="str">
        <f t="shared" si="21"/>
        <v/>
      </c>
      <c r="J72" s="1" t="str">
        <f t="shared" si="22"/>
        <v/>
      </c>
      <c r="K72" s="13" t="str">
        <f t="shared" si="23"/>
        <v/>
      </c>
      <c r="L72" s="9" t="str">
        <f t="shared" si="24"/>
        <v/>
      </c>
      <c r="M72" s="1" t="str">
        <f t="shared" si="25"/>
        <v/>
      </c>
      <c r="N72" s="1" t="str">
        <f t="shared" si="26"/>
        <v/>
      </c>
      <c r="O72" s="1" t="str">
        <f t="shared" si="27"/>
        <v/>
      </c>
      <c r="P72" s="1" t="str">
        <f t="shared" si="28"/>
        <v/>
      </c>
      <c r="Q72" s="1" t="str">
        <f t="shared" si="29"/>
        <v/>
      </c>
      <c r="R72" s="1" t="str">
        <f t="shared" si="30"/>
        <v/>
      </c>
      <c r="S72" s="1" t="str">
        <f t="shared" si="31"/>
        <v/>
      </c>
      <c r="T72" s="1" t="str">
        <f t="shared" si="32"/>
        <v/>
      </c>
      <c r="U72" s="1" t="str">
        <f t="shared" si="33"/>
        <v/>
      </c>
      <c r="V72" s="1" t="str">
        <f t="shared" si="34"/>
        <v/>
      </c>
      <c r="W72" s="26" t="str">
        <f t="shared" si="35"/>
        <v/>
      </c>
      <c r="X72" s="13" t="str">
        <f t="shared" si="36"/>
        <v/>
      </c>
      <c r="Y72" s="9">
        <f t="shared" ref="Y72:Y95" si="37">Y71+SUM(G72:K72)-SUM(L72:X72)</f>
        <v>0</v>
      </c>
    </row>
    <row r="73" spans="1:25" x14ac:dyDescent="0.25">
      <c r="A73" s="28"/>
      <c r="B73" s="29"/>
      <c r="C73" s="30"/>
      <c r="D73" s="31"/>
      <c r="E73" s="29" t="s">
        <v>16</v>
      </c>
      <c r="F73" s="13" t="b">
        <f>IF($E73=Categories!$A$1,"",IF($E73=Categories!$A$2,Categories!$B$2,IF($E73=Categories!$A$3,Categories!$B$3,IF($E73=Categories!$A$4,Categories!$B$4,IF($E73=Categories!$A$5,Categories!$B$5,IF($E73=Categories!$A$6,Categories!$B$6,IF($E73=Categories!$A$7,Categories!$B$7,IF($E73=Categories!$A$8,Categories!$B$8,IF($E73=Categories!$A$9,Categories!$B$9,IF($E73=Categories!$A$10,Categories!$B$10,IF($E73=Categories!$A$11,Categories!$B$11,IF($E73=Categories!$A$12,Categories!$B$12,IF($E73=Categories!$A$13,Categories!$B$13,IF($E73=Categories!$A$14,Categories!$B$14,IF($E73=Categories!$A$15,Categories!$B$15,IF($E73=Categories!$A$16,Categories!$B$16,IF($E73=Categories!$A$17,Categories!$B$17,IF($E73=Categories!$A$18,Categories!$B$18,IF($E73=Categories!$A$19,Categories!$B$19)))))))))))))))))))</f>
        <v>0</v>
      </c>
      <c r="G73" s="9" t="str">
        <f t="shared" si="19"/>
        <v/>
      </c>
      <c r="H73" s="1" t="str">
        <f t="shared" si="20"/>
        <v/>
      </c>
      <c r="I73" s="1" t="str">
        <f t="shared" si="21"/>
        <v/>
      </c>
      <c r="J73" s="1" t="str">
        <f t="shared" si="22"/>
        <v/>
      </c>
      <c r="K73" s="13" t="str">
        <f t="shared" si="23"/>
        <v/>
      </c>
      <c r="L73" s="9" t="str">
        <f t="shared" si="24"/>
        <v/>
      </c>
      <c r="M73" s="1" t="str">
        <f t="shared" si="25"/>
        <v/>
      </c>
      <c r="N73" s="1" t="str">
        <f t="shared" si="26"/>
        <v/>
      </c>
      <c r="O73" s="1" t="str">
        <f t="shared" si="27"/>
        <v/>
      </c>
      <c r="P73" s="1" t="str">
        <f t="shared" si="28"/>
        <v/>
      </c>
      <c r="Q73" s="1" t="str">
        <f t="shared" si="29"/>
        <v/>
      </c>
      <c r="R73" s="1" t="str">
        <f t="shared" si="30"/>
        <v/>
      </c>
      <c r="S73" s="1" t="str">
        <f t="shared" si="31"/>
        <v/>
      </c>
      <c r="T73" s="1" t="str">
        <f t="shared" si="32"/>
        <v/>
      </c>
      <c r="U73" s="1" t="str">
        <f t="shared" si="33"/>
        <v/>
      </c>
      <c r="V73" s="1" t="str">
        <f t="shared" si="34"/>
        <v/>
      </c>
      <c r="W73" s="26" t="str">
        <f t="shared" si="35"/>
        <v/>
      </c>
      <c r="X73" s="13" t="str">
        <f t="shared" si="36"/>
        <v/>
      </c>
      <c r="Y73" s="9">
        <f t="shared" si="37"/>
        <v>0</v>
      </c>
    </row>
    <row r="74" spans="1:25" x14ac:dyDescent="0.25">
      <c r="A74" s="28"/>
      <c r="B74" s="29"/>
      <c r="C74" s="30"/>
      <c r="D74" s="31"/>
      <c r="E74" s="29" t="s">
        <v>16</v>
      </c>
      <c r="F74" s="13" t="b">
        <f>IF($E74=Categories!$A$1,"",IF($E74=Categories!$A$2,Categories!$B$2,IF($E74=Categories!$A$3,Categories!$B$3,IF($E74=Categories!$A$4,Categories!$B$4,IF($E74=Categories!$A$5,Categories!$B$5,IF($E74=Categories!$A$6,Categories!$B$6,IF($E74=Categories!$A$7,Categories!$B$7,IF($E74=Categories!$A$8,Categories!$B$8,IF($E74=Categories!$A$9,Categories!$B$9,IF($E74=Categories!$A$10,Categories!$B$10,IF($E74=Categories!$A$11,Categories!$B$11,IF($E74=Categories!$A$12,Categories!$B$12,IF($E74=Categories!$A$13,Categories!$B$13,IF($E74=Categories!$A$14,Categories!$B$14,IF($E74=Categories!$A$15,Categories!$B$15,IF($E74=Categories!$A$16,Categories!$B$16,IF($E74=Categories!$A$17,Categories!$B$17,IF($E74=Categories!$A$18,Categories!$B$18,IF($E74=Categories!$A$19,Categories!$B$19)))))))))))))))))))</f>
        <v>0</v>
      </c>
      <c r="G74" s="9" t="str">
        <f t="shared" si="19"/>
        <v/>
      </c>
      <c r="H74" s="1" t="str">
        <f t="shared" si="20"/>
        <v/>
      </c>
      <c r="I74" s="1" t="str">
        <f t="shared" si="21"/>
        <v/>
      </c>
      <c r="J74" s="1" t="str">
        <f t="shared" si="22"/>
        <v/>
      </c>
      <c r="K74" s="13" t="str">
        <f t="shared" si="23"/>
        <v/>
      </c>
      <c r="L74" s="9" t="str">
        <f t="shared" si="24"/>
        <v/>
      </c>
      <c r="M74" s="1" t="str">
        <f t="shared" si="25"/>
        <v/>
      </c>
      <c r="N74" s="1" t="str">
        <f t="shared" si="26"/>
        <v/>
      </c>
      <c r="O74" s="1" t="str">
        <f t="shared" si="27"/>
        <v/>
      </c>
      <c r="P74" s="1" t="str">
        <f t="shared" si="28"/>
        <v/>
      </c>
      <c r="Q74" s="1" t="str">
        <f t="shared" si="29"/>
        <v/>
      </c>
      <c r="R74" s="1" t="str">
        <f t="shared" si="30"/>
        <v/>
      </c>
      <c r="S74" s="1" t="str">
        <f t="shared" si="31"/>
        <v/>
      </c>
      <c r="T74" s="1" t="str">
        <f t="shared" si="32"/>
        <v/>
      </c>
      <c r="U74" s="1" t="str">
        <f t="shared" si="33"/>
        <v/>
      </c>
      <c r="V74" s="1" t="str">
        <f t="shared" si="34"/>
        <v/>
      </c>
      <c r="W74" s="26" t="str">
        <f t="shared" si="35"/>
        <v/>
      </c>
      <c r="X74" s="13" t="str">
        <f t="shared" si="36"/>
        <v/>
      </c>
      <c r="Y74" s="9">
        <f t="shared" si="37"/>
        <v>0</v>
      </c>
    </row>
    <row r="75" spans="1:25" x14ac:dyDescent="0.25">
      <c r="A75" s="28"/>
      <c r="B75" s="29"/>
      <c r="C75" s="30"/>
      <c r="D75" s="31"/>
      <c r="E75" s="29" t="s">
        <v>16</v>
      </c>
      <c r="F75" s="13" t="b">
        <f>IF($E75=Categories!$A$1,"",IF($E75=Categories!$A$2,Categories!$B$2,IF($E75=Categories!$A$3,Categories!$B$3,IF($E75=Categories!$A$4,Categories!$B$4,IF($E75=Categories!$A$5,Categories!$B$5,IF($E75=Categories!$A$6,Categories!$B$6,IF($E75=Categories!$A$7,Categories!$B$7,IF($E75=Categories!$A$8,Categories!$B$8,IF($E75=Categories!$A$9,Categories!$B$9,IF($E75=Categories!$A$10,Categories!$B$10,IF($E75=Categories!$A$11,Categories!$B$11,IF($E75=Categories!$A$12,Categories!$B$12,IF($E75=Categories!$A$13,Categories!$B$13,IF($E75=Categories!$A$14,Categories!$B$14,IF($E75=Categories!$A$15,Categories!$B$15,IF($E75=Categories!$A$16,Categories!$B$16,IF($E75=Categories!$A$17,Categories!$B$17,IF($E75=Categories!$A$18,Categories!$B$18,IF($E75=Categories!$A$19,Categories!$B$19)))))))))))))))))))</f>
        <v>0</v>
      </c>
      <c r="G75" s="9" t="str">
        <f t="shared" si="19"/>
        <v/>
      </c>
      <c r="H75" s="1" t="str">
        <f t="shared" si="20"/>
        <v/>
      </c>
      <c r="I75" s="1" t="str">
        <f t="shared" si="21"/>
        <v/>
      </c>
      <c r="J75" s="1" t="str">
        <f t="shared" si="22"/>
        <v/>
      </c>
      <c r="K75" s="13" t="str">
        <f t="shared" si="23"/>
        <v/>
      </c>
      <c r="L75" s="9" t="str">
        <f t="shared" si="24"/>
        <v/>
      </c>
      <c r="M75" s="1" t="str">
        <f t="shared" si="25"/>
        <v/>
      </c>
      <c r="N75" s="1" t="str">
        <f t="shared" si="26"/>
        <v/>
      </c>
      <c r="O75" s="1" t="str">
        <f t="shared" si="27"/>
        <v/>
      </c>
      <c r="P75" s="1" t="str">
        <f t="shared" si="28"/>
        <v/>
      </c>
      <c r="Q75" s="1" t="str">
        <f t="shared" si="29"/>
        <v/>
      </c>
      <c r="R75" s="1" t="str">
        <f t="shared" si="30"/>
        <v/>
      </c>
      <c r="S75" s="1" t="str">
        <f t="shared" si="31"/>
        <v/>
      </c>
      <c r="T75" s="1" t="str">
        <f t="shared" si="32"/>
        <v/>
      </c>
      <c r="U75" s="1" t="str">
        <f t="shared" si="33"/>
        <v/>
      </c>
      <c r="V75" s="1" t="str">
        <f t="shared" si="34"/>
        <v/>
      </c>
      <c r="W75" s="26" t="str">
        <f t="shared" si="35"/>
        <v/>
      </c>
      <c r="X75" s="13" t="str">
        <f t="shared" si="36"/>
        <v/>
      </c>
      <c r="Y75" s="9">
        <f t="shared" si="37"/>
        <v>0</v>
      </c>
    </row>
    <row r="76" spans="1:25" x14ac:dyDescent="0.25">
      <c r="A76" s="28"/>
      <c r="B76" s="29"/>
      <c r="C76" s="30"/>
      <c r="D76" s="31"/>
      <c r="E76" s="29" t="s">
        <v>16</v>
      </c>
      <c r="F76" s="13" t="b">
        <f>IF($E76=Categories!$A$1,"",IF($E76=Categories!$A$2,Categories!$B$2,IF($E76=Categories!$A$3,Categories!$B$3,IF($E76=Categories!$A$4,Categories!$B$4,IF($E76=Categories!$A$5,Categories!$B$5,IF($E76=Categories!$A$6,Categories!$B$6,IF($E76=Categories!$A$7,Categories!$B$7,IF($E76=Categories!$A$8,Categories!$B$8,IF($E76=Categories!$A$9,Categories!$B$9,IF($E76=Categories!$A$10,Categories!$B$10,IF($E76=Categories!$A$11,Categories!$B$11,IF($E76=Categories!$A$12,Categories!$B$12,IF($E76=Categories!$A$13,Categories!$B$13,IF($E76=Categories!$A$14,Categories!$B$14,IF($E76=Categories!$A$15,Categories!$B$15,IF($E76=Categories!$A$16,Categories!$B$16,IF($E76=Categories!$A$17,Categories!$B$17,IF($E76=Categories!$A$18,Categories!$B$18,IF($E76=Categories!$A$19,Categories!$B$19)))))))))))))))))))</f>
        <v>0</v>
      </c>
      <c r="G76" s="9" t="str">
        <f t="shared" si="19"/>
        <v/>
      </c>
      <c r="H76" s="1" t="str">
        <f t="shared" si="20"/>
        <v/>
      </c>
      <c r="I76" s="1" t="str">
        <f t="shared" si="21"/>
        <v/>
      </c>
      <c r="J76" s="1" t="str">
        <f t="shared" si="22"/>
        <v/>
      </c>
      <c r="K76" s="13" t="str">
        <f t="shared" si="23"/>
        <v/>
      </c>
      <c r="L76" s="9" t="str">
        <f t="shared" si="24"/>
        <v/>
      </c>
      <c r="M76" s="1" t="str">
        <f t="shared" si="25"/>
        <v/>
      </c>
      <c r="N76" s="1" t="str">
        <f t="shared" si="26"/>
        <v/>
      </c>
      <c r="O76" s="1" t="str">
        <f t="shared" si="27"/>
        <v/>
      </c>
      <c r="P76" s="1" t="str">
        <f t="shared" si="28"/>
        <v/>
      </c>
      <c r="Q76" s="1" t="str">
        <f t="shared" si="29"/>
        <v/>
      </c>
      <c r="R76" s="1" t="str">
        <f t="shared" si="30"/>
        <v/>
      </c>
      <c r="S76" s="1" t="str">
        <f t="shared" si="31"/>
        <v/>
      </c>
      <c r="T76" s="1" t="str">
        <f t="shared" si="32"/>
        <v/>
      </c>
      <c r="U76" s="1" t="str">
        <f t="shared" si="33"/>
        <v/>
      </c>
      <c r="V76" s="1" t="str">
        <f t="shared" si="34"/>
        <v/>
      </c>
      <c r="W76" s="26" t="str">
        <f t="shared" si="35"/>
        <v/>
      </c>
      <c r="X76" s="13" t="str">
        <f t="shared" si="36"/>
        <v/>
      </c>
      <c r="Y76" s="9">
        <f t="shared" si="37"/>
        <v>0</v>
      </c>
    </row>
    <row r="77" spans="1:25" x14ac:dyDescent="0.25">
      <c r="A77" s="28"/>
      <c r="B77" s="29"/>
      <c r="C77" s="30"/>
      <c r="D77" s="31"/>
      <c r="E77" s="29" t="s">
        <v>16</v>
      </c>
      <c r="F77" s="13" t="b">
        <f>IF($E77=Categories!$A$1,"",IF($E77=Categories!$A$2,Categories!$B$2,IF($E77=Categories!$A$3,Categories!$B$3,IF($E77=Categories!$A$4,Categories!$B$4,IF($E77=Categories!$A$5,Categories!$B$5,IF($E77=Categories!$A$6,Categories!$B$6,IF($E77=Categories!$A$7,Categories!$B$7,IF($E77=Categories!$A$8,Categories!$B$8,IF($E77=Categories!$A$9,Categories!$B$9,IF($E77=Categories!$A$10,Categories!$B$10,IF($E77=Categories!$A$11,Categories!$B$11,IF($E77=Categories!$A$12,Categories!$B$12,IF($E77=Categories!$A$13,Categories!$B$13,IF($E77=Categories!$A$14,Categories!$B$14,IF($E77=Categories!$A$15,Categories!$B$15,IF($E77=Categories!$A$16,Categories!$B$16,IF($E77=Categories!$A$17,Categories!$B$17,IF($E77=Categories!$A$18,Categories!$B$18,IF($E77=Categories!$A$19,Categories!$B$19)))))))))))))))))))</f>
        <v>0</v>
      </c>
      <c r="G77" s="9" t="str">
        <f t="shared" si="19"/>
        <v/>
      </c>
      <c r="H77" s="1" t="str">
        <f t="shared" si="20"/>
        <v/>
      </c>
      <c r="I77" s="1" t="str">
        <f t="shared" si="21"/>
        <v/>
      </c>
      <c r="J77" s="1" t="str">
        <f t="shared" si="22"/>
        <v/>
      </c>
      <c r="K77" s="13" t="str">
        <f t="shared" si="23"/>
        <v/>
      </c>
      <c r="L77" s="9" t="str">
        <f t="shared" si="24"/>
        <v/>
      </c>
      <c r="M77" s="1" t="str">
        <f t="shared" si="25"/>
        <v/>
      </c>
      <c r="N77" s="1" t="str">
        <f t="shared" si="26"/>
        <v/>
      </c>
      <c r="O77" s="1" t="str">
        <f t="shared" si="27"/>
        <v/>
      </c>
      <c r="P77" s="1" t="str">
        <f t="shared" si="28"/>
        <v/>
      </c>
      <c r="Q77" s="1" t="str">
        <f t="shared" si="29"/>
        <v/>
      </c>
      <c r="R77" s="1" t="str">
        <f t="shared" si="30"/>
        <v/>
      </c>
      <c r="S77" s="1" t="str">
        <f t="shared" si="31"/>
        <v/>
      </c>
      <c r="T77" s="1" t="str">
        <f t="shared" si="32"/>
        <v/>
      </c>
      <c r="U77" s="1" t="str">
        <f t="shared" si="33"/>
        <v/>
      </c>
      <c r="V77" s="1" t="str">
        <f t="shared" si="34"/>
        <v/>
      </c>
      <c r="W77" s="26" t="str">
        <f t="shared" si="35"/>
        <v/>
      </c>
      <c r="X77" s="13" t="str">
        <f t="shared" si="36"/>
        <v/>
      </c>
      <c r="Y77" s="9">
        <f t="shared" si="37"/>
        <v>0</v>
      </c>
    </row>
    <row r="78" spans="1:25" x14ac:dyDescent="0.25">
      <c r="A78" s="28"/>
      <c r="B78" s="29"/>
      <c r="C78" s="30"/>
      <c r="D78" s="31"/>
      <c r="E78" s="29" t="s">
        <v>16</v>
      </c>
      <c r="F78" s="13" t="b">
        <f>IF($E78=Categories!$A$1,"",IF($E78=Categories!$A$2,Categories!$B$2,IF($E78=Categories!$A$3,Categories!$B$3,IF($E78=Categories!$A$4,Categories!$B$4,IF($E78=Categories!$A$5,Categories!$B$5,IF($E78=Categories!$A$6,Categories!$B$6,IF($E78=Categories!$A$7,Categories!$B$7,IF($E78=Categories!$A$8,Categories!$B$8,IF($E78=Categories!$A$9,Categories!$B$9,IF($E78=Categories!$A$10,Categories!$B$10,IF($E78=Categories!$A$11,Categories!$B$11,IF($E78=Categories!$A$12,Categories!$B$12,IF($E78=Categories!$A$13,Categories!$B$13,IF($E78=Categories!$A$14,Categories!$B$14,IF($E78=Categories!$A$15,Categories!$B$15,IF($E78=Categories!$A$16,Categories!$B$16,IF($E78=Categories!$A$17,Categories!$B$17,IF($E78=Categories!$A$18,Categories!$B$18,IF($E78=Categories!$A$19,Categories!$B$19)))))))))))))))))))</f>
        <v>0</v>
      </c>
      <c r="G78" s="9" t="str">
        <f t="shared" si="19"/>
        <v/>
      </c>
      <c r="H78" s="1" t="str">
        <f t="shared" si="20"/>
        <v/>
      </c>
      <c r="I78" s="1" t="str">
        <f t="shared" si="21"/>
        <v/>
      </c>
      <c r="J78" s="1" t="str">
        <f t="shared" si="22"/>
        <v/>
      </c>
      <c r="K78" s="13" t="str">
        <f t="shared" si="23"/>
        <v/>
      </c>
      <c r="L78" s="9" t="str">
        <f t="shared" si="24"/>
        <v/>
      </c>
      <c r="M78" s="1" t="str">
        <f t="shared" si="25"/>
        <v/>
      </c>
      <c r="N78" s="1" t="str">
        <f t="shared" si="26"/>
        <v/>
      </c>
      <c r="O78" s="1" t="str">
        <f t="shared" si="27"/>
        <v/>
      </c>
      <c r="P78" s="1" t="str">
        <f t="shared" si="28"/>
        <v/>
      </c>
      <c r="Q78" s="1" t="str">
        <f t="shared" si="29"/>
        <v/>
      </c>
      <c r="R78" s="1" t="str">
        <f t="shared" si="30"/>
        <v/>
      </c>
      <c r="S78" s="1" t="str">
        <f t="shared" si="31"/>
        <v/>
      </c>
      <c r="T78" s="1" t="str">
        <f t="shared" si="32"/>
        <v/>
      </c>
      <c r="U78" s="1" t="str">
        <f t="shared" si="33"/>
        <v/>
      </c>
      <c r="V78" s="1" t="str">
        <f t="shared" si="34"/>
        <v/>
      </c>
      <c r="W78" s="26" t="str">
        <f t="shared" si="35"/>
        <v/>
      </c>
      <c r="X78" s="13" t="str">
        <f t="shared" si="36"/>
        <v/>
      </c>
      <c r="Y78" s="9">
        <f t="shared" si="37"/>
        <v>0</v>
      </c>
    </row>
    <row r="79" spans="1:25" x14ac:dyDescent="0.25">
      <c r="A79" s="28"/>
      <c r="B79" s="29"/>
      <c r="C79" s="30"/>
      <c r="D79" s="31"/>
      <c r="E79" s="29" t="s">
        <v>16</v>
      </c>
      <c r="F79" s="13" t="b">
        <f>IF($E79=Categories!$A$1,"",IF($E79=Categories!$A$2,Categories!$B$2,IF($E79=Categories!$A$3,Categories!$B$3,IF($E79=Categories!$A$4,Categories!$B$4,IF($E79=Categories!$A$5,Categories!$B$5,IF($E79=Categories!$A$6,Categories!$B$6,IF($E79=Categories!$A$7,Categories!$B$7,IF($E79=Categories!$A$8,Categories!$B$8,IF($E79=Categories!$A$9,Categories!$B$9,IF($E79=Categories!$A$10,Categories!$B$10,IF($E79=Categories!$A$11,Categories!$B$11,IF($E79=Categories!$A$12,Categories!$B$12,IF($E79=Categories!$A$13,Categories!$B$13,IF($E79=Categories!$A$14,Categories!$B$14,IF($E79=Categories!$A$15,Categories!$B$15,IF($E79=Categories!$A$16,Categories!$B$16,IF($E79=Categories!$A$17,Categories!$B$17,IF($E79=Categories!$A$18,Categories!$B$18,IF($E79=Categories!$A$19,Categories!$B$19)))))))))))))))))))</f>
        <v>0</v>
      </c>
      <c r="G79" s="9" t="str">
        <f t="shared" si="19"/>
        <v/>
      </c>
      <c r="H79" s="1" t="str">
        <f t="shared" si="20"/>
        <v/>
      </c>
      <c r="I79" s="1" t="str">
        <f t="shared" si="21"/>
        <v/>
      </c>
      <c r="J79" s="1" t="str">
        <f t="shared" si="22"/>
        <v/>
      </c>
      <c r="K79" s="13" t="str">
        <f t="shared" si="23"/>
        <v/>
      </c>
      <c r="L79" s="9" t="str">
        <f t="shared" si="24"/>
        <v/>
      </c>
      <c r="M79" s="1" t="str">
        <f t="shared" si="25"/>
        <v/>
      </c>
      <c r="N79" s="1" t="str">
        <f t="shared" si="26"/>
        <v/>
      </c>
      <c r="O79" s="1" t="str">
        <f t="shared" si="27"/>
        <v/>
      </c>
      <c r="P79" s="1" t="str">
        <f t="shared" si="28"/>
        <v/>
      </c>
      <c r="Q79" s="1" t="str">
        <f t="shared" si="29"/>
        <v/>
      </c>
      <c r="R79" s="1" t="str">
        <f t="shared" si="30"/>
        <v/>
      </c>
      <c r="S79" s="1" t="str">
        <f t="shared" si="31"/>
        <v/>
      </c>
      <c r="T79" s="1" t="str">
        <f t="shared" si="32"/>
        <v/>
      </c>
      <c r="U79" s="1" t="str">
        <f t="shared" si="33"/>
        <v/>
      </c>
      <c r="V79" s="1" t="str">
        <f t="shared" si="34"/>
        <v/>
      </c>
      <c r="W79" s="26" t="str">
        <f t="shared" si="35"/>
        <v/>
      </c>
      <c r="X79" s="13" t="str">
        <f t="shared" si="36"/>
        <v/>
      </c>
      <c r="Y79" s="9">
        <f t="shared" si="37"/>
        <v>0</v>
      </c>
    </row>
    <row r="80" spans="1:25" x14ac:dyDescent="0.25">
      <c r="A80" s="28"/>
      <c r="B80" s="29"/>
      <c r="C80" s="30"/>
      <c r="D80" s="31"/>
      <c r="E80" s="29" t="s">
        <v>16</v>
      </c>
      <c r="F80" s="13" t="b">
        <f>IF($E80=Categories!$A$1,"",IF($E80=Categories!$A$2,Categories!$B$2,IF($E80=Categories!$A$3,Categories!$B$3,IF($E80=Categories!$A$4,Categories!$B$4,IF($E80=Categories!$A$5,Categories!$B$5,IF($E80=Categories!$A$6,Categories!$B$6,IF($E80=Categories!$A$7,Categories!$B$7,IF($E80=Categories!$A$8,Categories!$B$8,IF($E80=Categories!$A$9,Categories!$B$9,IF($E80=Categories!$A$10,Categories!$B$10,IF($E80=Categories!$A$11,Categories!$B$11,IF($E80=Categories!$A$12,Categories!$B$12,IF($E80=Categories!$A$13,Categories!$B$13,IF($E80=Categories!$A$14,Categories!$B$14,IF($E80=Categories!$A$15,Categories!$B$15,IF($E80=Categories!$A$16,Categories!$B$16,IF($E80=Categories!$A$17,Categories!$B$17,IF($E80=Categories!$A$18,Categories!$B$18,IF($E80=Categories!$A$19,Categories!$B$19)))))))))))))))))))</f>
        <v>0</v>
      </c>
      <c r="G80" s="9" t="str">
        <f t="shared" si="19"/>
        <v/>
      </c>
      <c r="H80" s="1" t="str">
        <f t="shared" si="20"/>
        <v/>
      </c>
      <c r="I80" s="1" t="str">
        <f t="shared" si="21"/>
        <v/>
      </c>
      <c r="J80" s="1" t="str">
        <f t="shared" si="22"/>
        <v/>
      </c>
      <c r="K80" s="13" t="str">
        <f t="shared" si="23"/>
        <v/>
      </c>
      <c r="L80" s="9" t="str">
        <f t="shared" si="24"/>
        <v/>
      </c>
      <c r="M80" s="1" t="str">
        <f t="shared" si="25"/>
        <v/>
      </c>
      <c r="N80" s="1" t="str">
        <f t="shared" si="26"/>
        <v/>
      </c>
      <c r="O80" s="1" t="str">
        <f t="shared" si="27"/>
        <v/>
      </c>
      <c r="P80" s="1" t="str">
        <f t="shared" si="28"/>
        <v/>
      </c>
      <c r="Q80" s="1" t="str">
        <f t="shared" si="29"/>
        <v/>
      </c>
      <c r="R80" s="1" t="str">
        <f t="shared" si="30"/>
        <v/>
      </c>
      <c r="S80" s="1" t="str">
        <f t="shared" si="31"/>
        <v/>
      </c>
      <c r="T80" s="1" t="str">
        <f t="shared" si="32"/>
        <v/>
      </c>
      <c r="U80" s="1" t="str">
        <f t="shared" si="33"/>
        <v/>
      </c>
      <c r="V80" s="1" t="str">
        <f t="shared" si="34"/>
        <v/>
      </c>
      <c r="W80" s="26" t="str">
        <f t="shared" si="35"/>
        <v/>
      </c>
      <c r="X80" s="13" t="str">
        <f t="shared" si="36"/>
        <v/>
      </c>
      <c r="Y80" s="9">
        <f t="shared" si="37"/>
        <v>0</v>
      </c>
    </row>
    <row r="81" spans="1:25" x14ac:dyDescent="0.25">
      <c r="A81" s="28"/>
      <c r="B81" s="29"/>
      <c r="C81" s="30"/>
      <c r="D81" s="31"/>
      <c r="E81" s="29" t="s">
        <v>16</v>
      </c>
      <c r="F81" s="13" t="b">
        <f>IF($E81=Categories!$A$1,"",IF($E81=Categories!$A$2,Categories!$B$2,IF($E81=Categories!$A$3,Categories!$B$3,IF($E81=Categories!$A$4,Categories!$B$4,IF($E81=Categories!$A$5,Categories!$B$5,IF($E81=Categories!$A$6,Categories!$B$6,IF($E81=Categories!$A$7,Categories!$B$7,IF($E81=Categories!$A$8,Categories!$B$8,IF($E81=Categories!$A$9,Categories!$B$9,IF($E81=Categories!$A$10,Categories!$B$10,IF($E81=Categories!$A$11,Categories!$B$11,IF($E81=Categories!$A$12,Categories!$B$12,IF($E81=Categories!$A$13,Categories!$B$13,IF($E81=Categories!$A$14,Categories!$B$14,IF($E81=Categories!$A$15,Categories!$B$15,IF($E81=Categories!$A$16,Categories!$B$16,IF($E81=Categories!$A$17,Categories!$B$17,IF($E81=Categories!$A$18,Categories!$B$18,IF($E81=Categories!$A$19,Categories!$B$19)))))))))))))))))))</f>
        <v>0</v>
      </c>
      <c r="G81" s="9" t="str">
        <f t="shared" si="19"/>
        <v/>
      </c>
      <c r="H81" s="1" t="str">
        <f t="shared" si="20"/>
        <v/>
      </c>
      <c r="I81" s="1" t="str">
        <f t="shared" si="21"/>
        <v/>
      </c>
      <c r="J81" s="1" t="str">
        <f t="shared" si="22"/>
        <v/>
      </c>
      <c r="K81" s="13" t="str">
        <f t="shared" si="23"/>
        <v/>
      </c>
      <c r="L81" s="9" t="str">
        <f t="shared" si="24"/>
        <v/>
      </c>
      <c r="M81" s="1" t="str">
        <f t="shared" si="25"/>
        <v/>
      </c>
      <c r="N81" s="1" t="str">
        <f t="shared" si="26"/>
        <v/>
      </c>
      <c r="O81" s="1" t="str">
        <f t="shared" si="27"/>
        <v/>
      </c>
      <c r="P81" s="1" t="str">
        <f t="shared" si="28"/>
        <v/>
      </c>
      <c r="Q81" s="1" t="str">
        <f t="shared" si="29"/>
        <v/>
      </c>
      <c r="R81" s="1" t="str">
        <f t="shared" si="30"/>
        <v/>
      </c>
      <c r="S81" s="1" t="str">
        <f t="shared" si="31"/>
        <v/>
      </c>
      <c r="T81" s="1" t="str">
        <f t="shared" si="32"/>
        <v/>
      </c>
      <c r="U81" s="1" t="str">
        <f t="shared" si="33"/>
        <v/>
      </c>
      <c r="V81" s="1" t="str">
        <f t="shared" si="34"/>
        <v/>
      </c>
      <c r="W81" s="26" t="str">
        <f t="shared" si="35"/>
        <v/>
      </c>
      <c r="X81" s="13" t="str">
        <f t="shared" si="36"/>
        <v/>
      </c>
      <c r="Y81" s="9">
        <f t="shared" si="37"/>
        <v>0</v>
      </c>
    </row>
    <row r="82" spans="1:25" x14ac:dyDescent="0.25">
      <c r="A82" s="28"/>
      <c r="B82" s="29"/>
      <c r="C82" s="30"/>
      <c r="D82" s="31"/>
      <c r="E82" s="29" t="s">
        <v>16</v>
      </c>
      <c r="F82" s="13" t="b">
        <f>IF($E82=Categories!$A$1,"",IF($E82=Categories!$A$2,Categories!$B$2,IF($E82=Categories!$A$3,Categories!$B$3,IF($E82=Categories!$A$4,Categories!$B$4,IF($E82=Categories!$A$5,Categories!$B$5,IF($E82=Categories!$A$6,Categories!$B$6,IF($E82=Categories!$A$7,Categories!$B$7,IF($E82=Categories!$A$8,Categories!$B$8,IF($E82=Categories!$A$9,Categories!$B$9,IF($E82=Categories!$A$10,Categories!$B$10,IF($E82=Categories!$A$11,Categories!$B$11,IF($E82=Categories!$A$12,Categories!$B$12,IF($E82=Categories!$A$13,Categories!$B$13,IF($E82=Categories!$A$14,Categories!$B$14,IF($E82=Categories!$A$15,Categories!$B$15,IF($E82=Categories!$A$16,Categories!$B$16,IF($E82=Categories!$A$17,Categories!$B$17,IF($E82=Categories!$A$18,Categories!$B$18,IF($E82=Categories!$A$19,Categories!$B$19)))))))))))))))))))</f>
        <v>0</v>
      </c>
      <c r="G82" s="9" t="str">
        <f t="shared" si="19"/>
        <v/>
      </c>
      <c r="H82" s="1" t="str">
        <f t="shared" si="20"/>
        <v/>
      </c>
      <c r="I82" s="1" t="str">
        <f t="shared" si="21"/>
        <v/>
      </c>
      <c r="J82" s="1" t="str">
        <f t="shared" si="22"/>
        <v/>
      </c>
      <c r="K82" s="13" t="str">
        <f t="shared" si="23"/>
        <v/>
      </c>
      <c r="L82" s="9" t="str">
        <f t="shared" si="24"/>
        <v/>
      </c>
      <c r="M82" s="1" t="str">
        <f t="shared" si="25"/>
        <v/>
      </c>
      <c r="N82" s="1" t="str">
        <f t="shared" si="26"/>
        <v/>
      </c>
      <c r="O82" s="1" t="str">
        <f t="shared" si="27"/>
        <v/>
      </c>
      <c r="P82" s="1" t="str">
        <f t="shared" si="28"/>
        <v/>
      </c>
      <c r="Q82" s="1" t="str">
        <f t="shared" si="29"/>
        <v/>
      </c>
      <c r="R82" s="1" t="str">
        <f t="shared" si="30"/>
        <v/>
      </c>
      <c r="S82" s="1" t="str">
        <f t="shared" si="31"/>
        <v/>
      </c>
      <c r="T82" s="1" t="str">
        <f t="shared" si="32"/>
        <v/>
      </c>
      <c r="U82" s="1" t="str">
        <f t="shared" si="33"/>
        <v/>
      </c>
      <c r="V82" s="1" t="str">
        <f t="shared" si="34"/>
        <v/>
      </c>
      <c r="W82" s="26" t="str">
        <f t="shared" si="35"/>
        <v/>
      </c>
      <c r="X82" s="13" t="str">
        <f t="shared" si="36"/>
        <v/>
      </c>
      <c r="Y82" s="9">
        <f t="shared" si="37"/>
        <v>0</v>
      </c>
    </row>
    <row r="83" spans="1:25" x14ac:dyDescent="0.25">
      <c r="A83" s="28"/>
      <c r="B83" s="29"/>
      <c r="C83" s="30"/>
      <c r="D83" s="31"/>
      <c r="E83" s="29" t="s">
        <v>16</v>
      </c>
      <c r="F83" s="13" t="b">
        <f>IF($E83=Categories!$A$1,"",IF($E83=Categories!$A$2,Categories!$B$2,IF($E83=Categories!$A$3,Categories!$B$3,IF($E83=Categories!$A$4,Categories!$B$4,IF($E83=Categories!$A$5,Categories!$B$5,IF($E83=Categories!$A$6,Categories!$B$6,IF($E83=Categories!$A$7,Categories!$B$7,IF($E83=Categories!$A$8,Categories!$B$8,IF($E83=Categories!$A$9,Categories!$B$9,IF($E83=Categories!$A$10,Categories!$B$10,IF($E83=Categories!$A$11,Categories!$B$11,IF($E83=Categories!$A$12,Categories!$B$12,IF($E83=Categories!$A$13,Categories!$B$13,IF($E83=Categories!$A$14,Categories!$B$14,IF($E83=Categories!$A$15,Categories!$B$15,IF($E83=Categories!$A$16,Categories!$B$16,IF($E83=Categories!$A$17,Categories!$B$17,IF($E83=Categories!$A$18,Categories!$B$18,IF($E83=Categories!$A$19,Categories!$B$19)))))))))))))))))))</f>
        <v>0</v>
      </c>
      <c r="G83" s="9" t="str">
        <f t="shared" si="19"/>
        <v/>
      </c>
      <c r="H83" s="1" t="str">
        <f t="shared" si="20"/>
        <v/>
      </c>
      <c r="I83" s="1" t="str">
        <f t="shared" si="21"/>
        <v/>
      </c>
      <c r="J83" s="1" t="str">
        <f t="shared" si="22"/>
        <v/>
      </c>
      <c r="K83" s="13" t="str">
        <f t="shared" si="23"/>
        <v/>
      </c>
      <c r="L83" s="9" t="str">
        <f t="shared" si="24"/>
        <v/>
      </c>
      <c r="M83" s="1" t="str">
        <f t="shared" si="25"/>
        <v/>
      </c>
      <c r="N83" s="1" t="str">
        <f t="shared" si="26"/>
        <v/>
      </c>
      <c r="O83" s="1" t="str">
        <f t="shared" si="27"/>
        <v/>
      </c>
      <c r="P83" s="1" t="str">
        <f t="shared" si="28"/>
        <v/>
      </c>
      <c r="Q83" s="1" t="str">
        <f t="shared" si="29"/>
        <v/>
      </c>
      <c r="R83" s="1" t="str">
        <f t="shared" si="30"/>
        <v/>
      </c>
      <c r="S83" s="1" t="str">
        <f t="shared" si="31"/>
        <v/>
      </c>
      <c r="T83" s="1" t="str">
        <f t="shared" si="32"/>
        <v/>
      </c>
      <c r="U83" s="1" t="str">
        <f t="shared" si="33"/>
        <v/>
      </c>
      <c r="V83" s="1" t="str">
        <f t="shared" si="34"/>
        <v/>
      </c>
      <c r="W83" s="26" t="str">
        <f t="shared" si="35"/>
        <v/>
      </c>
      <c r="X83" s="13" t="str">
        <f t="shared" si="36"/>
        <v/>
      </c>
      <c r="Y83" s="9">
        <f t="shared" si="37"/>
        <v>0</v>
      </c>
    </row>
    <row r="84" spans="1:25" x14ac:dyDescent="0.25">
      <c r="A84" s="28"/>
      <c r="B84" s="29"/>
      <c r="C84" s="30"/>
      <c r="D84" s="31"/>
      <c r="E84" s="29" t="s">
        <v>16</v>
      </c>
      <c r="F84" s="13" t="b">
        <f>IF($E84=Categories!$A$1,"",IF($E84=Categories!$A$2,Categories!$B$2,IF($E84=Categories!$A$3,Categories!$B$3,IF($E84=Categories!$A$4,Categories!$B$4,IF($E84=Categories!$A$5,Categories!$B$5,IF($E84=Categories!$A$6,Categories!$B$6,IF($E84=Categories!$A$7,Categories!$B$7,IF($E84=Categories!$A$8,Categories!$B$8,IF($E84=Categories!$A$9,Categories!$B$9,IF($E84=Categories!$A$10,Categories!$B$10,IF($E84=Categories!$A$11,Categories!$B$11,IF($E84=Categories!$A$12,Categories!$B$12,IF($E84=Categories!$A$13,Categories!$B$13,IF($E84=Categories!$A$14,Categories!$B$14,IF($E84=Categories!$A$15,Categories!$B$15,IF($E84=Categories!$A$16,Categories!$B$16,IF($E84=Categories!$A$17,Categories!$B$17,IF($E84=Categories!$A$18,Categories!$B$18,IF($E84=Categories!$A$19,Categories!$B$19)))))))))))))))))))</f>
        <v>0</v>
      </c>
      <c r="G84" s="9" t="str">
        <f t="shared" si="19"/>
        <v/>
      </c>
      <c r="H84" s="1" t="str">
        <f t="shared" si="20"/>
        <v/>
      </c>
      <c r="I84" s="1" t="str">
        <f t="shared" si="21"/>
        <v/>
      </c>
      <c r="J84" s="1" t="str">
        <f t="shared" si="22"/>
        <v/>
      </c>
      <c r="K84" s="13" t="str">
        <f t="shared" si="23"/>
        <v/>
      </c>
      <c r="L84" s="9" t="str">
        <f t="shared" si="24"/>
        <v/>
      </c>
      <c r="M84" s="1" t="str">
        <f t="shared" si="25"/>
        <v/>
      </c>
      <c r="N84" s="1" t="str">
        <f t="shared" si="26"/>
        <v/>
      </c>
      <c r="O84" s="1" t="str">
        <f t="shared" si="27"/>
        <v/>
      </c>
      <c r="P84" s="1" t="str">
        <f t="shared" si="28"/>
        <v/>
      </c>
      <c r="Q84" s="1" t="str">
        <f t="shared" si="29"/>
        <v/>
      </c>
      <c r="R84" s="1" t="str">
        <f t="shared" si="30"/>
        <v/>
      </c>
      <c r="S84" s="1" t="str">
        <f t="shared" si="31"/>
        <v/>
      </c>
      <c r="T84" s="1" t="str">
        <f t="shared" si="32"/>
        <v/>
      </c>
      <c r="U84" s="1" t="str">
        <f t="shared" si="33"/>
        <v/>
      </c>
      <c r="V84" s="1" t="str">
        <f t="shared" si="34"/>
        <v/>
      </c>
      <c r="W84" s="26" t="str">
        <f t="shared" si="35"/>
        <v/>
      </c>
      <c r="X84" s="13" t="str">
        <f t="shared" si="36"/>
        <v/>
      </c>
      <c r="Y84" s="9">
        <f t="shared" si="37"/>
        <v>0</v>
      </c>
    </row>
    <row r="85" spans="1:25" x14ac:dyDescent="0.25">
      <c r="A85" s="28"/>
      <c r="B85" s="29"/>
      <c r="C85" s="30"/>
      <c r="D85" s="31"/>
      <c r="E85" s="29" t="s">
        <v>16</v>
      </c>
      <c r="F85" s="13" t="b">
        <f>IF($E85=Categories!$A$1,"",IF($E85=Categories!$A$2,Categories!$B$2,IF($E85=Categories!$A$3,Categories!$B$3,IF($E85=Categories!$A$4,Categories!$B$4,IF($E85=Categories!$A$5,Categories!$B$5,IF($E85=Categories!$A$6,Categories!$B$6,IF($E85=Categories!$A$7,Categories!$B$7,IF($E85=Categories!$A$8,Categories!$B$8,IF($E85=Categories!$A$9,Categories!$B$9,IF($E85=Categories!$A$10,Categories!$B$10,IF($E85=Categories!$A$11,Categories!$B$11,IF($E85=Categories!$A$12,Categories!$B$12,IF($E85=Categories!$A$13,Categories!$B$13,IF($E85=Categories!$A$14,Categories!$B$14,IF($E85=Categories!$A$15,Categories!$B$15,IF($E85=Categories!$A$16,Categories!$B$16,IF($E85=Categories!$A$17,Categories!$B$17,IF($E85=Categories!$A$18,Categories!$B$18,IF($E85=Categories!$A$19,Categories!$B$19)))))))))))))))))))</f>
        <v>0</v>
      </c>
      <c r="G85" s="9" t="str">
        <f t="shared" si="19"/>
        <v/>
      </c>
      <c r="H85" s="1" t="str">
        <f t="shared" si="20"/>
        <v/>
      </c>
      <c r="I85" s="1" t="str">
        <f t="shared" si="21"/>
        <v/>
      </c>
      <c r="J85" s="1" t="str">
        <f t="shared" si="22"/>
        <v/>
      </c>
      <c r="K85" s="13" t="str">
        <f t="shared" si="23"/>
        <v/>
      </c>
      <c r="L85" s="9" t="str">
        <f t="shared" si="24"/>
        <v/>
      </c>
      <c r="M85" s="1" t="str">
        <f t="shared" si="25"/>
        <v/>
      </c>
      <c r="N85" s="1" t="str">
        <f t="shared" si="26"/>
        <v/>
      </c>
      <c r="O85" s="1" t="str">
        <f t="shared" si="27"/>
        <v/>
      </c>
      <c r="P85" s="1" t="str">
        <f t="shared" si="28"/>
        <v/>
      </c>
      <c r="Q85" s="1" t="str">
        <f t="shared" si="29"/>
        <v/>
      </c>
      <c r="R85" s="1" t="str">
        <f t="shared" si="30"/>
        <v/>
      </c>
      <c r="S85" s="1" t="str">
        <f t="shared" si="31"/>
        <v/>
      </c>
      <c r="T85" s="1" t="str">
        <f t="shared" si="32"/>
        <v/>
      </c>
      <c r="U85" s="1" t="str">
        <f t="shared" si="33"/>
        <v/>
      </c>
      <c r="V85" s="1" t="str">
        <f t="shared" si="34"/>
        <v/>
      </c>
      <c r="W85" s="26" t="str">
        <f t="shared" si="35"/>
        <v/>
      </c>
      <c r="X85" s="13" t="str">
        <f t="shared" si="36"/>
        <v/>
      </c>
      <c r="Y85" s="9">
        <f t="shared" si="37"/>
        <v>0</v>
      </c>
    </row>
    <row r="86" spans="1:25" x14ac:dyDescent="0.25">
      <c r="A86" s="28"/>
      <c r="B86" s="29"/>
      <c r="C86" s="30"/>
      <c r="D86" s="31"/>
      <c r="E86" s="29" t="s">
        <v>16</v>
      </c>
      <c r="F86" s="13" t="b">
        <f>IF($E86=Categories!$A$1,"",IF($E86=Categories!$A$2,Categories!$B$2,IF($E86=Categories!$A$3,Categories!$B$3,IF($E86=Categories!$A$4,Categories!$B$4,IF($E86=Categories!$A$5,Categories!$B$5,IF($E86=Categories!$A$6,Categories!$B$6,IF($E86=Categories!$A$7,Categories!$B$7,IF($E86=Categories!$A$8,Categories!$B$8,IF($E86=Categories!$A$9,Categories!$B$9,IF($E86=Categories!$A$10,Categories!$B$10,IF($E86=Categories!$A$11,Categories!$B$11,IF($E86=Categories!$A$12,Categories!$B$12,IF($E86=Categories!$A$13,Categories!$B$13,IF($E86=Categories!$A$14,Categories!$B$14,IF($E86=Categories!$A$15,Categories!$B$15,IF($E86=Categories!$A$16,Categories!$B$16,IF($E86=Categories!$A$17,Categories!$B$17,IF($E86=Categories!$A$18,Categories!$B$18,IF($E86=Categories!$A$19,Categories!$B$19)))))))))))))))))))</f>
        <v>0</v>
      </c>
      <c r="G86" s="9" t="str">
        <f t="shared" si="19"/>
        <v/>
      </c>
      <c r="H86" s="1" t="str">
        <f t="shared" si="20"/>
        <v/>
      </c>
      <c r="I86" s="1" t="str">
        <f t="shared" si="21"/>
        <v/>
      </c>
      <c r="J86" s="1" t="str">
        <f t="shared" si="22"/>
        <v/>
      </c>
      <c r="K86" s="13" t="str">
        <f t="shared" si="23"/>
        <v/>
      </c>
      <c r="L86" s="9" t="str">
        <f t="shared" si="24"/>
        <v/>
      </c>
      <c r="M86" s="1" t="str">
        <f t="shared" si="25"/>
        <v/>
      </c>
      <c r="N86" s="1" t="str">
        <f t="shared" si="26"/>
        <v/>
      </c>
      <c r="O86" s="1" t="str">
        <f t="shared" si="27"/>
        <v/>
      </c>
      <c r="P86" s="1" t="str">
        <f t="shared" si="28"/>
        <v/>
      </c>
      <c r="Q86" s="1" t="str">
        <f t="shared" si="29"/>
        <v/>
      </c>
      <c r="R86" s="1" t="str">
        <f t="shared" si="30"/>
        <v/>
      </c>
      <c r="S86" s="1" t="str">
        <f t="shared" si="31"/>
        <v/>
      </c>
      <c r="T86" s="1" t="str">
        <f t="shared" si="32"/>
        <v/>
      </c>
      <c r="U86" s="1" t="str">
        <f t="shared" si="33"/>
        <v/>
      </c>
      <c r="V86" s="1" t="str">
        <f t="shared" si="34"/>
        <v/>
      </c>
      <c r="W86" s="26" t="str">
        <f t="shared" si="35"/>
        <v/>
      </c>
      <c r="X86" s="13" t="str">
        <f t="shared" si="36"/>
        <v/>
      </c>
      <c r="Y86" s="9">
        <f t="shared" si="37"/>
        <v>0</v>
      </c>
    </row>
    <row r="87" spans="1:25" x14ac:dyDescent="0.25">
      <c r="A87" s="28"/>
      <c r="B87" s="29"/>
      <c r="C87" s="30"/>
      <c r="D87" s="31"/>
      <c r="E87" s="29" t="s">
        <v>16</v>
      </c>
      <c r="F87" s="13" t="b">
        <f>IF($E87=Categories!$A$1,"",IF($E87=Categories!$A$2,Categories!$B$2,IF($E87=Categories!$A$3,Categories!$B$3,IF($E87=Categories!$A$4,Categories!$B$4,IF($E87=Categories!$A$5,Categories!$B$5,IF($E87=Categories!$A$6,Categories!$B$6,IF($E87=Categories!$A$7,Categories!$B$7,IF($E87=Categories!$A$8,Categories!$B$8,IF($E87=Categories!$A$9,Categories!$B$9,IF($E87=Categories!$A$10,Categories!$B$10,IF($E87=Categories!$A$11,Categories!$B$11,IF($E87=Categories!$A$12,Categories!$B$12,IF($E87=Categories!$A$13,Categories!$B$13,IF($E87=Categories!$A$14,Categories!$B$14,IF($E87=Categories!$A$15,Categories!$B$15,IF($E87=Categories!$A$16,Categories!$B$16,IF($E87=Categories!$A$17,Categories!$B$17,IF($E87=Categories!$A$18,Categories!$B$18,IF($E87=Categories!$A$19,Categories!$B$19)))))))))))))))))))</f>
        <v>0</v>
      </c>
      <c r="G87" s="9" t="str">
        <f t="shared" si="19"/>
        <v/>
      </c>
      <c r="H87" s="1" t="str">
        <f t="shared" si="20"/>
        <v/>
      </c>
      <c r="I87" s="1" t="str">
        <f t="shared" si="21"/>
        <v/>
      </c>
      <c r="J87" s="1" t="str">
        <f t="shared" si="22"/>
        <v/>
      </c>
      <c r="K87" s="13" t="str">
        <f t="shared" si="23"/>
        <v/>
      </c>
      <c r="L87" s="9" t="str">
        <f t="shared" si="24"/>
        <v/>
      </c>
      <c r="M87" s="1" t="str">
        <f t="shared" si="25"/>
        <v/>
      </c>
      <c r="N87" s="1" t="str">
        <f t="shared" si="26"/>
        <v/>
      </c>
      <c r="O87" s="1" t="str">
        <f t="shared" si="27"/>
        <v/>
      </c>
      <c r="P87" s="1" t="str">
        <f t="shared" si="28"/>
        <v/>
      </c>
      <c r="Q87" s="1" t="str">
        <f t="shared" si="29"/>
        <v/>
      </c>
      <c r="R87" s="1" t="str">
        <f t="shared" si="30"/>
        <v/>
      </c>
      <c r="S87" s="1" t="str">
        <f t="shared" si="31"/>
        <v/>
      </c>
      <c r="T87" s="1" t="str">
        <f t="shared" si="32"/>
        <v/>
      </c>
      <c r="U87" s="1" t="str">
        <f t="shared" si="33"/>
        <v/>
      </c>
      <c r="V87" s="1" t="str">
        <f t="shared" si="34"/>
        <v/>
      </c>
      <c r="W87" s="26" t="str">
        <f t="shared" si="35"/>
        <v/>
      </c>
      <c r="X87" s="13" t="str">
        <f t="shared" si="36"/>
        <v/>
      </c>
      <c r="Y87" s="9">
        <f t="shared" si="37"/>
        <v>0</v>
      </c>
    </row>
    <row r="88" spans="1:25" x14ac:dyDescent="0.25">
      <c r="A88" s="28"/>
      <c r="B88" s="29"/>
      <c r="C88" s="30"/>
      <c r="D88" s="31"/>
      <c r="E88" s="29" t="s">
        <v>16</v>
      </c>
      <c r="F88" s="13" t="b">
        <f>IF($E88=Categories!$A$1,"",IF($E88=Categories!$A$2,Categories!$B$2,IF($E88=Categories!$A$3,Categories!$B$3,IF($E88=Categories!$A$4,Categories!$B$4,IF($E88=Categories!$A$5,Categories!$B$5,IF($E88=Categories!$A$6,Categories!$B$6,IF($E88=Categories!$A$7,Categories!$B$7,IF($E88=Categories!$A$8,Categories!$B$8,IF($E88=Categories!$A$9,Categories!$B$9,IF($E88=Categories!$A$10,Categories!$B$10,IF($E88=Categories!$A$11,Categories!$B$11,IF($E88=Categories!$A$12,Categories!$B$12,IF($E88=Categories!$A$13,Categories!$B$13,IF($E88=Categories!$A$14,Categories!$B$14,IF($E88=Categories!$A$15,Categories!$B$15,IF($E88=Categories!$A$16,Categories!$B$16,IF($E88=Categories!$A$17,Categories!$B$17,IF($E88=Categories!$A$18,Categories!$B$18,IF($E88=Categories!$A$19,Categories!$B$19)))))))))))))))))))</f>
        <v>0</v>
      </c>
      <c r="G88" s="9" t="str">
        <f t="shared" si="19"/>
        <v/>
      </c>
      <c r="H88" s="1" t="str">
        <f t="shared" si="20"/>
        <v/>
      </c>
      <c r="I88" s="1" t="str">
        <f t="shared" si="21"/>
        <v/>
      </c>
      <c r="J88" s="1" t="str">
        <f t="shared" si="22"/>
        <v/>
      </c>
      <c r="K88" s="13" t="str">
        <f t="shared" si="23"/>
        <v/>
      </c>
      <c r="L88" s="9" t="str">
        <f t="shared" si="24"/>
        <v/>
      </c>
      <c r="M88" s="1" t="str">
        <f t="shared" si="25"/>
        <v/>
      </c>
      <c r="N88" s="1" t="str">
        <f t="shared" si="26"/>
        <v/>
      </c>
      <c r="O88" s="1" t="str">
        <f t="shared" si="27"/>
        <v/>
      </c>
      <c r="P88" s="1" t="str">
        <f t="shared" si="28"/>
        <v/>
      </c>
      <c r="Q88" s="1" t="str">
        <f t="shared" si="29"/>
        <v/>
      </c>
      <c r="R88" s="1" t="str">
        <f t="shared" si="30"/>
        <v/>
      </c>
      <c r="S88" s="1" t="str">
        <f t="shared" si="31"/>
        <v/>
      </c>
      <c r="T88" s="1" t="str">
        <f t="shared" si="32"/>
        <v/>
      </c>
      <c r="U88" s="1" t="str">
        <f t="shared" si="33"/>
        <v/>
      </c>
      <c r="V88" s="1" t="str">
        <f t="shared" si="34"/>
        <v/>
      </c>
      <c r="W88" s="26" t="str">
        <f t="shared" si="35"/>
        <v/>
      </c>
      <c r="X88" s="13" t="str">
        <f t="shared" si="36"/>
        <v/>
      </c>
      <c r="Y88" s="9">
        <f t="shared" si="37"/>
        <v>0</v>
      </c>
    </row>
    <row r="89" spans="1:25" x14ac:dyDescent="0.25">
      <c r="A89" s="28"/>
      <c r="B89" s="29"/>
      <c r="C89" s="30"/>
      <c r="D89" s="31"/>
      <c r="E89" s="29" t="s">
        <v>16</v>
      </c>
      <c r="F89" s="13" t="b">
        <f>IF($E89=Categories!$A$1,"",IF($E89=Categories!$A$2,Categories!$B$2,IF($E89=Categories!$A$3,Categories!$B$3,IF($E89=Categories!$A$4,Categories!$B$4,IF($E89=Categories!$A$5,Categories!$B$5,IF($E89=Categories!$A$6,Categories!$B$6,IF($E89=Categories!$A$7,Categories!$B$7,IF($E89=Categories!$A$8,Categories!$B$8,IF($E89=Categories!$A$9,Categories!$B$9,IF($E89=Categories!$A$10,Categories!$B$10,IF($E89=Categories!$A$11,Categories!$B$11,IF($E89=Categories!$A$12,Categories!$B$12,IF($E89=Categories!$A$13,Categories!$B$13,IF($E89=Categories!$A$14,Categories!$B$14,IF($E89=Categories!$A$15,Categories!$B$15,IF($E89=Categories!$A$16,Categories!$B$16,IF($E89=Categories!$A$17,Categories!$B$17,IF($E89=Categories!$A$18,Categories!$B$18,IF($E89=Categories!$A$19,Categories!$B$19)))))))))))))))))))</f>
        <v>0</v>
      </c>
      <c r="G89" s="9" t="str">
        <f t="shared" si="19"/>
        <v/>
      </c>
      <c r="H89" s="1" t="str">
        <f t="shared" si="20"/>
        <v/>
      </c>
      <c r="I89" s="1" t="str">
        <f t="shared" si="21"/>
        <v/>
      </c>
      <c r="J89" s="1" t="str">
        <f t="shared" si="22"/>
        <v/>
      </c>
      <c r="K89" s="13" t="str">
        <f t="shared" si="23"/>
        <v/>
      </c>
      <c r="L89" s="9" t="str">
        <f t="shared" si="24"/>
        <v/>
      </c>
      <c r="M89" s="1" t="str">
        <f t="shared" si="25"/>
        <v/>
      </c>
      <c r="N89" s="1" t="str">
        <f t="shared" si="26"/>
        <v/>
      </c>
      <c r="O89" s="1" t="str">
        <f t="shared" si="27"/>
        <v/>
      </c>
      <c r="P89" s="1" t="str">
        <f t="shared" si="28"/>
        <v/>
      </c>
      <c r="Q89" s="1" t="str">
        <f t="shared" si="29"/>
        <v/>
      </c>
      <c r="R89" s="1" t="str">
        <f t="shared" si="30"/>
        <v/>
      </c>
      <c r="S89" s="1" t="str">
        <f t="shared" si="31"/>
        <v/>
      </c>
      <c r="T89" s="1" t="str">
        <f t="shared" si="32"/>
        <v/>
      </c>
      <c r="U89" s="1" t="str">
        <f t="shared" si="33"/>
        <v/>
      </c>
      <c r="V89" s="1" t="str">
        <f t="shared" si="34"/>
        <v/>
      </c>
      <c r="W89" s="26" t="str">
        <f t="shared" si="35"/>
        <v/>
      </c>
      <c r="X89" s="13" t="str">
        <f t="shared" si="36"/>
        <v/>
      </c>
      <c r="Y89" s="9">
        <f t="shared" si="37"/>
        <v>0</v>
      </c>
    </row>
    <row r="90" spans="1:25" x14ac:dyDescent="0.25">
      <c r="A90" s="28"/>
      <c r="B90" s="29"/>
      <c r="C90" s="30"/>
      <c r="D90" s="31"/>
      <c r="E90" s="29" t="s">
        <v>16</v>
      </c>
      <c r="F90" s="13" t="b">
        <f>IF($E90=Categories!$A$1,"",IF($E90=Categories!$A$2,Categories!$B$2,IF($E90=Categories!$A$3,Categories!$B$3,IF($E90=Categories!$A$4,Categories!$B$4,IF($E90=Categories!$A$5,Categories!$B$5,IF($E90=Categories!$A$6,Categories!$B$6,IF($E90=Categories!$A$7,Categories!$B$7,IF($E90=Categories!$A$8,Categories!$B$8,IF($E90=Categories!$A$9,Categories!$B$9,IF($E90=Categories!$A$10,Categories!$B$10,IF($E90=Categories!$A$11,Categories!$B$11,IF($E90=Categories!$A$12,Categories!$B$12,IF($E90=Categories!$A$13,Categories!$B$13,IF($E90=Categories!$A$14,Categories!$B$14,IF($E90=Categories!$A$15,Categories!$B$15,IF($E90=Categories!$A$16,Categories!$B$16,IF($E90=Categories!$A$17,Categories!$B$17,IF($E90=Categories!$A$18,Categories!$B$18,IF($E90=Categories!$A$19,Categories!$B$19)))))))))))))))))))</f>
        <v>0</v>
      </c>
      <c r="G90" s="9" t="str">
        <f t="shared" si="19"/>
        <v/>
      </c>
      <c r="H90" s="1" t="str">
        <f t="shared" si="20"/>
        <v/>
      </c>
      <c r="I90" s="1" t="str">
        <f t="shared" si="21"/>
        <v/>
      </c>
      <c r="J90" s="1" t="str">
        <f t="shared" si="22"/>
        <v/>
      </c>
      <c r="K90" s="13" t="str">
        <f t="shared" si="23"/>
        <v/>
      </c>
      <c r="L90" s="9" t="str">
        <f t="shared" si="24"/>
        <v/>
      </c>
      <c r="M90" s="1" t="str">
        <f t="shared" si="25"/>
        <v/>
      </c>
      <c r="N90" s="1" t="str">
        <f t="shared" si="26"/>
        <v/>
      </c>
      <c r="O90" s="1" t="str">
        <f t="shared" si="27"/>
        <v/>
      </c>
      <c r="P90" s="1" t="str">
        <f t="shared" si="28"/>
        <v/>
      </c>
      <c r="Q90" s="1" t="str">
        <f t="shared" si="29"/>
        <v/>
      </c>
      <c r="R90" s="1" t="str">
        <f t="shared" si="30"/>
        <v/>
      </c>
      <c r="S90" s="1" t="str">
        <f t="shared" si="31"/>
        <v/>
      </c>
      <c r="T90" s="1" t="str">
        <f t="shared" si="32"/>
        <v/>
      </c>
      <c r="U90" s="1" t="str">
        <f t="shared" si="33"/>
        <v/>
      </c>
      <c r="V90" s="1" t="str">
        <f t="shared" si="34"/>
        <v/>
      </c>
      <c r="W90" s="26" t="str">
        <f t="shared" si="35"/>
        <v/>
      </c>
      <c r="X90" s="13" t="str">
        <f t="shared" si="36"/>
        <v/>
      </c>
      <c r="Y90" s="9">
        <f t="shared" si="37"/>
        <v>0</v>
      </c>
    </row>
    <row r="91" spans="1:25" x14ac:dyDescent="0.25">
      <c r="A91" s="28"/>
      <c r="B91" s="29"/>
      <c r="C91" s="30"/>
      <c r="D91" s="31"/>
      <c r="E91" s="29" t="s">
        <v>16</v>
      </c>
      <c r="F91" s="13" t="b">
        <f>IF($E91=Categories!$A$1,"",IF($E91=Categories!$A$2,Categories!$B$2,IF($E91=Categories!$A$3,Categories!$B$3,IF($E91=Categories!$A$4,Categories!$B$4,IF($E91=Categories!$A$5,Categories!$B$5,IF($E91=Categories!$A$6,Categories!$B$6,IF($E91=Categories!$A$7,Categories!$B$7,IF($E91=Categories!$A$8,Categories!$B$8,IF($E91=Categories!$A$9,Categories!$B$9,IF($E91=Categories!$A$10,Categories!$B$10,IF($E91=Categories!$A$11,Categories!$B$11,IF($E91=Categories!$A$12,Categories!$B$12,IF($E91=Categories!$A$13,Categories!$B$13,IF($E91=Categories!$A$14,Categories!$B$14,IF($E91=Categories!$A$15,Categories!$B$15,IF($E91=Categories!$A$16,Categories!$B$16,IF($E91=Categories!$A$17,Categories!$B$17,IF($E91=Categories!$A$18,Categories!$B$18,IF($E91=Categories!$A$19,Categories!$B$19)))))))))))))))))))</f>
        <v>0</v>
      </c>
      <c r="G91" s="9" t="str">
        <f t="shared" si="19"/>
        <v/>
      </c>
      <c r="H91" s="1" t="str">
        <f t="shared" si="20"/>
        <v/>
      </c>
      <c r="I91" s="1" t="str">
        <f t="shared" si="21"/>
        <v/>
      </c>
      <c r="J91" s="1" t="str">
        <f t="shared" si="22"/>
        <v/>
      </c>
      <c r="K91" s="13" t="str">
        <f t="shared" si="23"/>
        <v/>
      </c>
      <c r="L91" s="9" t="str">
        <f t="shared" si="24"/>
        <v/>
      </c>
      <c r="M91" s="1" t="str">
        <f t="shared" si="25"/>
        <v/>
      </c>
      <c r="N91" s="1" t="str">
        <f t="shared" si="26"/>
        <v/>
      </c>
      <c r="O91" s="1" t="str">
        <f t="shared" si="27"/>
        <v/>
      </c>
      <c r="P91" s="1" t="str">
        <f t="shared" si="28"/>
        <v/>
      </c>
      <c r="Q91" s="1" t="str">
        <f t="shared" si="29"/>
        <v/>
      </c>
      <c r="R91" s="1" t="str">
        <f t="shared" si="30"/>
        <v/>
      </c>
      <c r="S91" s="1" t="str">
        <f t="shared" si="31"/>
        <v/>
      </c>
      <c r="T91" s="1" t="str">
        <f t="shared" si="32"/>
        <v/>
      </c>
      <c r="U91" s="1" t="str">
        <f t="shared" si="33"/>
        <v/>
      </c>
      <c r="V91" s="1" t="str">
        <f t="shared" si="34"/>
        <v/>
      </c>
      <c r="W91" s="26" t="str">
        <f t="shared" si="35"/>
        <v/>
      </c>
      <c r="X91" s="13" t="str">
        <f t="shared" si="36"/>
        <v/>
      </c>
      <c r="Y91" s="9">
        <f t="shared" si="37"/>
        <v>0</v>
      </c>
    </row>
    <row r="92" spans="1:25" x14ac:dyDescent="0.25">
      <c r="A92" s="28"/>
      <c r="B92" s="29"/>
      <c r="C92" s="30"/>
      <c r="D92" s="31"/>
      <c r="E92" s="29" t="s">
        <v>16</v>
      </c>
      <c r="F92" s="13" t="b">
        <f>IF($E92=Categories!$A$1,"",IF($E92=Categories!$A$2,Categories!$B$2,IF($E92=Categories!$A$3,Categories!$B$3,IF($E92=Categories!$A$4,Categories!$B$4,IF($E92=Categories!$A$5,Categories!$B$5,IF($E92=Categories!$A$6,Categories!$B$6,IF($E92=Categories!$A$7,Categories!$B$7,IF($E92=Categories!$A$8,Categories!$B$8,IF($E92=Categories!$A$9,Categories!$B$9,IF($E92=Categories!$A$10,Categories!$B$10,IF($E92=Categories!$A$11,Categories!$B$11,IF($E92=Categories!$A$12,Categories!$B$12,IF($E92=Categories!$A$13,Categories!$B$13,IF($E92=Categories!$A$14,Categories!$B$14,IF($E92=Categories!$A$15,Categories!$B$15,IF($E92=Categories!$A$16,Categories!$B$16,IF($E92=Categories!$A$17,Categories!$B$17,IF($E92=Categories!$A$18,Categories!$B$18,IF($E92=Categories!$A$19,Categories!$B$19)))))))))))))))))))</f>
        <v>0</v>
      </c>
      <c r="G92" s="9" t="str">
        <f t="shared" si="19"/>
        <v/>
      </c>
      <c r="H92" s="1" t="str">
        <f t="shared" si="20"/>
        <v/>
      </c>
      <c r="I92" s="1" t="str">
        <f t="shared" si="21"/>
        <v/>
      </c>
      <c r="J92" s="1" t="str">
        <f t="shared" si="22"/>
        <v/>
      </c>
      <c r="K92" s="13" t="str">
        <f t="shared" si="23"/>
        <v/>
      </c>
      <c r="L92" s="9" t="str">
        <f t="shared" si="24"/>
        <v/>
      </c>
      <c r="M92" s="1" t="str">
        <f t="shared" si="25"/>
        <v/>
      </c>
      <c r="N92" s="1" t="str">
        <f t="shared" si="26"/>
        <v/>
      </c>
      <c r="O92" s="1" t="str">
        <f t="shared" si="27"/>
        <v/>
      </c>
      <c r="P92" s="1" t="str">
        <f t="shared" si="28"/>
        <v/>
      </c>
      <c r="Q92" s="1" t="str">
        <f t="shared" si="29"/>
        <v/>
      </c>
      <c r="R92" s="1" t="str">
        <f t="shared" si="30"/>
        <v/>
      </c>
      <c r="S92" s="1" t="str">
        <f t="shared" si="31"/>
        <v/>
      </c>
      <c r="T92" s="1" t="str">
        <f t="shared" si="32"/>
        <v/>
      </c>
      <c r="U92" s="1" t="str">
        <f t="shared" si="33"/>
        <v/>
      </c>
      <c r="V92" s="1" t="str">
        <f t="shared" si="34"/>
        <v/>
      </c>
      <c r="W92" s="26" t="str">
        <f t="shared" si="35"/>
        <v/>
      </c>
      <c r="X92" s="13" t="str">
        <f t="shared" si="36"/>
        <v/>
      </c>
      <c r="Y92" s="9">
        <f t="shared" si="37"/>
        <v>0</v>
      </c>
    </row>
    <row r="93" spans="1:25" x14ac:dyDescent="0.25">
      <c r="A93" s="28"/>
      <c r="B93" s="29"/>
      <c r="C93" s="30"/>
      <c r="D93" s="31"/>
      <c r="E93" s="29" t="s">
        <v>16</v>
      </c>
      <c r="F93" s="13" t="b">
        <f>IF($E93=Categories!$A$1,"",IF($E93=Categories!$A$2,Categories!$B$2,IF($E93=Categories!$A$3,Categories!$B$3,IF($E93=Categories!$A$4,Categories!$B$4,IF($E93=Categories!$A$5,Categories!$B$5,IF($E93=Categories!$A$6,Categories!$B$6,IF($E93=Categories!$A$7,Categories!$B$7,IF($E93=Categories!$A$8,Categories!$B$8,IF($E93=Categories!$A$9,Categories!$B$9,IF($E93=Categories!$A$10,Categories!$B$10,IF($E93=Categories!$A$11,Categories!$B$11,IF($E93=Categories!$A$12,Categories!$B$12,IF($E93=Categories!$A$13,Categories!$B$13,IF($E93=Categories!$A$14,Categories!$B$14,IF($E93=Categories!$A$15,Categories!$B$15,IF($E93=Categories!$A$16,Categories!$B$16,IF($E93=Categories!$A$17,Categories!$B$17,IF($E93=Categories!$A$18,Categories!$B$18,IF($E93=Categories!$A$19,Categories!$B$19)))))))))))))))))))</f>
        <v>0</v>
      </c>
      <c r="G93" s="9" t="str">
        <f t="shared" si="19"/>
        <v/>
      </c>
      <c r="H93" s="1" t="str">
        <f t="shared" si="20"/>
        <v/>
      </c>
      <c r="I93" s="1" t="str">
        <f t="shared" si="21"/>
        <v/>
      </c>
      <c r="J93" s="1" t="str">
        <f t="shared" si="22"/>
        <v/>
      </c>
      <c r="K93" s="13" t="str">
        <f t="shared" si="23"/>
        <v/>
      </c>
      <c r="L93" s="9" t="str">
        <f t="shared" si="24"/>
        <v/>
      </c>
      <c r="M93" s="1" t="str">
        <f t="shared" si="25"/>
        <v/>
      </c>
      <c r="N93" s="1" t="str">
        <f t="shared" si="26"/>
        <v/>
      </c>
      <c r="O93" s="1" t="str">
        <f t="shared" si="27"/>
        <v/>
      </c>
      <c r="P93" s="1" t="str">
        <f t="shared" si="28"/>
        <v/>
      </c>
      <c r="Q93" s="1" t="str">
        <f t="shared" si="29"/>
        <v/>
      </c>
      <c r="R93" s="1" t="str">
        <f t="shared" si="30"/>
        <v/>
      </c>
      <c r="S93" s="1" t="str">
        <f t="shared" si="31"/>
        <v/>
      </c>
      <c r="T93" s="1" t="str">
        <f t="shared" si="32"/>
        <v/>
      </c>
      <c r="U93" s="1" t="str">
        <f t="shared" si="33"/>
        <v/>
      </c>
      <c r="V93" s="1" t="str">
        <f t="shared" si="34"/>
        <v/>
      </c>
      <c r="W93" s="26" t="str">
        <f t="shared" si="35"/>
        <v/>
      </c>
      <c r="X93" s="13" t="str">
        <f t="shared" si="36"/>
        <v/>
      </c>
      <c r="Y93" s="9">
        <f t="shared" si="37"/>
        <v>0</v>
      </c>
    </row>
    <row r="94" spans="1:25" x14ac:dyDescent="0.25">
      <c r="A94" s="28"/>
      <c r="B94" s="29"/>
      <c r="C94" s="30"/>
      <c r="D94" s="31"/>
      <c r="E94" s="29" t="s">
        <v>16</v>
      </c>
      <c r="F94" s="13" t="b">
        <f>IF($E94=Categories!$A$1,"",IF($E94=Categories!$A$2,Categories!$B$2,IF($E94=Categories!$A$3,Categories!$B$3,IF($E94=Categories!$A$4,Categories!$B$4,IF($E94=Categories!$A$5,Categories!$B$5,IF($E94=Categories!$A$6,Categories!$B$6,IF($E94=Categories!$A$7,Categories!$B$7,IF($E94=Categories!$A$8,Categories!$B$8,IF($E94=Categories!$A$9,Categories!$B$9,IF($E94=Categories!$A$10,Categories!$B$10,IF($E94=Categories!$A$11,Categories!$B$11,IF($E94=Categories!$A$12,Categories!$B$12,IF($E94=Categories!$A$13,Categories!$B$13,IF($E94=Categories!$A$14,Categories!$B$14,IF($E94=Categories!$A$15,Categories!$B$15,IF($E94=Categories!$A$16,Categories!$B$16,IF($E94=Categories!$A$17,Categories!$B$17,IF($E94=Categories!$A$18,Categories!$B$18,IF($E94=Categories!$A$19,Categories!$B$19)))))))))))))))))))</f>
        <v>0</v>
      </c>
      <c r="G94" s="9" t="str">
        <f t="shared" si="19"/>
        <v/>
      </c>
      <c r="H94" s="1" t="str">
        <f t="shared" si="20"/>
        <v/>
      </c>
      <c r="I94" s="1" t="str">
        <f t="shared" si="21"/>
        <v/>
      </c>
      <c r="J94" s="1" t="str">
        <f t="shared" si="22"/>
        <v/>
      </c>
      <c r="K94" s="13" t="str">
        <f t="shared" si="23"/>
        <v/>
      </c>
      <c r="L94" s="9" t="str">
        <f t="shared" si="24"/>
        <v/>
      </c>
      <c r="M94" s="1" t="str">
        <f t="shared" si="25"/>
        <v/>
      </c>
      <c r="N94" s="1" t="str">
        <f t="shared" si="26"/>
        <v/>
      </c>
      <c r="O94" s="1" t="str">
        <f t="shared" si="27"/>
        <v/>
      </c>
      <c r="P94" s="1" t="str">
        <f t="shared" si="28"/>
        <v/>
      </c>
      <c r="Q94" s="1" t="str">
        <f t="shared" si="29"/>
        <v/>
      </c>
      <c r="R94" s="1" t="str">
        <f t="shared" si="30"/>
        <v/>
      </c>
      <c r="S94" s="1" t="str">
        <f t="shared" si="31"/>
        <v/>
      </c>
      <c r="T94" s="1" t="str">
        <f t="shared" si="32"/>
        <v/>
      </c>
      <c r="U94" s="1" t="str">
        <f t="shared" si="33"/>
        <v/>
      </c>
      <c r="V94" s="1" t="str">
        <f t="shared" si="34"/>
        <v/>
      </c>
      <c r="W94" s="26" t="str">
        <f t="shared" si="35"/>
        <v/>
      </c>
      <c r="X94" s="13" t="str">
        <f t="shared" si="36"/>
        <v/>
      </c>
      <c r="Y94" s="9">
        <f t="shared" si="37"/>
        <v>0</v>
      </c>
    </row>
    <row r="95" spans="1:25" x14ac:dyDescent="0.25">
      <c r="A95" s="28"/>
      <c r="B95" s="29"/>
      <c r="C95" s="30"/>
      <c r="D95" s="31"/>
      <c r="E95" s="29" t="s">
        <v>16</v>
      </c>
      <c r="F95" s="13" t="b">
        <f>IF($E95=Categories!$A$1,"",IF($E95=Categories!$A$2,Categories!$B$2,IF($E95=Categories!$A$3,Categories!$B$3,IF($E95=Categories!$A$4,Categories!$B$4,IF($E95=Categories!$A$5,Categories!$B$5,IF($E95=Categories!$A$6,Categories!$B$6,IF($E95=Categories!$A$7,Categories!$B$7,IF($E95=Categories!$A$8,Categories!$B$8,IF($E95=Categories!$A$9,Categories!$B$9,IF($E95=Categories!$A$10,Categories!$B$10,IF($E95=Categories!$A$11,Categories!$B$11,IF($E95=Categories!$A$12,Categories!$B$12,IF($E95=Categories!$A$13,Categories!$B$13,IF($E95=Categories!$A$14,Categories!$B$14,IF($E95=Categories!$A$15,Categories!$B$15,IF($E95=Categories!$A$16,Categories!$B$16,IF($E95=Categories!$A$17,Categories!$B$17,IF($E95=Categories!$A$18,Categories!$B$18,IF($E95=Categories!$A$19,Categories!$B$19)))))))))))))))))))</f>
        <v>0</v>
      </c>
      <c r="G95" s="9" t="str">
        <f t="shared" si="19"/>
        <v/>
      </c>
      <c r="H95" s="1" t="str">
        <f t="shared" si="20"/>
        <v/>
      </c>
      <c r="I95" s="1" t="str">
        <f t="shared" si="21"/>
        <v/>
      </c>
      <c r="J95" s="1" t="str">
        <f t="shared" si="22"/>
        <v/>
      </c>
      <c r="K95" s="13" t="str">
        <f t="shared" si="23"/>
        <v/>
      </c>
      <c r="L95" s="9" t="str">
        <f t="shared" si="24"/>
        <v/>
      </c>
      <c r="M95" s="1" t="str">
        <f t="shared" si="25"/>
        <v/>
      </c>
      <c r="N95" s="1" t="str">
        <f t="shared" si="26"/>
        <v/>
      </c>
      <c r="O95" s="1" t="str">
        <f t="shared" si="27"/>
        <v/>
      </c>
      <c r="P95" s="1" t="str">
        <f t="shared" si="28"/>
        <v/>
      </c>
      <c r="Q95" s="1" t="str">
        <f t="shared" si="29"/>
        <v/>
      </c>
      <c r="R95" s="1" t="str">
        <f t="shared" si="30"/>
        <v/>
      </c>
      <c r="S95" s="1" t="str">
        <f t="shared" si="31"/>
        <v/>
      </c>
      <c r="T95" s="1" t="str">
        <f t="shared" si="32"/>
        <v/>
      </c>
      <c r="U95" s="1" t="str">
        <f t="shared" si="33"/>
        <v/>
      </c>
      <c r="V95" s="1" t="str">
        <f t="shared" si="34"/>
        <v/>
      </c>
      <c r="W95" s="26" t="str">
        <f t="shared" si="35"/>
        <v/>
      </c>
      <c r="X95" s="13" t="str">
        <f t="shared" si="36"/>
        <v/>
      </c>
      <c r="Y95" s="9">
        <f t="shared" si="37"/>
        <v>0</v>
      </c>
    </row>
    <row r="96" spans="1:25" x14ac:dyDescent="0.25">
      <c r="A96" s="11"/>
      <c r="B96" s="16" t="s">
        <v>30</v>
      </c>
      <c r="C96" s="11"/>
      <c r="D96" s="11"/>
      <c r="E96" s="11"/>
      <c r="F96" s="21"/>
      <c r="G96" s="18">
        <f>SUM(G6:G95)</f>
        <v>0</v>
      </c>
      <c r="H96" s="18">
        <f t="shared" ref="H96:K96" si="38">SUM(H6:H95)</f>
        <v>0</v>
      </c>
      <c r="I96" s="18">
        <f t="shared" si="38"/>
        <v>0</v>
      </c>
      <c r="J96" s="18">
        <f t="shared" si="38"/>
        <v>0</v>
      </c>
      <c r="K96" s="19">
        <f t="shared" si="38"/>
        <v>0</v>
      </c>
      <c r="L96" s="19">
        <f t="shared" ref="L96" si="39">SUM(L6:L95)</f>
        <v>0</v>
      </c>
      <c r="M96" s="19">
        <f t="shared" ref="M96" si="40">SUM(M6:M95)</f>
        <v>0</v>
      </c>
      <c r="N96" s="19">
        <f t="shared" ref="N96" si="41">SUM(N6:N95)</f>
        <v>0</v>
      </c>
      <c r="O96" s="19">
        <f t="shared" ref="O96" si="42">SUM(O6:O95)</f>
        <v>0</v>
      </c>
      <c r="P96" s="19">
        <f t="shared" ref="P96" si="43">SUM(P6:P95)</f>
        <v>0</v>
      </c>
      <c r="Q96" s="19">
        <f t="shared" ref="Q96" si="44">SUM(Q6:Q95)</f>
        <v>0</v>
      </c>
      <c r="R96" s="19">
        <f t="shared" ref="R96" si="45">SUM(R6:R95)</f>
        <v>0</v>
      </c>
      <c r="S96" s="19">
        <f t="shared" ref="S96" si="46">SUM(S6:S95)</f>
        <v>0</v>
      </c>
      <c r="T96" s="19">
        <f t="shared" ref="T96" si="47">SUM(T6:T95)</f>
        <v>0</v>
      </c>
      <c r="U96" s="19">
        <f t="shared" ref="U96" si="48">SUM(U6:U95)</f>
        <v>0</v>
      </c>
      <c r="V96" s="19">
        <f t="shared" ref="V96" si="49">SUM(V6:V95)</f>
        <v>0</v>
      </c>
      <c r="W96" s="19">
        <f t="shared" ref="W96" si="50">SUM(W6:W95)</f>
        <v>0</v>
      </c>
      <c r="X96" s="19">
        <f t="shared" ref="X96" si="51">SUM(X6:X95)</f>
        <v>0</v>
      </c>
      <c r="Y96" s="18"/>
    </row>
  </sheetData>
  <mergeCells count="1">
    <mergeCell ref="A4:E4"/>
  </mergeCells>
  <printOptions gridLines="1"/>
  <pageMargins left="0.23622047244094491" right="0.23622047244094491" top="0.74803149606299213" bottom="0.74803149606299213" header="0.31496062992125984" footer="0.31496062992125984"/>
  <pageSetup paperSize="9" scale="50" fitToHeight="2" orientation="landscape" r:id="rId1"/>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Categories!$A$1:$A$19</xm:f>
          </x14:formula1>
          <xm:sqref>E6:E95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Y96"/>
  <sheetViews>
    <sheetView workbookViewId="0">
      <pane xSplit="6" ySplit="5" topLeftCell="G6" activePane="bottomRight" state="frozen"/>
      <selection activeCell="B78" sqref="B78"/>
      <selection pane="topRight" activeCell="B78" sqref="B78"/>
      <selection pane="bottomLeft" activeCell="B78" sqref="B78"/>
      <selection pane="bottomRight" activeCell="B78" sqref="B78"/>
    </sheetView>
  </sheetViews>
  <sheetFormatPr defaultRowHeight="15" x14ac:dyDescent="0.25"/>
  <cols>
    <col min="1" max="1" width="10.7109375" bestFit="1" customWidth="1"/>
    <col min="2" max="2" width="13.7109375" customWidth="1"/>
    <col min="3" max="3" width="12" customWidth="1"/>
    <col min="5" max="5" width="15.28515625" customWidth="1"/>
    <col min="6" max="6" width="12.7109375" hidden="1" customWidth="1"/>
    <col min="7" max="25" width="11.7109375" customWidth="1"/>
  </cols>
  <sheetData>
    <row r="1" spans="1:25" ht="23.25" x14ac:dyDescent="0.35">
      <c r="A1" s="3" t="s">
        <v>44</v>
      </c>
      <c r="D1" s="8" t="str">
        <f>Instructions!C3</f>
        <v>Lucy's Tailored Tails</v>
      </c>
      <c r="Y1" s="9"/>
    </row>
    <row r="2" spans="1:25" ht="15" customHeight="1" x14ac:dyDescent="0.35">
      <c r="A2" s="3"/>
      <c r="D2" s="8"/>
      <c r="Y2" s="9"/>
    </row>
    <row r="3" spans="1:25" x14ac:dyDescent="0.25">
      <c r="R3" t="s">
        <v>0</v>
      </c>
      <c r="Y3" s="9">
        <f>IF(Instructions!C7="May",Instructions!C6,Apr!Y95)</f>
        <v>0</v>
      </c>
    </row>
    <row r="4" spans="1:25" x14ac:dyDescent="0.25">
      <c r="A4" s="39" t="s">
        <v>111</v>
      </c>
      <c r="B4" s="40"/>
      <c r="C4" s="40"/>
      <c r="D4" s="40"/>
      <c r="E4" s="41"/>
      <c r="F4" s="12"/>
      <c r="G4" s="17" t="s">
        <v>31</v>
      </c>
      <c r="H4" s="11"/>
      <c r="I4" s="11"/>
      <c r="J4" s="11"/>
      <c r="K4" s="12"/>
      <c r="L4" s="17" t="s">
        <v>33</v>
      </c>
      <c r="M4" s="11"/>
      <c r="N4" s="11"/>
      <c r="O4" s="11"/>
      <c r="P4" s="11"/>
      <c r="Q4" s="11"/>
      <c r="R4" s="11"/>
      <c r="S4" s="11"/>
      <c r="T4" s="11"/>
      <c r="U4" s="11"/>
      <c r="V4" s="11"/>
      <c r="W4" s="21"/>
      <c r="X4" s="12"/>
      <c r="Y4" s="10"/>
    </row>
    <row r="5" spans="1:25" ht="30" x14ac:dyDescent="0.25">
      <c r="A5" s="34" t="s">
        <v>1</v>
      </c>
      <c r="B5" s="35" t="s">
        <v>39</v>
      </c>
      <c r="C5" s="34" t="s">
        <v>2</v>
      </c>
      <c r="D5" s="34" t="s">
        <v>3</v>
      </c>
      <c r="E5" s="34" t="s">
        <v>105</v>
      </c>
      <c r="F5" s="12"/>
      <c r="G5" s="10" t="str">
        <f>Categories!A2</f>
        <v>Shop Sales</v>
      </c>
      <c r="H5" s="11" t="str">
        <f>Categories!A3</f>
        <v>Income 2</v>
      </c>
      <c r="I5" s="11" t="str">
        <f>Categories!A4</f>
        <v>Income 3</v>
      </c>
      <c r="J5" s="11" t="str">
        <f>Categories!A5</f>
        <v>Income 4</v>
      </c>
      <c r="K5" s="12" t="str">
        <f>Categories!A6</f>
        <v>Income 5</v>
      </c>
      <c r="L5" s="10" t="str">
        <f>Categories!A7</f>
        <v>Website Fees</v>
      </c>
      <c r="M5" s="11" t="str">
        <f>Categories!A8</f>
        <v>Exp 2</v>
      </c>
      <c r="N5" s="11" t="str">
        <f>Categories!A9</f>
        <v>Exp 3</v>
      </c>
      <c r="O5" s="11" t="str">
        <f>Categories!A10</f>
        <v>Exp 4</v>
      </c>
      <c r="P5" s="11" t="str">
        <f>Categories!A11</f>
        <v>Exp 5</v>
      </c>
      <c r="Q5" s="11" t="str">
        <f>Categories!A12</f>
        <v>Exp 6</v>
      </c>
      <c r="R5" s="11" t="str">
        <f>Categories!A13</f>
        <v>Exp 7</v>
      </c>
      <c r="S5" s="11" t="str">
        <f>Categories!A14</f>
        <v>Exp 8</v>
      </c>
      <c r="T5" s="11" t="str">
        <f>Categories!A15</f>
        <v>Exp 9</v>
      </c>
      <c r="U5" s="11" t="str">
        <f>Categories!A16</f>
        <v>Exp 10</v>
      </c>
      <c r="V5" s="11" t="str">
        <f>Categories!A17</f>
        <v>Exp 11</v>
      </c>
      <c r="W5" s="21" t="str">
        <f>Categories!A18</f>
        <v>Exp 12</v>
      </c>
      <c r="X5" s="12" t="str">
        <f>Categories!A19</f>
        <v>Exp 13</v>
      </c>
      <c r="Y5" s="10" t="s">
        <v>4</v>
      </c>
    </row>
    <row r="6" spans="1:25" x14ac:dyDescent="0.25">
      <c r="A6" s="28"/>
      <c r="B6" s="29"/>
      <c r="C6" s="30"/>
      <c r="D6" s="31"/>
      <c r="E6" s="29" t="s">
        <v>16</v>
      </c>
      <c r="F6" s="13" t="b">
        <f>IF($E6=Categories!$A$1,"",IF($E6=Categories!$A$2,Categories!$B$2,IF($E6=Categories!$A$3,Categories!$B$3,IF($E6=Categories!$A$4,Categories!$B$4,IF($E6=Categories!$A$5,Categories!$B$5,IF($E6=Categories!$A$6,Categories!$B$6,IF($E6=Categories!$A$7,Categories!$B$7,IF($E6=Categories!$A$8,Categories!$B$8,IF($E6=Categories!$A$9,Categories!$B$9,IF($E6=Categories!$A$10,Categories!$B$10,IF($E6=Categories!$A$11,Categories!$B$11,IF($E6=Categories!$A$12,Categories!$B$12,IF($E6=Categories!$A$13,Categories!$B$13,IF($E6=Categories!$A$14,Categories!$B$14,IF($E6=Categories!$A$15,Categories!$B$15,IF($E6=Categories!$A$16,Categories!$B$16,IF($E6=Categories!$A$17,Categories!$B$17,IF($E6=Categories!$A$18,Categories!$B$18,IF($E6=Categories!$A$19,Categories!$B$19)))))))))))))))))))</f>
        <v>0</v>
      </c>
      <c r="G6" s="9" t="str">
        <f>IF($F6="Inc1",$D6,"")</f>
        <v/>
      </c>
      <c r="H6" s="1" t="str">
        <f>IF($F6="Inc2",$D6,"")</f>
        <v/>
      </c>
      <c r="I6" s="1" t="str">
        <f>IF($F6="Int",$D6,"")</f>
        <v/>
      </c>
      <c r="J6" s="1" t="str">
        <f>IF($F6="Inc4",$D6,"")</f>
        <v/>
      </c>
      <c r="K6" s="13" t="str">
        <f>IF($F6="Inc5",$D6,"")</f>
        <v/>
      </c>
      <c r="L6" s="9" t="str">
        <f>IF($F6="ExpA",$D6,"")</f>
        <v/>
      </c>
      <c r="M6" s="1" t="str">
        <f>IF($F6="ExpB",$D6,"")</f>
        <v/>
      </c>
      <c r="N6" s="1" t="str">
        <f>IF($F6="ExpC",$D6,"")</f>
        <v/>
      </c>
      <c r="O6" s="1" t="str">
        <f>IF($F6="ExpD",$D6,"")</f>
        <v/>
      </c>
      <c r="P6" s="1" t="str">
        <f>IF($F6="ExpE",$D6,"")</f>
        <v/>
      </c>
      <c r="Q6" s="1" t="str">
        <f>IF($F6="ExpF",$D6,"")</f>
        <v/>
      </c>
      <c r="R6" s="1" t="str">
        <f>IF($F6="ExpG",$D6,"")</f>
        <v/>
      </c>
      <c r="S6" s="1" t="str">
        <f>IF($F6="ExpH",$D6,"")</f>
        <v/>
      </c>
      <c r="T6" s="1" t="str">
        <f>IF($F6="ExpI",$D6,"")</f>
        <v/>
      </c>
      <c r="U6" s="1" t="str">
        <f>IF($F6="ExpJ",$D6,"")</f>
        <v/>
      </c>
      <c r="V6" s="1" t="str">
        <f>IF($F6="ExpK",$D6,"")</f>
        <v/>
      </c>
      <c r="W6" s="26" t="str">
        <f>IF($F6="ExpL",$D6,"")</f>
        <v/>
      </c>
      <c r="X6" s="13" t="str">
        <f>IF($F6="Expm",$D6,"")</f>
        <v/>
      </c>
      <c r="Y6" s="9">
        <f>$Y$3+SUM(G6:K6)-SUM(L6:X6)</f>
        <v>0</v>
      </c>
    </row>
    <row r="7" spans="1:25" x14ac:dyDescent="0.25">
      <c r="A7" s="28"/>
      <c r="B7" s="29"/>
      <c r="C7" s="30"/>
      <c r="D7" s="31"/>
      <c r="E7" s="29" t="s">
        <v>16</v>
      </c>
      <c r="F7" s="13" t="b">
        <f>IF($E7=Categories!$A$1,"",IF($E7=Categories!$A$2,Categories!$B$2,IF($E7=Categories!$A$3,Categories!$B$3,IF($E7=Categories!$A$4,Categories!$B$4,IF($E7=Categories!$A$5,Categories!$B$5,IF($E7=Categories!$A$6,Categories!$B$6,IF($E7=Categories!$A$7,Categories!$B$7,IF($E7=Categories!$A$8,Categories!$B$8,IF($E7=Categories!$A$9,Categories!$B$9,IF($E7=Categories!$A$10,Categories!$B$10,IF($E7=Categories!$A$11,Categories!$B$11,IF($E7=Categories!$A$12,Categories!$B$12,IF($E7=Categories!$A$13,Categories!$B$13,IF($E7=Categories!$A$14,Categories!$B$14,IF($E7=Categories!$A$15,Categories!$B$15,IF($E7=Categories!$A$16,Categories!$B$16,IF($E7=Categories!$A$17,Categories!$B$17,IF($E7=Categories!$A$18,Categories!$B$18,IF($E7=Categories!$A$19,Categories!$B$19)))))))))))))))))))</f>
        <v>0</v>
      </c>
      <c r="G7" s="9" t="str">
        <f t="shared" ref="G7:G70" si="0">IF($F7="Inc1",$D7,"")</f>
        <v/>
      </c>
      <c r="H7" s="1" t="str">
        <f t="shared" ref="H7:H70" si="1">IF($F7="Inc2",$D7,"")</f>
        <v/>
      </c>
      <c r="I7" s="1" t="str">
        <f t="shared" ref="I7:I70" si="2">IF($F7="Int",$D7,"")</f>
        <v/>
      </c>
      <c r="J7" s="1" t="str">
        <f t="shared" ref="J7:J70" si="3">IF($F7="Inc4",$D7,"")</f>
        <v/>
      </c>
      <c r="K7" s="13" t="str">
        <f t="shared" ref="K7:K70" si="4">IF($F7="Inc5",$D7,"")</f>
        <v/>
      </c>
      <c r="L7" s="9" t="str">
        <f t="shared" ref="L7:L70" si="5">IF($F7="ExpA",$D7,"")</f>
        <v/>
      </c>
      <c r="M7" s="1" t="str">
        <f t="shared" ref="M7:M70" si="6">IF($F7="ExpB",$D7,"")</f>
        <v/>
      </c>
      <c r="N7" s="1" t="str">
        <f t="shared" ref="N7:N70" si="7">IF($F7="ExpC",$D7,"")</f>
        <v/>
      </c>
      <c r="O7" s="1" t="str">
        <f t="shared" ref="O7:O70" si="8">IF($F7="ExpD",$D7,"")</f>
        <v/>
      </c>
      <c r="P7" s="1" t="str">
        <f t="shared" ref="P7:P70" si="9">IF($F7="ExpE",$D7,"")</f>
        <v/>
      </c>
      <c r="Q7" s="1" t="str">
        <f t="shared" ref="Q7:Q70" si="10">IF($F7="ExpF",$D7,"")</f>
        <v/>
      </c>
      <c r="R7" s="1" t="str">
        <f t="shared" ref="R7:R70" si="11">IF($F7="ExpG",$D7,"")</f>
        <v/>
      </c>
      <c r="S7" s="1" t="str">
        <f t="shared" ref="S7:S70" si="12">IF($F7="ExpH",$D7,"")</f>
        <v/>
      </c>
      <c r="T7" s="1" t="str">
        <f t="shared" ref="T7:T70" si="13">IF($F7="ExpI",$D7,"")</f>
        <v/>
      </c>
      <c r="U7" s="1" t="str">
        <f t="shared" ref="U7:U70" si="14">IF($F7="ExpJ",$D7,"")</f>
        <v/>
      </c>
      <c r="V7" s="1" t="str">
        <f t="shared" ref="V7:V70" si="15">IF($F7="ExpK",$D7,"")</f>
        <v/>
      </c>
      <c r="W7" s="26" t="str">
        <f t="shared" ref="W7:W70" si="16">IF($F7="ExpL",$D7,"")</f>
        <v/>
      </c>
      <c r="X7" s="13" t="str">
        <f t="shared" ref="X7:X70" si="17">IF($F7="Expm",$D7,"")</f>
        <v/>
      </c>
      <c r="Y7" s="9">
        <f>Y6+SUM(G7:K7)-SUM(L7:X7)</f>
        <v>0</v>
      </c>
    </row>
    <row r="8" spans="1:25" x14ac:dyDescent="0.25">
      <c r="A8" s="28"/>
      <c r="B8" s="29"/>
      <c r="C8" s="30"/>
      <c r="D8" s="31"/>
      <c r="E8" s="29" t="s">
        <v>16</v>
      </c>
      <c r="F8" s="13" t="b">
        <f>IF($E8=Categories!$A$1,"",IF($E8=Categories!$A$2,Categories!$B$2,IF($E8=Categories!$A$3,Categories!$B$3,IF($E8=Categories!$A$4,Categories!$B$4,IF($E8=Categories!$A$5,Categories!$B$5,IF($E8=Categories!$A$6,Categories!$B$6,IF($E8=Categories!$A$7,Categories!$B$7,IF($E8=Categories!$A$8,Categories!$B$8,IF($E8=Categories!$A$9,Categories!$B$9,IF($E8=Categories!$A$10,Categories!$B$10,IF($E8=Categories!$A$11,Categories!$B$11,IF($E8=Categories!$A$12,Categories!$B$12,IF($E8=Categories!$A$13,Categories!$B$13,IF($E8=Categories!$A$14,Categories!$B$14,IF($E8=Categories!$A$15,Categories!$B$15,IF($E8=Categories!$A$16,Categories!$B$16,IF($E8=Categories!$A$17,Categories!$B$17,IF($E8=Categories!$A$18,Categories!$B$18,IF($E8=Categories!$A$19,Categories!$B$19)))))))))))))))))))</f>
        <v>0</v>
      </c>
      <c r="G8" s="9" t="str">
        <f t="shared" si="0"/>
        <v/>
      </c>
      <c r="H8" s="1" t="str">
        <f t="shared" si="1"/>
        <v/>
      </c>
      <c r="I8" s="1" t="str">
        <f t="shared" si="2"/>
        <v/>
      </c>
      <c r="J8" s="1" t="str">
        <f t="shared" si="3"/>
        <v/>
      </c>
      <c r="K8" s="13" t="str">
        <f t="shared" si="4"/>
        <v/>
      </c>
      <c r="L8" s="9" t="str">
        <f t="shared" si="5"/>
        <v/>
      </c>
      <c r="M8" s="1" t="str">
        <f t="shared" si="6"/>
        <v/>
      </c>
      <c r="N8" s="1" t="str">
        <f t="shared" si="7"/>
        <v/>
      </c>
      <c r="O8" s="1" t="str">
        <f t="shared" si="8"/>
        <v/>
      </c>
      <c r="P8" s="1" t="str">
        <f t="shared" si="9"/>
        <v/>
      </c>
      <c r="Q8" s="1" t="str">
        <f t="shared" si="10"/>
        <v/>
      </c>
      <c r="R8" s="1" t="str">
        <f t="shared" si="11"/>
        <v/>
      </c>
      <c r="S8" s="1" t="str">
        <f t="shared" si="12"/>
        <v/>
      </c>
      <c r="T8" s="1" t="str">
        <f t="shared" si="13"/>
        <v/>
      </c>
      <c r="U8" s="1" t="str">
        <f t="shared" si="14"/>
        <v/>
      </c>
      <c r="V8" s="1" t="str">
        <f t="shared" si="15"/>
        <v/>
      </c>
      <c r="W8" s="26" t="str">
        <f t="shared" si="16"/>
        <v/>
      </c>
      <c r="X8" s="13" t="str">
        <f t="shared" si="17"/>
        <v/>
      </c>
      <c r="Y8" s="9">
        <f t="shared" ref="Y8:Y71" si="18">Y7+SUM(G8:K8)-SUM(L8:X8)</f>
        <v>0</v>
      </c>
    </row>
    <row r="9" spans="1:25" x14ac:dyDescent="0.25">
      <c r="A9" s="28"/>
      <c r="B9" s="29"/>
      <c r="C9" s="30"/>
      <c r="D9" s="31"/>
      <c r="E9" s="29" t="s">
        <v>16</v>
      </c>
      <c r="F9" s="13" t="b">
        <f>IF($E9=Categories!$A$1,"",IF($E9=Categories!$A$2,Categories!$B$2,IF($E9=Categories!$A$3,Categories!$B$3,IF($E9=Categories!$A$4,Categories!$B$4,IF($E9=Categories!$A$5,Categories!$B$5,IF($E9=Categories!$A$6,Categories!$B$6,IF($E9=Categories!$A$7,Categories!$B$7,IF($E9=Categories!$A$8,Categories!$B$8,IF($E9=Categories!$A$9,Categories!$B$9,IF($E9=Categories!$A$10,Categories!$B$10,IF($E9=Categories!$A$11,Categories!$B$11,IF($E9=Categories!$A$12,Categories!$B$12,IF($E9=Categories!$A$13,Categories!$B$13,IF($E9=Categories!$A$14,Categories!$B$14,IF($E9=Categories!$A$15,Categories!$B$15,IF($E9=Categories!$A$16,Categories!$B$16,IF($E9=Categories!$A$17,Categories!$B$17,IF($E9=Categories!$A$18,Categories!$B$18,IF($E9=Categories!$A$19,Categories!$B$19)))))))))))))))))))</f>
        <v>0</v>
      </c>
      <c r="G9" s="9" t="str">
        <f t="shared" si="0"/>
        <v/>
      </c>
      <c r="H9" s="1" t="str">
        <f t="shared" si="1"/>
        <v/>
      </c>
      <c r="I9" s="1" t="str">
        <f t="shared" si="2"/>
        <v/>
      </c>
      <c r="J9" s="1" t="str">
        <f t="shared" si="3"/>
        <v/>
      </c>
      <c r="K9" s="13" t="str">
        <f t="shared" si="4"/>
        <v/>
      </c>
      <c r="L9" s="9" t="str">
        <f t="shared" si="5"/>
        <v/>
      </c>
      <c r="M9" s="1" t="str">
        <f t="shared" si="6"/>
        <v/>
      </c>
      <c r="N9" s="1" t="str">
        <f t="shared" si="7"/>
        <v/>
      </c>
      <c r="O9" s="1" t="str">
        <f t="shared" si="8"/>
        <v/>
      </c>
      <c r="P9" s="1" t="str">
        <f t="shared" si="9"/>
        <v/>
      </c>
      <c r="Q9" s="1" t="str">
        <f t="shared" si="10"/>
        <v/>
      </c>
      <c r="R9" s="1" t="str">
        <f t="shared" si="11"/>
        <v/>
      </c>
      <c r="S9" s="1" t="str">
        <f t="shared" si="12"/>
        <v/>
      </c>
      <c r="T9" s="1" t="str">
        <f t="shared" si="13"/>
        <v/>
      </c>
      <c r="U9" s="1" t="str">
        <f t="shared" si="14"/>
        <v/>
      </c>
      <c r="V9" s="1" t="str">
        <f t="shared" si="15"/>
        <v/>
      </c>
      <c r="W9" s="26" t="str">
        <f t="shared" si="16"/>
        <v/>
      </c>
      <c r="X9" s="13" t="str">
        <f t="shared" si="17"/>
        <v/>
      </c>
      <c r="Y9" s="9">
        <f t="shared" si="18"/>
        <v>0</v>
      </c>
    </row>
    <row r="10" spans="1:25" x14ac:dyDescent="0.25">
      <c r="A10" s="28"/>
      <c r="B10" s="29"/>
      <c r="C10" s="30"/>
      <c r="D10" s="31"/>
      <c r="E10" s="29" t="s">
        <v>16</v>
      </c>
      <c r="F10" s="13" t="b">
        <f>IF($E10=Categories!$A$1,"",IF($E10=Categories!$A$2,Categories!$B$2,IF($E10=Categories!$A$3,Categories!$B$3,IF($E10=Categories!$A$4,Categories!$B$4,IF($E10=Categories!$A$5,Categories!$B$5,IF($E10=Categories!$A$6,Categories!$B$6,IF($E10=Categories!$A$7,Categories!$B$7,IF($E10=Categories!$A$8,Categories!$B$8,IF($E10=Categories!$A$9,Categories!$B$9,IF($E10=Categories!$A$10,Categories!$B$10,IF($E10=Categories!$A$11,Categories!$B$11,IF($E10=Categories!$A$12,Categories!$B$12,IF($E10=Categories!$A$13,Categories!$B$13,IF($E10=Categories!$A$14,Categories!$B$14,IF($E10=Categories!$A$15,Categories!$B$15,IF($E10=Categories!$A$16,Categories!$B$16,IF($E10=Categories!$A$17,Categories!$B$17,IF($E10=Categories!$A$18,Categories!$B$18,IF($E10=Categories!$A$19,Categories!$B$19)))))))))))))))))))</f>
        <v>0</v>
      </c>
      <c r="G10" s="9" t="str">
        <f t="shared" si="0"/>
        <v/>
      </c>
      <c r="H10" s="1" t="str">
        <f t="shared" si="1"/>
        <v/>
      </c>
      <c r="I10" s="1" t="str">
        <f t="shared" si="2"/>
        <v/>
      </c>
      <c r="J10" s="1" t="str">
        <f t="shared" si="3"/>
        <v/>
      </c>
      <c r="K10" s="13" t="str">
        <f t="shared" si="4"/>
        <v/>
      </c>
      <c r="L10" s="9" t="str">
        <f t="shared" si="5"/>
        <v/>
      </c>
      <c r="M10" s="1" t="str">
        <f t="shared" si="6"/>
        <v/>
      </c>
      <c r="N10" s="1" t="str">
        <f t="shared" si="7"/>
        <v/>
      </c>
      <c r="O10" s="1" t="str">
        <f t="shared" si="8"/>
        <v/>
      </c>
      <c r="P10" s="1" t="str">
        <f t="shared" si="9"/>
        <v/>
      </c>
      <c r="Q10" s="1" t="str">
        <f t="shared" si="10"/>
        <v/>
      </c>
      <c r="R10" s="1" t="str">
        <f t="shared" si="11"/>
        <v/>
      </c>
      <c r="S10" s="1" t="str">
        <f t="shared" si="12"/>
        <v/>
      </c>
      <c r="T10" s="1" t="str">
        <f t="shared" si="13"/>
        <v/>
      </c>
      <c r="U10" s="1" t="str">
        <f t="shared" si="14"/>
        <v/>
      </c>
      <c r="V10" s="1" t="str">
        <f t="shared" si="15"/>
        <v/>
      </c>
      <c r="W10" s="26" t="str">
        <f t="shared" si="16"/>
        <v/>
      </c>
      <c r="X10" s="13" t="str">
        <f t="shared" si="17"/>
        <v/>
      </c>
      <c r="Y10" s="9">
        <f t="shared" si="18"/>
        <v>0</v>
      </c>
    </row>
    <row r="11" spans="1:25" x14ac:dyDescent="0.25">
      <c r="A11" s="28"/>
      <c r="B11" s="29"/>
      <c r="C11" s="30"/>
      <c r="D11" s="31"/>
      <c r="E11" s="29" t="s">
        <v>16</v>
      </c>
      <c r="F11" s="13" t="b">
        <f>IF($E11=Categories!$A$1,"",IF($E11=Categories!$A$2,Categories!$B$2,IF($E11=Categories!$A$3,Categories!$B$3,IF($E11=Categories!$A$4,Categories!$B$4,IF($E11=Categories!$A$5,Categories!$B$5,IF($E11=Categories!$A$6,Categories!$B$6,IF($E11=Categories!$A$7,Categories!$B$7,IF($E11=Categories!$A$8,Categories!$B$8,IF($E11=Categories!$A$9,Categories!$B$9,IF($E11=Categories!$A$10,Categories!$B$10,IF($E11=Categories!$A$11,Categories!$B$11,IF($E11=Categories!$A$12,Categories!$B$12,IF($E11=Categories!$A$13,Categories!$B$13,IF($E11=Categories!$A$14,Categories!$B$14,IF($E11=Categories!$A$15,Categories!$B$15,IF($E11=Categories!$A$16,Categories!$B$16,IF($E11=Categories!$A$17,Categories!$B$17,IF($E11=Categories!$A$18,Categories!$B$18,IF($E11=Categories!$A$19,Categories!$B$19)))))))))))))))))))</f>
        <v>0</v>
      </c>
      <c r="G11" s="9" t="str">
        <f t="shared" si="0"/>
        <v/>
      </c>
      <c r="H11" s="1" t="str">
        <f t="shared" si="1"/>
        <v/>
      </c>
      <c r="I11" s="1" t="str">
        <f t="shared" si="2"/>
        <v/>
      </c>
      <c r="J11" s="1" t="str">
        <f t="shared" si="3"/>
        <v/>
      </c>
      <c r="K11" s="13" t="str">
        <f t="shared" si="4"/>
        <v/>
      </c>
      <c r="L11" s="9" t="str">
        <f t="shared" si="5"/>
        <v/>
      </c>
      <c r="M11" s="1" t="str">
        <f t="shared" si="6"/>
        <v/>
      </c>
      <c r="N11" s="1" t="str">
        <f t="shared" si="7"/>
        <v/>
      </c>
      <c r="O11" s="1" t="str">
        <f t="shared" si="8"/>
        <v/>
      </c>
      <c r="P11" s="1" t="str">
        <f t="shared" si="9"/>
        <v/>
      </c>
      <c r="Q11" s="1" t="str">
        <f t="shared" si="10"/>
        <v/>
      </c>
      <c r="R11" s="1" t="str">
        <f t="shared" si="11"/>
        <v/>
      </c>
      <c r="S11" s="1" t="str">
        <f t="shared" si="12"/>
        <v/>
      </c>
      <c r="T11" s="1" t="str">
        <f t="shared" si="13"/>
        <v/>
      </c>
      <c r="U11" s="1" t="str">
        <f t="shared" si="14"/>
        <v/>
      </c>
      <c r="V11" s="1" t="str">
        <f t="shared" si="15"/>
        <v/>
      </c>
      <c r="W11" s="26" t="str">
        <f t="shared" si="16"/>
        <v/>
      </c>
      <c r="X11" s="13" t="str">
        <f t="shared" si="17"/>
        <v/>
      </c>
      <c r="Y11" s="9">
        <f t="shared" si="18"/>
        <v>0</v>
      </c>
    </row>
    <row r="12" spans="1:25" x14ac:dyDescent="0.25">
      <c r="A12" s="28"/>
      <c r="B12" s="29"/>
      <c r="C12" s="30"/>
      <c r="D12" s="31"/>
      <c r="E12" s="29" t="s">
        <v>16</v>
      </c>
      <c r="F12" s="13" t="b">
        <f>IF($E12=Categories!$A$1,"",IF($E12=Categories!$A$2,Categories!$B$2,IF($E12=Categories!$A$3,Categories!$B$3,IF($E12=Categories!$A$4,Categories!$B$4,IF($E12=Categories!$A$5,Categories!$B$5,IF($E12=Categories!$A$6,Categories!$B$6,IF($E12=Categories!$A$7,Categories!$B$7,IF($E12=Categories!$A$8,Categories!$B$8,IF($E12=Categories!$A$9,Categories!$B$9,IF($E12=Categories!$A$10,Categories!$B$10,IF($E12=Categories!$A$11,Categories!$B$11,IF($E12=Categories!$A$12,Categories!$B$12,IF($E12=Categories!$A$13,Categories!$B$13,IF($E12=Categories!$A$14,Categories!$B$14,IF($E12=Categories!$A$15,Categories!$B$15,IF($E12=Categories!$A$16,Categories!$B$16,IF($E12=Categories!$A$17,Categories!$B$17,IF($E12=Categories!$A$18,Categories!$B$18,IF($E12=Categories!$A$19,Categories!$B$19)))))))))))))))))))</f>
        <v>0</v>
      </c>
      <c r="G12" s="9" t="str">
        <f t="shared" si="0"/>
        <v/>
      </c>
      <c r="H12" s="1" t="str">
        <f t="shared" si="1"/>
        <v/>
      </c>
      <c r="I12" s="1" t="str">
        <f t="shared" si="2"/>
        <v/>
      </c>
      <c r="J12" s="1" t="str">
        <f t="shared" si="3"/>
        <v/>
      </c>
      <c r="K12" s="13" t="str">
        <f t="shared" si="4"/>
        <v/>
      </c>
      <c r="L12" s="9" t="str">
        <f t="shared" si="5"/>
        <v/>
      </c>
      <c r="M12" s="1" t="str">
        <f t="shared" si="6"/>
        <v/>
      </c>
      <c r="N12" s="1" t="str">
        <f t="shared" si="7"/>
        <v/>
      </c>
      <c r="O12" s="1" t="str">
        <f t="shared" si="8"/>
        <v/>
      </c>
      <c r="P12" s="1" t="str">
        <f t="shared" si="9"/>
        <v/>
      </c>
      <c r="Q12" s="1" t="str">
        <f t="shared" si="10"/>
        <v/>
      </c>
      <c r="R12" s="1" t="str">
        <f t="shared" si="11"/>
        <v/>
      </c>
      <c r="S12" s="1" t="str">
        <f t="shared" si="12"/>
        <v/>
      </c>
      <c r="T12" s="1" t="str">
        <f t="shared" si="13"/>
        <v/>
      </c>
      <c r="U12" s="1" t="str">
        <f t="shared" si="14"/>
        <v/>
      </c>
      <c r="V12" s="1" t="str">
        <f t="shared" si="15"/>
        <v/>
      </c>
      <c r="W12" s="26" t="str">
        <f t="shared" si="16"/>
        <v/>
      </c>
      <c r="X12" s="13" t="str">
        <f t="shared" si="17"/>
        <v/>
      </c>
      <c r="Y12" s="9">
        <f t="shared" si="18"/>
        <v>0</v>
      </c>
    </row>
    <row r="13" spans="1:25" x14ac:dyDescent="0.25">
      <c r="A13" s="28"/>
      <c r="B13" s="29"/>
      <c r="C13" s="30"/>
      <c r="D13" s="31"/>
      <c r="E13" s="29" t="s">
        <v>16</v>
      </c>
      <c r="F13" s="13" t="b">
        <f>IF($E13=Categories!$A$1,"",IF($E13=Categories!$A$2,Categories!$B$2,IF($E13=Categories!$A$3,Categories!$B$3,IF($E13=Categories!$A$4,Categories!$B$4,IF($E13=Categories!$A$5,Categories!$B$5,IF($E13=Categories!$A$6,Categories!$B$6,IF($E13=Categories!$A$7,Categories!$B$7,IF($E13=Categories!$A$8,Categories!$B$8,IF($E13=Categories!$A$9,Categories!$B$9,IF($E13=Categories!$A$10,Categories!$B$10,IF($E13=Categories!$A$11,Categories!$B$11,IF($E13=Categories!$A$12,Categories!$B$12,IF($E13=Categories!$A$13,Categories!$B$13,IF($E13=Categories!$A$14,Categories!$B$14,IF($E13=Categories!$A$15,Categories!$B$15,IF($E13=Categories!$A$16,Categories!$B$16,IF($E13=Categories!$A$17,Categories!$B$17,IF($E13=Categories!$A$18,Categories!$B$18,IF($E13=Categories!$A$19,Categories!$B$19)))))))))))))))))))</f>
        <v>0</v>
      </c>
      <c r="G13" s="9" t="str">
        <f t="shared" si="0"/>
        <v/>
      </c>
      <c r="H13" s="1" t="str">
        <f t="shared" si="1"/>
        <v/>
      </c>
      <c r="I13" s="1" t="str">
        <f t="shared" si="2"/>
        <v/>
      </c>
      <c r="J13" s="1" t="str">
        <f t="shared" si="3"/>
        <v/>
      </c>
      <c r="K13" s="13" t="str">
        <f t="shared" si="4"/>
        <v/>
      </c>
      <c r="L13" s="9" t="str">
        <f t="shared" si="5"/>
        <v/>
      </c>
      <c r="M13" s="1" t="str">
        <f t="shared" si="6"/>
        <v/>
      </c>
      <c r="N13" s="1" t="str">
        <f t="shared" si="7"/>
        <v/>
      </c>
      <c r="O13" s="1" t="str">
        <f t="shared" si="8"/>
        <v/>
      </c>
      <c r="P13" s="1" t="str">
        <f t="shared" si="9"/>
        <v/>
      </c>
      <c r="Q13" s="1" t="str">
        <f t="shared" si="10"/>
        <v/>
      </c>
      <c r="R13" s="1" t="str">
        <f t="shared" si="11"/>
        <v/>
      </c>
      <c r="S13" s="1" t="str">
        <f t="shared" si="12"/>
        <v/>
      </c>
      <c r="T13" s="1" t="str">
        <f t="shared" si="13"/>
        <v/>
      </c>
      <c r="U13" s="1" t="str">
        <f t="shared" si="14"/>
        <v/>
      </c>
      <c r="V13" s="1" t="str">
        <f t="shared" si="15"/>
        <v/>
      </c>
      <c r="W13" s="26" t="str">
        <f t="shared" si="16"/>
        <v/>
      </c>
      <c r="X13" s="13" t="str">
        <f t="shared" si="17"/>
        <v/>
      </c>
      <c r="Y13" s="9">
        <f t="shared" si="18"/>
        <v>0</v>
      </c>
    </row>
    <row r="14" spans="1:25" x14ac:dyDescent="0.25">
      <c r="A14" s="28"/>
      <c r="B14" s="29"/>
      <c r="C14" s="30"/>
      <c r="D14" s="31"/>
      <c r="E14" s="29" t="s">
        <v>16</v>
      </c>
      <c r="F14" s="13" t="b">
        <f>IF($E14=Categories!$A$1,"",IF($E14=Categories!$A$2,Categories!$B$2,IF($E14=Categories!$A$3,Categories!$B$3,IF($E14=Categories!$A$4,Categories!$B$4,IF($E14=Categories!$A$5,Categories!$B$5,IF($E14=Categories!$A$6,Categories!$B$6,IF($E14=Categories!$A$7,Categories!$B$7,IF($E14=Categories!$A$8,Categories!$B$8,IF($E14=Categories!$A$9,Categories!$B$9,IF($E14=Categories!$A$10,Categories!$B$10,IF($E14=Categories!$A$11,Categories!$B$11,IF($E14=Categories!$A$12,Categories!$B$12,IF($E14=Categories!$A$13,Categories!$B$13,IF($E14=Categories!$A$14,Categories!$B$14,IF($E14=Categories!$A$15,Categories!$B$15,IF($E14=Categories!$A$16,Categories!$B$16,IF($E14=Categories!$A$17,Categories!$B$17,IF($E14=Categories!$A$18,Categories!$B$18,IF($E14=Categories!$A$19,Categories!$B$19)))))))))))))))))))</f>
        <v>0</v>
      </c>
      <c r="G14" s="9" t="str">
        <f t="shared" si="0"/>
        <v/>
      </c>
      <c r="H14" s="1" t="str">
        <f t="shared" si="1"/>
        <v/>
      </c>
      <c r="I14" s="1" t="str">
        <f t="shared" si="2"/>
        <v/>
      </c>
      <c r="J14" s="1" t="str">
        <f t="shared" si="3"/>
        <v/>
      </c>
      <c r="K14" s="13" t="str">
        <f t="shared" si="4"/>
        <v/>
      </c>
      <c r="L14" s="9" t="str">
        <f t="shared" si="5"/>
        <v/>
      </c>
      <c r="M14" s="1" t="str">
        <f t="shared" si="6"/>
        <v/>
      </c>
      <c r="N14" s="1" t="str">
        <f t="shared" si="7"/>
        <v/>
      </c>
      <c r="O14" s="1" t="str">
        <f t="shared" si="8"/>
        <v/>
      </c>
      <c r="P14" s="1" t="str">
        <f t="shared" si="9"/>
        <v/>
      </c>
      <c r="Q14" s="1" t="str">
        <f t="shared" si="10"/>
        <v/>
      </c>
      <c r="R14" s="1" t="str">
        <f t="shared" si="11"/>
        <v/>
      </c>
      <c r="S14" s="1" t="str">
        <f t="shared" si="12"/>
        <v/>
      </c>
      <c r="T14" s="1" t="str">
        <f t="shared" si="13"/>
        <v/>
      </c>
      <c r="U14" s="1" t="str">
        <f t="shared" si="14"/>
        <v/>
      </c>
      <c r="V14" s="1" t="str">
        <f t="shared" si="15"/>
        <v/>
      </c>
      <c r="W14" s="26" t="str">
        <f t="shared" si="16"/>
        <v/>
      </c>
      <c r="X14" s="13" t="str">
        <f t="shared" si="17"/>
        <v/>
      </c>
      <c r="Y14" s="9">
        <f t="shared" si="18"/>
        <v>0</v>
      </c>
    </row>
    <row r="15" spans="1:25" x14ac:dyDescent="0.25">
      <c r="A15" s="28"/>
      <c r="B15" s="29"/>
      <c r="C15" s="30"/>
      <c r="D15" s="31"/>
      <c r="E15" s="29" t="s">
        <v>16</v>
      </c>
      <c r="F15" s="13" t="b">
        <f>IF($E15=Categories!$A$1,"",IF($E15=Categories!$A$2,Categories!$B$2,IF($E15=Categories!$A$3,Categories!$B$3,IF($E15=Categories!$A$4,Categories!$B$4,IF($E15=Categories!$A$5,Categories!$B$5,IF($E15=Categories!$A$6,Categories!$B$6,IF($E15=Categories!$A$7,Categories!$B$7,IF($E15=Categories!$A$8,Categories!$B$8,IF($E15=Categories!$A$9,Categories!$B$9,IF($E15=Categories!$A$10,Categories!$B$10,IF($E15=Categories!$A$11,Categories!$B$11,IF($E15=Categories!$A$12,Categories!$B$12,IF($E15=Categories!$A$13,Categories!$B$13,IF($E15=Categories!$A$14,Categories!$B$14,IF($E15=Categories!$A$15,Categories!$B$15,IF($E15=Categories!$A$16,Categories!$B$16,IF($E15=Categories!$A$17,Categories!$B$17,IF($E15=Categories!$A$18,Categories!$B$18,IF($E15=Categories!$A$19,Categories!$B$19)))))))))))))))))))</f>
        <v>0</v>
      </c>
      <c r="G15" s="9" t="str">
        <f t="shared" si="0"/>
        <v/>
      </c>
      <c r="H15" s="1" t="str">
        <f t="shared" si="1"/>
        <v/>
      </c>
      <c r="I15" s="1" t="str">
        <f t="shared" si="2"/>
        <v/>
      </c>
      <c r="J15" s="1" t="str">
        <f t="shared" si="3"/>
        <v/>
      </c>
      <c r="K15" s="13" t="str">
        <f t="shared" si="4"/>
        <v/>
      </c>
      <c r="L15" s="9" t="str">
        <f t="shared" si="5"/>
        <v/>
      </c>
      <c r="M15" s="1" t="str">
        <f t="shared" si="6"/>
        <v/>
      </c>
      <c r="N15" s="1" t="str">
        <f t="shared" si="7"/>
        <v/>
      </c>
      <c r="O15" s="1" t="str">
        <f t="shared" si="8"/>
        <v/>
      </c>
      <c r="P15" s="1" t="str">
        <f t="shared" si="9"/>
        <v/>
      </c>
      <c r="Q15" s="1" t="str">
        <f t="shared" si="10"/>
        <v/>
      </c>
      <c r="R15" s="1" t="str">
        <f t="shared" si="11"/>
        <v/>
      </c>
      <c r="S15" s="1" t="str">
        <f t="shared" si="12"/>
        <v/>
      </c>
      <c r="T15" s="1" t="str">
        <f t="shared" si="13"/>
        <v/>
      </c>
      <c r="U15" s="1" t="str">
        <f t="shared" si="14"/>
        <v/>
      </c>
      <c r="V15" s="1" t="str">
        <f t="shared" si="15"/>
        <v/>
      </c>
      <c r="W15" s="26" t="str">
        <f t="shared" si="16"/>
        <v/>
      </c>
      <c r="X15" s="13" t="str">
        <f t="shared" si="17"/>
        <v/>
      </c>
      <c r="Y15" s="9">
        <f t="shared" si="18"/>
        <v>0</v>
      </c>
    </row>
    <row r="16" spans="1:25" x14ac:dyDescent="0.25">
      <c r="A16" s="28"/>
      <c r="B16" s="29"/>
      <c r="C16" s="30"/>
      <c r="D16" s="31"/>
      <c r="E16" s="29" t="s">
        <v>16</v>
      </c>
      <c r="F16" s="13" t="b">
        <f>IF($E16=Categories!$A$1,"",IF($E16=Categories!$A$2,Categories!$B$2,IF($E16=Categories!$A$3,Categories!$B$3,IF($E16=Categories!$A$4,Categories!$B$4,IF($E16=Categories!$A$5,Categories!$B$5,IF($E16=Categories!$A$6,Categories!$B$6,IF($E16=Categories!$A$7,Categories!$B$7,IF($E16=Categories!$A$8,Categories!$B$8,IF($E16=Categories!$A$9,Categories!$B$9,IF($E16=Categories!$A$10,Categories!$B$10,IF($E16=Categories!$A$11,Categories!$B$11,IF($E16=Categories!$A$12,Categories!$B$12,IF($E16=Categories!$A$13,Categories!$B$13,IF($E16=Categories!$A$14,Categories!$B$14,IF($E16=Categories!$A$15,Categories!$B$15,IF($E16=Categories!$A$16,Categories!$B$16,IF($E16=Categories!$A$17,Categories!$B$17,IF($E16=Categories!$A$18,Categories!$B$18,IF($E16=Categories!$A$19,Categories!$B$19)))))))))))))))))))</f>
        <v>0</v>
      </c>
      <c r="G16" s="9" t="str">
        <f t="shared" si="0"/>
        <v/>
      </c>
      <c r="H16" s="1" t="str">
        <f t="shared" si="1"/>
        <v/>
      </c>
      <c r="I16" s="1" t="str">
        <f t="shared" si="2"/>
        <v/>
      </c>
      <c r="J16" s="1" t="str">
        <f t="shared" si="3"/>
        <v/>
      </c>
      <c r="K16" s="13" t="str">
        <f t="shared" si="4"/>
        <v/>
      </c>
      <c r="L16" s="9" t="str">
        <f t="shared" si="5"/>
        <v/>
      </c>
      <c r="M16" s="1" t="str">
        <f t="shared" si="6"/>
        <v/>
      </c>
      <c r="N16" s="1" t="str">
        <f t="shared" si="7"/>
        <v/>
      </c>
      <c r="O16" s="1" t="str">
        <f t="shared" si="8"/>
        <v/>
      </c>
      <c r="P16" s="1" t="str">
        <f t="shared" si="9"/>
        <v/>
      </c>
      <c r="Q16" s="1" t="str">
        <f t="shared" si="10"/>
        <v/>
      </c>
      <c r="R16" s="1" t="str">
        <f t="shared" si="11"/>
        <v/>
      </c>
      <c r="S16" s="1" t="str">
        <f t="shared" si="12"/>
        <v/>
      </c>
      <c r="T16" s="1" t="str">
        <f t="shared" si="13"/>
        <v/>
      </c>
      <c r="U16" s="1" t="str">
        <f t="shared" si="14"/>
        <v/>
      </c>
      <c r="V16" s="1" t="str">
        <f t="shared" si="15"/>
        <v/>
      </c>
      <c r="W16" s="26" t="str">
        <f t="shared" si="16"/>
        <v/>
      </c>
      <c r="X16" s="13" t="str">
        <f t="shared" si="17"/>
        <v/>
      </c>
      <c r="Y16" s="9">
        <f t="shared" si="18"/>
        <v>0</v>
      </c>
    </row>
    <row r="17" spans="1:25" x14ac:dyDescent="0.25">
      <c r="A17" s="28"/>
      <c r="B17" s="29"/>
      <c r="C17" s="30"/>
      <c r="D17" s="31"/>
      <c r="E17" s="29" t="s">
        <v>16</v>
      </c>
      <c r="F17" s="13" t="b">
        <f>IF($E17=Categories!$A$1,"",IF($E17=Categories!$A$2,Categories!$B$2,IF($E17=Categories!$A$3,Categories!$B$3,IF($E17=Categories!$A$4,Categories!$B$4,IF($E17=Categories!$A$5,Categories!$B$5,IF($E17=Categories!$A$6,Categories!$B$6,IF($E17=Categories!$A$7,Categories!$B$7,IF($E17=Categories!$A$8,Categories!$B$8,IF($E17=Categories!$A$9,Categories!$B$9,IF($E17=Categories!$A$10,Categories!$B$10,IF($E17=Categories!$A$11,Categories!$B$11,IF($E17=Categories!$A$12,Categories!$B$12,IF($E17=Categories!$A$13,Categories!$B$13,IF($E17=Categories!$A$14,Categories!$B$14,IF($E17=Categories!$A$15,Categories!$B$15,IF($E17=Categories!$A$16,Categories!$B$16,IF($E17=Categories!$A$17,Categories!$B$17,IF($E17=Categories!$A$18,Categories!$B$18,IF($E17=Categories!$A$19,Categories!$B$19)))))))))))))))))))</f>
        <v>0</v>
      </c>
      <c r="G17" s="9" t="str">
        <f t="shared" si="0"/>
        <v/>
      </c>
      <c r="H17" s="1" t="str">
        <f t="shared" si="1"/>
        <v/>
      </c>
      <c r="I17" s="1" t="str">
        <f t="shared" si="2"/>
        <v/>
      </c>
      <c r="J17" s="1" t="str">
        <f t="shared" si="3"/>
        <v/>
      </c>
      <c r="K17" s="13" t="str">
        <f t="shared" si="4"/>
        <v/>
      </c>
      <c r="L17" s="9" t="str">
        <f t="shared" si="5"/>
        <v/>
      </c>
      <c r="M17" s="1" t="str">
        <f t="shared" si="6"/>
        <v/>
      </c>
      <c r="N17" s="1" t="str">
        <f t="shared" si="7"/>
        <v/>
      </c>
      <c r="O17" s="1" t="str">
        <f t="shared" si="8"/>
        <v/>
      </c>
      <c r="P17" s="1" t="str">
        <f t="shared" si="9"/>
        <v/>
      </c>
      <c r="Q17" s="1" t="str">
        <f t="shared" si="10"/>
        <v/>
      </c>
      <c r="R17" s="1" t="str">
        <f t="shared" si="11"/>
        <v/>
      </c>
      <c r="S17" s="1" t="str">
        <f t="shared" si="12"/>
        <v/>
      </c>
      <c r="T17" s="1" t="str">
        <f t="shared" si="13"/>
        <v/>
      </c>
      <c r="U17" s="1" t="str">
        <f t="shared" si="14"/>
        <v/>
      </c>
      <c r="V17" s="1" t="str">
        <f t="shared" si="15"/>
        <v/>
      </c>
      <c r="W17" s="26" t="str">
        <f t="shared" si="16"/>
        <v/>
      </c>
      <c r="X17" s="13" t="str">
        <f t="shared" si="17"/>
        <v/>
      </c>
      <c r="Y17" s="9">
        <f t="shared" si="18"/>
        <v>0</v>
      </c>
    </row>
    <row r="18" spans="1:25" x14ac:dyDescent="0.25">
      <c r="A18" s="28"/>
      <c r="B18" s="29"/>
      <c r="C18" s="30"/>
      <c r="D18" s="31"/>
      <c r="E18" s="29" t="s">
        <v>16</v>
      </c>
      <c r="F18" s="13" t="b">
        <f>IF($E18=Categories!$A$1,"",IF($E18=Categories!$A$2,Categories!$B$2,IF($E18=Categories!$A$3,Categories!$B$3,IF($E18=Categories!$A$4,Categories!$B$4,IF($E18=Categories!$A$5,Categories!$B$5,IF($E18=Categories!$A$6,Categories!$B$6,IF($E18=Categories!$A$7,Categories!$B$7,IF($E18=Categories!$A$8,Categories!$B$8,IF($E18=Categories!$A$9,Categories!$B$9,IF($E18=Categories!$A$10,Categories!$B$10,IF($E18=Categories!$A$11,Categories!$B$11,IF($E18=Categories!$A$12,Categories!$B$12,IF($E18=Categories!$A$13,Categories!$B$13,IF($E18=Categories!$A$14,Categories!$B$14,IF($E18=Categories!$A$15,Categories!$B$15,IF($E18=Categories!$A$16,Categories!$B$16,IF($E18=Categories!$A$17,Categories!$B$17,IF($E18=Categories!$A$18,Categories!$B$18,IF($E18=Categories!$A$19,Categories!$B$19)))))))))))))))))))</f>
        <v>0</v>
      </c>
      <c r="G18" s="9" t="str">
        <f t="shared" si="0"/>
        <v/>
      </c>
      <c r="H18" s="1" t="str">
        <f t="shared" si="1"/>
        <v/>
      </c>
      <c r="I18" s="1" t="str">
        <f t="shared" si="2"/>
        <v/>
      </c>
      <c r="J18" s="1" t="str">
        <f t="shared" si="3"/>
        <v/>
      </c>
      <c r="K18" s="13" t="str">
        <f t="shared" si="4"/>
        <v/>
      </c>
      <c r="L18" s="9" t="str">
        <f t="shared" si="5"/>
        <v/>
      </c>
      <c r="M18" s="1" t="str">
        <f t="shared" si="6"/>
        <v/>
      </c>
      <c r="N18" s="1" t="str">
        <f t="shared" si="7"/>
        <v/>
      </c>
      <c r="O18" s="1" t="str">
        <f t="shared" si="8"/>
        <v/>
      </c>
      <c r="P18" s="1" t="str">
        <f t="shared" si="9"/>
        <v/>
      </c>
      <c r="Q18" s="1" t="str">
        <f t="shared" si="10"/>
        <v/>
      </c>
      <c r="R18" s="1" t="str">
        <f t="shared" si="11"/>
        <v/>
      </c>
      <c r="S18" s="1" t="str">
        <f t="shared" si="12"/>
        <v/>
      </c>
      <c r="T18" s="1" t="str">
        <f t="shared" si="13"/>
        <v/>
      </c>
      <c r="U18" s="1" t="str">
        <f t="shared" si="14"/>
        <v/>
      </c>
      <c r="V18" s="1" t="str">
        <f t="shared" si="15"/>
        <v/>
      </c>
      <c r="W18" s="26" t="str">
        <f t="shared" si="16"/>
        <v/>
      </c>
      <c r="X18" s="13" t="str">
        <f t="shared" si="17"/>
        <v/>
      </c>
      <c r="Y18" s="9">
        <f t="shared" si="18"/>
        <v>0</v>
      </c>
    </row>
    <row r="19" spans="1:25" x14ac:dyDescent="0.25">
      <c r="A19" s="28"/>
      <c r="B19" s="29"/>
      <c r="C19" s="30"/>
      <c r="D19" s="31"/>
      <c r="E19" s="29" t="s">
        <v>16</v>
      </c>
      <c r="F19" s="13" t="b">
        <f>IF($E19=Categories!$A$1,"",IF($E19=Categories!$A$2,Categories!$B$2,IF($E19=Categories!$A$3,Categories!$B$3,IF($E19=Categories!$A$4,Categories!$B$4,IF($E19=Categories!$A$5,Categories!$B$5,IF($E19=Categories!$A$6,Categories!$B$6,IF($E19=Categories!$A$7,Categories!$B$7,IF($E19=Categories!$A$8,Categories!$B$8,IF($E19=Categories!$A$9,Categories!$B$9,IF($E19=Categories!$A$10,Categories!$B$10,IF($E19=Categories!$A$11,Categories!$B$11,IF($E19=Categories!$A$12,Categories!$B$12,IF($E19=Categories!$A$13,Categories!$B$13,IF($E19=Categories!$A$14,Categories!$B$14,IF($E19=Categories!$A$15,Categories!$B$15,IF($E19=Categories!$A$16,Categories!$B$16,IF($E19=Categories!$A$17,Categories!$B$17,IF($E19=Categories!$A$18,Categories!$B$18,IF($E19=Categories!$A$19,Categories!$B$19)))))))))))))))))))</f>
        <v>0</v>
      </c>
      <c r="G19" s="9" t="str">
        <f t="shared" si="0"/>
        <v/>
      </c>
      <c r="H19" s="1" t="str">
        <f t="shared" si="1"/>
        <v/>
      </c>
      <c r="I19" s="1" t="str">
        <f t="shared" si="2"/>
        <v/>
      </c>
      <c r="J19" s="1" t="str">
        <f t="shared" si="3"/>
        <v/>
      </c>
      <c r="K19" s="13" t="str">
        <f t="shared" si="4"/>
        <v/>
      </c>
      <c r="L19" s="9" t="str">
        <f t="shared" si="5"/>
        <v/>
      </c>
      <c r="M19" s="1" t="str">
        <f t="shared" si="6"/>
        <v/>
      </c>
      <c r="N19" s="1" t="str">
        <f t="shared" si="7"/>
        <v/>
      </c>
      <c r="O19" s="1" t="str">
        <f t="shared" si="8"/>
        <v/>
      </c>
      <c r="P19" s="1" t="str">
        <f t="shared" si="9"/>
        <v/>
      </c>
      <c r="Q19" s="1" t="str">
        <f t="shared" si="10"/>
        <v/>
      </c>
      <c r="R19" s="1" t="str">
        <f t="shared" si="11"/>
        <v/>
      </c>
      <c r="S19" s="1" t="str">
        <f t="shared" si="12"/>
        <v/>
      </c>
      <c r="T19" s="1" t="str">
        <f t="shared" si="13"/>
        <v/>
      </c>
      <c r="U19" s="1" t="str">
        <f t="shared" si="14"/>
        <v/>
      </c>
      <c r="V19" s="1" t="str">
        <f t="shared" si="15"/>
        <v/>
      </c>
      <c r="W19" s="26" t="str">
        <f t="shared" si="16"/>
        <v/>
      </c>
      <c r="X19" s="13" t="str">
        <f t="shared" si="17"/>
        <v/>
      </c>
      <c r="Y19" s="9">
        <f t="shared" si="18"/>
        <v>0</v>
      </c>
    </row>
    <row r="20" spans="1:25" x14ac:dyDescent="0.25">
      <c r="A20" s="28"/>
      <c r="B20" s="29"/>
      <c r="C20" s="30"/>
      <c r="D20" s="31"/>
      <c r="E20" s="29" t="s">
        <v>16</v>
      </c>
      <c r="F20" s="13" t="b">
        <f>IF($E20=Categories!$A$1,"",IF($E20=Categories!$A$2,Categories!$B$2,IF($E20=Categories!$A$3,Categories!$B$3,IF($E20=Categories!$A$4,Categories!$B$4,IF($E20=Categories!$A$5,Categories!$B$5,IF($E20=Categories!$A$6,Categories!$B$6,IF($E20=Categories!$A$7,Categories!$B$7,IF($E20=Categories!$A$8,Categories!$B$8,IF($E20=Categories!$A$9,Categories!$B$9,IF($E20=Categories!$A$10,Categories!$B$10,IF($E20=Categories!$A$11,Categories!$B$11,IF($E20=Categories!$A$12,Categories!$B$12,IF($E20=Categories!$A$13,Categories!$B$13,IF($E20=Categories!$A$14,Categories!$B$14,IF($E20=Categories!$A$15,Categories!$B$15,IF($E20=Categories!$A$16,Categories!$B$16,IF($E20=Categories!$A$17,Categories!$B$17,IF($E20=Categories!$A$18,Categories!$B$18,IF($E20=Categories!$A$19,Categories!$B$19)))))))))))))))))))</f>
        <v>0</v>
      </c>
      <c r="G20" s="9" t="str">
        <f t="shared" si="0"/>
        <v/>
      </c>
      <c r="H20" s="1" t="str">
        <f t="shared" si="1"/>
        <v/>
      </c>
      <c r="I20" s="1" t="str">
        <f t="shared" si="2"/>
        <v/>
      </c>
      <c r="J20" s="1" t="str">
        <f t="shared" si="3"/>
        <v/>
      </c>
      <c r="K20" s="13" t="str">
        <f t="shared" si="4"/>
        <v/>
      </c>
      <c r="L20" s="9" t="str">
        <f t="shared" si="5"/>
        <v/>
      </c>
      <c r="M20" s="1" t="str">
        <f t="shared" si="6"/>
        <v/>
      </c>
      <c r="N20" s="1" t="str">
        <f t="shared" si="7"/>
        <v/>
      </c>
      <c r="O20" s="1" t="str">
        <f t="shared" si="8"/>
        <v/>
      </c>
      <c r="P20" s="1" t="str">
        <f t="shared" si="9"/>
        <v/>
      </c>
      <c r="Q20" s="1" t="str">
        <f t="shared" si="10"/>
        <v/>
      </c>
      <c r="R20" s="1" t="str">
        <f t="shared" si="11"/>
        <v/>
      </c>
      <c r="S20" s="1" t="str">
        <f t="shared" si="12"/>
        <v/>
      </c>
      <c r="T20" s="1" t="str">
        <f t="shared" si="13"/>
        <v/>
      </c>
      <c r="U20" s="1" t="str">
        <f t="shared" si="14"/>
        <v/>
      </c>
      <c r="V20" s="1" t="str">
        <f t="shared" si="15"/>
        <v/>
      </c>
      <c r="W20" s="26" t="str">
        <f t="shared" si="16"/>
        <v/>
      </c>
      <c r="X20" s="13" t="str">
        <f t="shared" si="17"/>
        <v/>
      </c>
      <c r="Y20" s="9">
        <f t="shared" si="18"/>
        <v>0</v>
      </c>
    </row>
    <row r="21" spans="1:25" x14ac:dyDescent="0.25">
      <c r="A21" s="28"/>
      <c r="B21" s="29"/>
      <c r="C21" s="30"/>
      <c r="D21" s="31"/>
      <c r="E21" s="29" t="s">
        <v>16</v>
      </c>
      <c r="F21" s="13" t="b">
        <f>IF($E21=Categories!$A$1,"",IF($E21=Categories!$A$2,Categories!$B$2,IF($E21=Categories!$A$3,Categories!$B$3,IF($E21=Categories!$A$4,Categories!$B$4,IF($E21=Categories!$A$5,Categories!$B$5,IF($E21=Categories!$A$6,Categories!$B$6,IF($E21=Categories!$A$7,Categories!$B$7,IF($E21=Categories!$A$8,Categories!$B$8,IF($E21=Categories!$A$9,Categories!$B$9,IF($E21=Categories!$A$10,Categories!$B$10,IF($E21=Categories!$A$11,Categories!$B$11,IF($E21=Categories!$A$12,Categories!$B$12,IF($E21=Categories!$A$13,Categories!$B$13,IF($E21=Categories!$A$14,Categories!$B$14,IF($E21=Categories!$A$15,Categories!$B$15,IF($E21=Categories!$A$16,Categories!$B$16,IF($E21=Categories!$A$17,Categories!$B$17,IF($E21=Categories!$A$18,Categories!$B$18,IF($E21=Categories!$A$19,Categories!$B$19)))))))))))))))))))</f>
        <v>0</v>
      </c>
      <c r="G21" s="9" t="str">
        <f t="shared" si="0"/>
        <v/>
      </c>
      <c r="H21" s="1" t="str">
        <f t="shared" si="1"/>
        <v/>
      </c>
      <c r="I21" s="1" t="str">
        <f t="shared" si="2"/>
        <v/>
      </c>
      <c r="J21" s="1" t="str">
        <f t="shared" si="3"/>
        <v/>
      </c>
      <c r="K21" s="13" t="str">
        <f t="shared" si="4"/>
        <v/>
      </c>
      <c r="L21" s="9" t="str">
        <f t="shared" si="5"/>
        <v/>
      </c>
      <c r="M21" s="1" t="str">
        <f t="shared" si="6"/>
        <v/>
      </c>
      <c r="N21" s="1" t="str">
        <f t="shared" si="7"/>
        <v/>
      </c>
      <c r="O21" s="1" t="str">
        <f t="shared" si="8"/>
        <v/>
      </c>
      <c r="P21" s="1" t="str">
        <f t="shared" si="9"/>
        <v/>
      </c>
      <c r="Q21" s="1" t="str">
        <f t="shared" si="10"/>
        <v/>
      </c>
      <c r="R21" s="1" t="str">
        <f t="shared" si="11"/>
        <v/>
      </c>
      <c r="S21" s="1" t="str">
        <f t="shared" si="12"/>
        <v/>
      </c>
      <c r="T21" s="1" t="str">
        <f t="shared" si="13"/>
        <v/>
      </c>
      <c r="U21" s="1" t="str">
        <f t="shared" si="14"/>
        <v/>
      </c>
      <c r="V21" s="1" t="str">
        <f t="shared" si="15"/>
        <v/>
      </c>
      <c r="W21" s="26" t="str">
        <f t="shared" si="16"/>
        <v/>
      </c>
      <c r="X21" s="13" t="str">
        <f t="shared" si="17"/>
        <v/>
      </c>
      <c r="Y21" s="9">
        <f t="shared" si="18"/>
        <v>0</v>
      </c>
    </row>
    <row r="22" spans="1:25" x14ac:dyDescent="0.25">
      <c r="A22" s="28"/>
      <c r="B22" s="29"/>
      <c r="C22" s="30"/>
      <c r="D22" s="31"/>
      <c r="E22" s="29" t="s">
        <v>16</v>
      </c>
      <c r="F22" s="13" t="b">
        <f>IF($E22=Categories!$A$1,"",IF($E22=Categories!$A$2,Categories!$B$2,IF($E22=Categories!$A$3,Categories!$B$3,IF($E22=Categories!$A$4,Categories!$B$4,IF($E22=Categories!$A$5,Categories!$B$5,IF($E22=Categories!$A$6,Categories!$B$6,IF($E22=Categories!$A$7,Categories!$B$7,IF($E22=Categories!$A$8,Categories!$B$8,IF($E22=Categories!$A$9,Categories!$B$9,IF($E22=Categories!$A$10,Categories!$B$10,IF($E22=Categories!$A$11,Categories!$B$11,IF($E22=Categories!$A$12,Categories!$B$12,IF($E22=Categories!$A$13,Categories!$B$13,IF($E22=Categories!$A$14,Categories!$B$14,IF($E22=Categories!$A$15,Categories!$B$15,IF($E22=Categories!$A$16,Categories!$B$16,IF($E22=Categories!$A$17,Categories!$B$17,IF($E22=Categories!$A$18,Categories!$B$18,IF($E22=Categories!$A$19,Categories!$B$19)))))))))))))))))))</f>
        <v>0</v>
      </c>
      <c r="G22" s="9" t="str">
        <f t="shared" si="0"/>
        <v/>
      </c>
      <c r="H22" s="1" t="str">
        <f t="shared" si="1"/>
        <v/>
      </c>
      <c r="I22" s="1" t="str">
        <f t="shared" si="2"/>
        <v/>
      </c>
      <c r="J22" s="1" t="str">
        <f t="shared" si="3"/>
        <v/>
      </c>
      <c r="K22" s="13" t="str">
        <f t="shared" si="4"/>
        <v/>
      </c>
      <c r="L22" s="9" t="str">
        <f t="shared" si="5"/>
        <v/>
      </c>
      <c r="M22" s="1" t="str">
        <f t="shared" si="6"/>
        <v/>
      </c>
      <c r="N22" s="1" t="str">
        <f t="shared" si="7"/>
        <v/>
      </c>
      <c r="O22" s="1" t="str">
        <f t="shared" si="8"/>
        <v/>
      </c>
      <c r="P22" s="1" t="str">
        <f t="shared" si="9"/>
        <v/>
      </c>
      <c r="Q22" s="1" t="str">
        <f t="shared" si="10"/>
        <v/>
      </c>
      <c r="R22" s="1" t="str">
        <f t="shared" si="11"/>
        <v/>
      </c>
      <c r="S22" s="1" t="str">
        <f t="shared" si="12"/>
        <v/>
      </c>
      <c r="T22" s="1" t="str">
        <f t="shared" si="13"/>
        <v/>
      </c>
      <c r="U22" s="1" t="str">
        <f t="shared" si="14"/>
        <v/>
      </c>
      <c r="V22" s="1" t="str">
        <f t="shared" si="15"/>
        <v/>
      </c>
      <c r="W22" s="26" t="str">
        <f t="shared" si="16"/>
        <v/>
      </c>
      <c r="X22" s="13" t="str">
        <f t="shared" si="17"/>
        <v/>
      </c>
      <c r="Y22" s="9">
        <f t="shared" si="18"/>
        <v>0</v>
      </c>
    </row>
    <row r="23" spans="1:25" x14ac:dyDescent="0.25">
      <c r="A23" s="28"/>
      <c r="B23" s="29"/>
      <c r="C23" s="30"/>
      <c r="D23" s="31"/>
      <c r="E23" s="29" t="s">
        <v>16</v>
      </c>
      <c r="F23" s="13" t="b">
        <f>IF($E23=Categories!$A$1,"",IF($E23=Categories!$A$2,Categories!$B$2,IF($E23=Categories!$A$3,Categories!$B$3,IF($E23=Categories!$A$4,Categories!$B$4,IF($E23=Categories!$A$5,Categories!$B$5,IF($E23=Categories!$A$6,Categories!$B$6,IF($E23=Categories!$A$7,Categories!$B$7,IF($E23=Categories!$A$8,Categories!$B$8,IF($E23=Categories!$A$9,Categories!$B$9,IF($E23=Categories!$A$10,Categories!$B$10,IF($E23=Categories!$A$11,Categories!$B$11,IF($E23=Categories!$A$12,Categories!$B$12,IF($E23=Categories!$A$13,Categories!$B$13,IF($E23=Categories!$A$14,Categories!$B$14,IF($E23=Categories!$A$15,Categories!$B$15,IF($E23=Categories!$A$16,Categories!$B$16,IF($E23=Categories!$A$17,Categories!$B$17,IF($E23=Categories!$A$18,Categories!$B$18,IF($E23=Categories!$A$19,Categories!$B$19)))))))))))))))))))</f>
        <v>0</v>
      </c>
      <c r="G23" s="9" t="str">
        <f t="shared" si="0"/>
        <v/>
      </c>
      <c r="H23" s="1" t="str">
        <f t="shared" si="1"/>
        <v/>
      </c>
      <c r="I23" s="1" t="str">
        <f t="shared" si="2"/>
        <v/>
      </c>
      <c r="J23" s="1" t="str">
        <f t="shared" si="3"/>
        <v/>
      </c>
      <c r="K23" s="13" t="str">
        <f t="shared" si="4"/>
        <v/>
      </c>
      <c r="L23" s="9" t="str">
        <f t="shared" si="5"/>
        <v/>
      </c>
      <c r="M23" s="1" t="str">
        <f t="shared" si="6"/>
        <v/>
      </c>
      <c r="N23" s="1" t="str">
        <f t="shared" si="7"/>
        <v/>
      </c>
      <c r="O23" s="1" t="str">
        <f t="shared" si="8"/>
        <v/>
      </c>
      <c r="P23" s="1" t="str">
        <f t="shared" si="9"/>
        <v/>
      </c>
      <c r="Q23" s="1" t="str">
        <f t="shared" si="10"/>
        <v/>
      </c>
      <c r="R23" s="1" t="str">
        <f t="shared" si="11"/>
        <v/>
      </c>
      <c r="S23" s="1" t="str">
        <f t="shared" si="12"/>
        <v/>
      </c>
      <c r="T23" s="1" t="str">
        <f t="shared" si="13"/>
        <v/>
      </c>
      <c r="U23" s="1" t="str">
        <f t="shared" si="14"/>
        <v/>
      </c>
      <c r="V23" s="1" t="str">
        <f t="shared" si="15"/>
        <v/>
      </c>
      <c r="W23" s="26" t="str">
        <f t="shared" si="16"/>
        <v/>
      </c>
      <c r="X23" s="13" t="str">
        <f t="shared" si="17"/>
        <v/>
      </c>
      <c r="Y23" s="9">
        <f t="shared" si="18"/>
        <v>0</v>
      </c>
    </row>
    <row r="24" spans="1:25" x14ac:dyDescent="0.25">
      <c r="A24" s="28"/>
      <c r="B24" s="29"/>
      <c r="C24" s="30"/>
      <c r="D24" s="31"/>
      <c r="E24" s="29" t="s">
        <v>16</v>
      </c>
      <c r="F24" s="13" t="b">
        <f>IF($E24=Categories!$A$1,"",IF($E24=Categories!$A$2,Categories!$B$2,IF($E24=Categories!$A$3,Categories!$B$3,IF($E24=Categories!$A$4,Categories!$B$4,IF($E24=Categories!$A$5,Categories!$B$5,IF($E24=Categories!$A$6,Categories!$B$6,IF($E24=Categories!$A$7,Categories!$B$7,IF($E24=Categories!$A$8,Categories!$B$8,IF($E24=Categories!$A$9,Categories!$B$9,IF($E24=Categories!$A$10,Categories!$B$10,IF($E24=Categories!$A$11,Categories!$B$11,IF($E24=Categories!$A$12,Categories!$B$12,IF($E24=Categories!$A$13,Categories!$B$13,IF($E24=Categories!$A$14,Categories!$B$14,IF($E24=Categories!$A$15,Categories!$B$15,IF($E24=Categories!$A$16,Categories!$B$16,IF($E24=Categories!$A$17,Categories!$B$17,IF($E24=Categories!$A$18,Categories!$B$18,IF($E24=Categories!$A$19,Categories!$B$19)))))))))))))))))))</f>
        <v>0</v>
      </c>
      <c r="G24" s="9" t="str">
        <f t="shared" si="0"/>
        <v/>
      </c>
      <c r="H24" s="1" t="str">
        <f t="shared" si="1"/>
        <v/>
      </c>
      <c r="I24" s="1" t="str">
        <f t="shared" si="2"/>
        <v/>
      </c>
      <c r="J24" s="1" t="str">
        <f t="shared" si="3"/>
        <v/>
      </c>
      <c r="K24" s="13" t="str">
        <f t="shared" si="4"/>
        <v/>
      </c>
      <c r="L24" s="9" t="str">
        <f t="shared" si="5"/>
        <v/>
      </c>
      <c r="M24" s="1" t="str">
        <f t="shared" si="6"/>
        <v/>
      </c>
      <c r="N24" s="1" t="str">
        <f t="shared" si="7"/>
        <v/>
      </c>
      <c r="O24" s="1" t="str">
        <f t="shared" si="8"/>
        <v/>
      </c>
      <c r="P24" s="1" t="str">
        <f t="shared" si="9"/>
        <v/>
      </c>
      <c r="Q24" s="1" t="str">
        <f t="shared" si="10"/>
        <v/>
      </c>
      <c r="R24" s="1" t="str">
        <f t="shared" si="11"/>
        <v/>
      </c>
      <c r="S24" s="1" t="str">
        <f t="shared" si="12"/>
        <v/>
      </c>
      <c r="T24" s="1" t="str">
        <f t="shared" si="13"/>
        <v/>
      </c>
      <c r="U24" s="1" t="str">
        <f t="shared" si="14"/>
        <v/>
      </c>
      <c r="V24" s="1" t="str">
        <f t="shared" si="15"/>
        <v/>
      </c>
      <c r="W24" s="26" t="str">
        <f t="shared" si="16"/>
        <v/>
      </c>
      <c r="X24" s="13" t="str">
        <f t="shared" si="17"/>
        <v/>
      </c>
      <c r="Y24" s="9">
        <f t="shared" si="18"/>
        <v>0</v>
      </c>
    </row>
    <row r="25" spans="1:25" x14ac:dyDescent="0.25">
      <c r="A25" s="28"/>
      <c r="B25" s="29"/>
      <c r="C25" s="30"/>
      <c r="D25" s="31"/>
      <c r="E25" s="29" t="s">
        <v>16</v>
      </c>
      <c r="F25" s="13" t="b">
        <f>IF($E25=Categories!$A$1,"",IF($E25=Categories!$A$2,Categories!$B$2,IF($E25=Categories!$A$3,Categories!$B$3,IF($E25=Categories!$A$4,Categories!$B$4,IF($E25=Categories!$A$5,Categories!$B$5,IF($E25=Categories!$A$6,Categories!$B$6,IF($E25=Categories!$A$7,Categories!$B$7,IF($E25=Categories!$A$8,Categories!$B$8,IF($E25=Categories!$A$9,Categories!$B$9,IF($E25=Categories!$A$10,Categories!$B$10,IF($E25=Categories!$A$11,Categories!$B$11,IF($E25=Categories!$A$12,Categories!$B$12,IF($E25=Categories!$A$13,Categories!$B$13,IF($E25=Categories!$A$14,Categories!$B$14,IF($E25=Categories!$A$15,Categories!$B$15,IF($E25=Categories!$A$16,Categories!$B$16,IF($E25=Categories!$A$17,Categories!$B$17,IF($E25=Categories!$A$18,Categories!$B$18,IF($E25=Categories!$A$19,Categories!$B$19)))))))))))))))))))</f>
        <v>0</v>
      </c>
      <c r="G25" s="9" t="str">
        <f t="shared" si="0"/>
        <v/>
      </c>
      <c r="H25" s="1" t="str">
        <f t="shared" si="1"/>
        <v/>
      </c>
      <c r="I25" s="1" t="str">
        <f t="shared" si="2"/>
        <v/>
      </c>
      <c r="J25" s="1" t="str">
        <f t="shared" si="3"/>
        <v/>
      </c>
      <c r="K25" s="13" t="str">
        <f t="shared" si="4"/>
        <v/>
      </c>
      <c r="L25" s="9" t="str">
        <f t="shared" si="5"/>
        <v/>
      </c>
      <c r="M25" s="1" t="str">
        <f t="shared" si="6"/>
        <v/>
      </c>
      <c r="N25" s="1" t="str">
        <f t="shared" si="7"/>
        <v/>
      </c>
      <c r="O25" s="1" t="str">
        <f t="shared" si="8"/>
        <v/>
      </c>
      <c r="P25" s="1" t="str">
        <f t="shared" si="9"/>
        <v/>
      </c>
      <c r="Q25" s="1" t="str">
        <f t="shared" si="10"/>
        <v/>
      </c>
      <c r="R25" s="1" t="str">
        <f t="shared" si="11"/>
        <v/>
      </c>
      <c r="S25" s="1" t="str">
        <f t="shared" si="12"/>
        <v/>
      </c>
      <c r="T25" s="1" t="str">
        <f t="shared" si="13"/>
        <v/>
      </c>
      <c r="U25" s="1" t="str">
        <f t="shared" si="14"/>
        <v/>
      </c>
      <c r="V25" s="1" t="str">
        <f t="shared" si="15"/>
        <v/>
      </c>
      <c r="W25" s="26" t="str">
        <f t="shared" si="16"/>
        <v/>
      </c>
      <c r="X25" s="13" t="str">
        <f t="shared" si="17"/>
        <v/>
      </c>
      <c r="Y25" s="9">
        <f t="shared" si="18"/>
        <v>0</v>
      </c>
    </row>
    <row r="26" spans="1:25" x14ac:dyDescent="0.25">
      <c r="A26" s="28"/>
      <c r="B26" s="29"/>
      <c r="C26" s="30"/>
      <c r="D26" s="31"/>
      <c r="E26" s="29" t="s">
        <v>16</v>
      </c>
      <c r="F26" s="13" t="b">
        <f>IF($E26=Categories!$A$1,"",IF($E26=Categories!$A$2,Categories!$B$2,IF($E26=Categories!$A$3,Categories!$B$3,IF($E26=Categories!$A$4,Categories!$B$4,IF($E26=Categories!$A$5,Categories!$B$5,IF($E26=Categories!$A$6,Categories!$B$6,IF($E26=Categories!$A$7,Categories!$B$7,IF($E26=Categories!$A$8,Categories!$B$8,IF($E26=Categories!$A$9,Categories!$B$9,IF($E26=Categories!$A$10,Categories!$B$10,IF($E26=Categories!$A$11,Categories!$B$11,IF($E26=Categories!$A$12,Categories!$B$12,IF($E26=Categories!$A$13,Categories!$B$13,IF($E26=Categories!$A$14,Categories!$B$14,IF($E26=Categories!$A$15,Categories!$B$15,IF($E26=Categories!$A$16,Categories!$B$16,IF($E26=Categories!$A$17,Categories!$B$17,IF($E26=Categories!$A$18,Categories!$B$18,IF($E26=Categories!$A$19,Categories!$B$19)))))))))))))))))))</f>
        <v>0</v>
      </c>
      <c r="G26" s="9" t="str">
        <f t="shared" si="0"/>
        <v/>
      </c>
      <c r="H26" s="1" t="str">
        <f t="shared" si="1"/>
        <v/>
      </c>
      <c r="I26" s="1" t="str">
        <f t="shared" si="2"/>
        <v/>
      </c>
      <c r="J26" s="1" t="str">
        <f t="shared" si="3"/>
        <v/>
      </c>
      <c r="K26" s="13" t="str">
        <f t="shared" si="4"/>
        <v/>
      </c>
      <c r="L26" s="9" t="str">
        <f t="shared" si="5"/>
        <v/>
      </c>
      <c r="M26" s="1" t="str">
        <f t="shared" si="6"/>
        <v/>
      </c>
      <c r="N26" s="1" t="str">
        <f t="shared" si="7"/>
        <v/>
      </c>
      <c r="O26" s="1" t="str">
        <f t="shared" si="8"/>
        <v/>
      </c>
      <c r="P26" s="1" t="str">
        <f t="shared" si="9"/>
        <v/>
      </c>
      <c r="Q26" s="1" t="str">
        <f t="shared" si="10"/>
        <v/>
      </c>
      <c r="R26" s="1" t="str">
        <f t="shared" si="11"/>
        <v/>
      </c>
      <c r="S26" s="1" t="str">
        <f t="shared" si="12"/>
        <v/>
      </c>
      <c r="T26" s="1" t="str">
        <f t="shared" si="13"/>
        <v/>
      </c>
      <c r="U26" s="1" t="str">
        <f t="shared" si="14"/>
        <v/>
      </c>
      <c r="V26" s="1" t="str">
        <f t="shared" si="15"/>
        <v/>
      </c>
      <c r="W26" s="26" t="str">
        <f t="shared" si="16"/>
        <v/>
      </c>
      <c r="X26" s="13" t="str">
        <f t="shared" si="17"/>
        <v/>
      </c>
      <c r="Y26" s="9">
        <f t="shared" si="18"/>
        <v>0</v>
      </c>
    </row>
    <row r="27" spans="1:25" x14ac:dyDescent="0.25">
      <c r="A27" s="28"/>
      <c r="B27" s="29"/>
      <c r="C27" s="30"/>
      <c r="D27" s="31"/>
      <c r="E27" s="29" t="s">
        <v>16</v>
      </c>
      <c r="F27" s="13" t="b">
        <f>IF($E27=Categories!$A$1,"",IF($E27=Categories!$A$2,Categories!$B$2,IF($E27=Categories!$A$3,Categories!$B$3,IF($E27=Categories!$A$4,Categories!$B$4,IF($E27=Categories!$A$5,Categories!$B$5,IF($E27=Categories!$A$6,Categories!$B$6,IF($E27=Categories!$A$7,Categories!$B$7,IF($E27=Categories!$A$8,Categories!$B$8,IF($E27=Categories!$A$9,Categories!$B$9,IF($E27=Categories!$A$10,Categories!$B$10,IF($E27=Categories!$A$11,Categories!$B$11,IF($E27=Categories!$A$12,Categories!$B$12,IF($E27=Categories!$A$13,Categories!$B$13,IF($E27=Categories!$A$14,Categories!$B$14,IF($E27=Categories!$A$15,Categories!$B$15,IF($E27=Categories!$A$16,Categories!$B$16,IF($E27=Categories!$A$17,Categories!$B$17,IF($E27=Categories!$A$18,Categories!$B$18,IF($E27=Categories!$A$19,Categories!$B$19)))))))))))))))))))</f>
        <v>0</v>
      </c>
      <c r="G27" s="9" t="str">
        <f t="shared" si="0"/>
        <v/>
      </c>
      <c r="H27" s="1" t="str">
        <f t="shared" si="1"/>
        <v/>
      </c>
      <c r="I27" s="1" t="str">
        <f t="shared" si="2"/>
        <v/>
      </c>
      <c r="J27" s="1" t="str">
        <f t="shared" si="3"/>
        <v/>
      </c>
      <c r="K27" s="13" t="str">
        <f t="shared" si="4"/>
        <v/>
      </c>
      <c r="L27" s="9" t="str">
        <f t="shared" si="5"/>
        <v/>
      </c>
      <c r="M27" s="1" t="str">
        <f t="shared" si="6"/>
        <v/>
      </c>
      <c r="N27" s="1" t="str">
        <f t="shared" si="7"/>
        <v/>
      </c>
      <c r="O27" s="1" t="str">
        <f t="shared" si="8"/>
        <v/>
      </c>
      <c r="P27" s="1" t="str">
        <f t="shared" si="9"/>
        <v/>
      </c>
      <c r="Q27" s="1" t="str">
        <f t="shared" si="10"/>
        <v/>
      </c>
      <c r="R27" s="1" t="str">
        <f t="shared" si="11"/>
        <v/>
      </c>
      <c r="S27" s="1" t="str">
        <f t="shared" si="12"/>
        <v/>
      </c>
      <c r="T27" s="1" t="str">
        <f t="shared" si="13"/>
        <v/>
      </c>
      <c r="U27" s="1" t="str">
        <f t="shared" si="14"/>
        <v/>
      </c>
      <c r="V27" s="1" t="str">
        <f t="shared" si="15"/>
        <v/>
      </c>
      <c r="W27" s="26" t="str">
        <f t="shared" si="16"/>
        <v/>
      </c>
      <c r="X27" s="13" t="str">
        <f t="shared" si="17"/>
        <v/>
      </c>
      <c r="Y27" s="9">
        <f t="shared" si="18"/>
        <v>0</v>
      </c>
    </row>
    <row r="28" spans="1:25" x14ac:dyDescent="0.25">
      <c r="A28" s="28"/>
      <c r="B28" s="29"/>
      <c r="C28" s="30"/>
      <c r="D28" s="31"/>
      <c r="E28" s="29" t="s">
        <v>16</v>
      </c>
      <c r="F28" s="13" t="b">
        <f>IF($E28=Categories!$A$1,"",IF($E28=Categories!$A$2,Categories!$B$2,IF($E28=Categories!$A$3,Categories!$B$3,IF($E28=Categories!$A$4,Categories!$B$4,IF($E28=Categories!$A$5,Categories!$B$5,IF($E28=Categories!$A$6,Categories!$B$6,IF($E28=Categories!$A$7,Categories!$B$7,IF($E28=Categories!$A$8,Categories!$B$8,IF($E28=Categories!$A$9,Categories!$B$9,IF($E28=Categories!$A$10,Categories!$B$10,IF($E28=Categories!$A$11,Categories!$B$11,IF($E28=Categories!$A$12,Categories!$B$12,IF($E28=Categories!$A$13,Categories!$B$13,IF($E28=Categories!$A$14,Categories!$B$14,IF($E28=Categories!$A$15,Categories!$B$15,IF($E28=Categories!$A$16,Categories!$B$16,IF($E28=Categories!$A$17,Categories!$B$17,IF($E28=Categories!$A$18,Categories!$B$18,IF($E28=Categories!$A$19,Categories!$B$19)))))))))))))))))))</f>
        <v>0</v>
      </c>
      <c r="G28" s="9" t="str">
        <f t="shared" si="0"/>
        <v/>
      </c>
      <c r="H28" s="1" t="str">
        <f t="shared" si="1"/>
        <v/>
      </c>
      <c r="I28" s="1" t="str">
        <f t="shared" si="2"/>
        <v/>
      </c>
      <c r="J28" s="1" t="str">
        <f t="shared" si="3"/>
        <v/>
      </c>
      <c r="K28" s="13" t="str">
        <f t="shared" si="4"/>
        <v/>
      </c>
      <c r="L28" s="9" t="str">
        <f t="shared" si="5"/>
        <v/>
      </c>
      <c r="M28" s="1" t="str">
        <f t="shared" si="6"/>
        <v/>
      </c>
      <c r="N28" s="1" t="str">
        <f t="shared" si="7"/>
        <v/>
      </c>
      <c r="O28" s="1" t="str">
        <f t="shared" si="8"/>
        <v/>
      </c>
      <c r="P28" s="1" t="str">
        <f t="shared" si="9"/>
        <v/>
      </c>
      <c r="Q28" s="1" t="str">
        <f t="shared" si="10"/>
        <v/>
      </c>
      <c r="R28" s="1" t="str">
        <f t="shared" si="11"/>
        <v/>
      </c>
      <c r="S28" s="1" t="str">
        <f t="shared" si="12"/>
        <v/>
      </c>
      <c r="T28" s="1" t="str">
        <f t="shared" si="13"/>
        <v/>
      </c>
      <c r="U28" s="1" t="str">
        <f t="shared" si="14"/>
        <v/>
      </c>
      <c r="V28" s="1" t="str">
        <f t="shared" si="15"/>
        <v/>
      </c>
      <c r="W28" s="26" t="str">
        <f t="shared" si="16"/>
        <v/>
      </c>
      <c r="X28" s="13" t="str">
        <f t="shared" si="17"/>
        <v/>
      </c>
      <c r="Y28" s="9">
        <f t="shared" si="18"/>
        <v>0</v>
      </c>
    </row>
    <row r="29" spans="1:25" x14ac:dyDescent="0.25">
      <c r="A29" s="28"/>
      <c r="B29" s="29"/>
      <c r="C29" s="30"/>
      <c r="D29" s="31"/>
      <c r="E29" s="29" t="s">
        <v>16</v>
      </c>
      <c r="F29" s="13" t="b">
        <f>IF($E29=Categories!$A$1,"",IF($E29=Categories!$A$2,Categories!$B$2,IF($E29=Categories!$A$3,Categories!$B$3,IF($E29=Categories!$A$4,Categories!$B$4,IF($E29=Categories!$A$5,Categories!$B$5,IF($E29=Categories!$A$6,Categories!$B$6,IF($E29=Categories!$A$7,Categories!$B$7,IF($E29=Categories!$A$8,Categories!$B$8,IF($E29=Categories!$A$9,Categories!$B$9,IF($E29=Categories!$A$10,Categories!$B$10,IF($E29=Categories!$A$11,Categories!$B$11,IF($E29=Categories!$A$12,Categories!$B$12,IF($E29=Categories!$A$13,Categories!$B$13,IF($E29=Categories!$A$14,Categories!$B$14,IF($E29=Categories!$A$15,Categories!$B$15,IF($E29=Categories!$A$16,Categories!$B$16,IF($E29=Categories!$A$17,Categories!$B$17,IF($E29=Categories!$A$18,Categories!$B$18,IF($E29=Categories!$A$19,Categories!$B$19)))))))))))))))))))</f>
        <v>0</v>
      </c>
      <c r="G29" s="9" t="str">
        <f t="shared" si="0"/>
        <v/>
      </c>
      <c r="H29" s="1" t="str">
        <f t="shared" si="1"/>
        <v/>
      </c>
      <c r="I29" s="1" t="str">
        <f t="shared" si="2"/>
        <v/>
      </c>
      <c r="J29" s="1" t="str">
        <f t="shared" si="3"/>
        <v/>
      </c>
      <c r="K29" s="13" t="str">
        <f t="shared" si="4"/>
        <v/>
      </c>
      <c r="L29" s="9" t="str">
        <f t="shared" si="5"/>
        <v/>
      </c>
      <c r="M29" s="1" t="str">
        <f t="shared" si="6"/>
        <v/>
      </c>
      <c r="N29" s="1" t="str">
        <f t="shared" si="7"/>
        <v/>
      </c>
      <c r="O29" s="1" t="str">
        <f t="shared" si="8"/>
        <v/>
      </c>
      <c r="P29" s="1" t="str">
        <f t="shared" si="9"/>
        <v/>
      </c>
      <c r="Q29" s="1" t="str">
        <f t="shared" si="10"/>
        <v/>
      </c>
      <c r="R29" s="1" t="str">
        <f t="shared" si="11"/>
        <v/>
      </c>
      <c r="S29" s="1" t="str">
        <f t="shared" si="12"/>
        <v/>
      </c>
      <c r="T29" s="1" t="str">
        <f t="shared" si="13"/>
        <v/>
      </c>
      <c r="U29" s="1" t="str">
        <f t="shared" si="14"/>
        <v/>
      </c>
      <c r="V29" s="1" t="str">
        <f t="shared" si="15"/>
        <v/>
      </c>
      <c r="W29" s="26" t="str">
        <f t="shared" si="16"/>
        <v/>
      </c>
      <c r="X29" s="13" t="str">
        <f t="shared" si="17"/>
        <v/>
      </c>
      <c r="Y29" s="9">
        <f t="shared" si="18"/>
        <v>0</v>
      </c>
    </row>
    <row r="30" spans="1:25" x14ac:dyDescent="0.25">
      <c r="A30" s="28"/>
      <c r="B30" s="29"/>
      <c r="C30" s="30"/>
      <c r="D30" s="31"/>
      <c r="E30" s="29" t="s">
        <v>16</v>
      </c>
      <c r="F30" s="13" t="b">
        <f>IF($E30=Categories!$A$1,"",IF($E30=Categories!$A$2,Categories!$B$2,IF($E30=Categories!$A$3,Categories!$B$3,IF($E30=Categories!$A$4,Categories!$B$4,IF($E30=Categories!$A$5,Categories!$B$5,IF($E30=Categories!$A$6,Categories!$B$6,IF($E30=Categories!$A$7,Categories!$B$7,IF($E30=Categories!$A$8,Categories!$B$8,IF($E30=Categories!$A$9,Categories!$B$9,IF($E30=Categories!$A$10,Categories!$B$10,IF($E30=Categories!$A$11,Categories!$B$11,IF($E30=Categories!$A$12,Categories!$B$12,IF($E30=Categories!$A$13,Categories!$B$13,IF($E30=Categories!$A$14,Categories!$B$14,IF($E30=Categories!$A$15,Categories!$B$15,IF($E30=Categories!$A$16,Categories!$B$16,IF($E30=Categories!$A$17,Categories!$B$17,IF($E30=Categories!$A$18,Categories!$B$18,IF($E30=Categories!$A$19,Categories!$B$19)))))))))))))))))))</f>
        <v>0</v>
      </c>
      <c r="G30" s="9" t="str">
        <f t="shared" si="0"/>
        <v/>
      </c>
      <c r="H30" s="1" t="str">
        <f t="shared" si="1"/>
        <v/>
      </c>
      <c r="I30" s="1" t="str">
        <f t="shared" si="2"/>
        <v/>
      </c>
      <c r="J30" s="1" t="str">
        <f t="shared" si="3"/>
        <v/>
      </c>
      <c r="K30" s="13" t="str">
        <f t="shared" si="4"/>
        <v/>
      </c>
      <c r="L30" s="9" t="str">
        <f t="shared" si="5"/>
        <v/>
      </c>
      <c r="M30" s="1" t="str">
        <f t="shared" si="6"/>
        <v/>
      </c>
      <c r="N30" s="1" t="str">
        <f t="shared" si="7"/>
        <v/>
      </c>
      <c r="O30" s="1" t="str">
        <f t="shared" si="8"/>
        <v/>
      </c>
      <c r="P30" s="1" t="str">
        <f t="shared" si="9"/>
        <v/>
      </c>
      <c r="Q30" s="1" t="str">
        <f t="shared" si="10"/>
        <v/>
      </c>
      <c r="R30" s="1" t="str">
        <f t="shared" si="11"/>
        <v/>
      </c>
      <c r="S30" s="1" t="str">
        <f t="shared" si="12"/>
        <v/>
      </c>
      <c r="T30" s="1" t="str">
        <f t="shared" si="13"/>
        <v/>
      </c>
      <c r="U30" s="1" t="str">
        <f t="shared" si="14"/>
        <v/>
      </c>
      <c r="V30" s="1" t="str">
        <f t="shared" si="15"/>
        <v/>
      </c>
      <c r="W30" s="26" t="str">
        <f t="shared" si="16"/>
        <v/>
      </c>
      <c r="X30" s="13" t="str">
        <f t="shared" si="17"/>
        <v/>
      </c>
      <c r="Y30" s="9">
        <f t="shared" si="18"/>
        <v>0</v>
      </c>
    </row>
    <row r="31" spans="1:25" x14ac:dyDescent="0.25">
      <c r="A31" s="28"/>
      <c r="B31" s="29"/>
      <c r="C31" s="30"/>
      <c r="D31" s="31"/>
      <c r="E31" s="29" t="s">
        <v>16</v>
      </c>
      <c r="F31" s="13" t="b">
        <f>IF($E31=Categories!$A$1,"",IF($E31=Categories!$A$2,Categories!$B$2,IF($E31=Categories!$A$3,Categories!$B$3,IF($E31=Categories!$A$4,Categories!$B$4,IF($E31=Categories!$A$5,Categories!$B$5,IF($E31=Categories!$A$6,Categories!$B$6,IF($E31=Categories!$A$7,Categories!$B$7,IF($E31=Categories!$A$8,Categories!$B$8,IF($E31=Categories!$A$9,Categories!$B$9,IF($E31=Categories!$A$10,Categories!$B$10,IF($E31=Categories!$A$11,Categories!$B$11,IF($E31=Categories!$A$12,Categories!$B$12,IF($E31=Categories!$A$13,Categories!$B$13,IF($E31=Categories!$A$14,Categories!$B$14,IF($E31=Categories!$A$15,Categories!$B$15,IF($E31=Categories!$A$16,Categories!$B$16,IF($E31=Categories!$A$17,Categories!$B$17,IF($E31=Categories!$A$18,Categories!$B$18,IF($E31=Categories!$A$19,Categories!$B$19)))))))))))))))))))</f>
        <v>0</v>
      </c>
      <c r="G31" s="9" t="str">
        <f t="shared" si="0"/>
        <v/>
      </c>
      <c r="H31" s="1" t="str">
        <f t="shared" si="1"/>
        <v/>
      </c>
      <c r="I31" s="1" t="str">
        <f t="shared" si="2"/>
        <v/>
      </c>
      <c r="J31" s="1" t="str">
        <f t="shared" si="3"/>
        <v/>
      </c>
      <c r="K31" s="13" t="str">
        <f t="shared" si="4"/>
        <v/>
      </c>
      <c r="L31" s="9" t="str">
        <f t="shared" si="5"/>
        <v/>
      </c>
      <c r="M31" s="1" t="str">
        <f t="shared" si="6"/>
        <v/>
      </c>
      <c r="N31" s="1" t="str">
        <f t="shared" si="7"/>
        <v/>
      </c>
      <c r="O31" s="1" t="str">
        <f t="shared" si="8"/>
        <v/>
      </c>
      <c r="P31" s="1" t="str">
        <f t="shared" si="9"/>
        <v/>
      </c>
      <c r="Q31" s="1" t="str">
        <f t="shared" si="10"/>
        <v/>
      </c>
      <c r="R31" s="1" t="str">
        <f t="shared" si="11"/>
        <v/>
      </c>
      <c r="S31" s="1" t="str">
        <f t="shared" si="12"/>
        <v/>
      </c>
      <c r="T31" s="1" t="str">
        <f t="shared" si="13"/>
        <v/>
      </c>
      <c r="U31" s="1" t="str">
        <f t="shared" si="14"/>
        <v/>
      </c>
      <c r="V31" s="1" t="str">
        <f t="shared" si="15"/>
        <v/>
      </c>
      <c r="W31" s="26" t="str">
        <f t="shared" si="16"/>
        <v/>
      </c>
      <c r="X31" s="13" t="str">
        <f t="shared" si="17"/>
        <v/>
      </c>
      <c r="Y31" s="9">
        <f t="shared" si="18"/>
        <v>0</v>
      </c>
    </row>
    <row r="32" spans="1:25" x14ac:dyDescent="0.25">
      <c r="A32" s="28"/>
      <c r="B32" s="29"/>
      <c r="C32" s="30"/>
      <c r="D32" s="31"/>
      <c r="E32" s="29" t="s">
        <v>16</v>
      </c>
      <c r="F32" s="13" t="b">
        <f>IF($E32=Categories!$A$1,"",IF($E32=Categories!$A$2,Categories!$B$2,IF($E32=Categories!$A$3,Categories!$B$3,IF($E32=Categories!$A$4,Categories!$B$4,IF($E32=Categories!$A$5,Categories!$B$5,IF($E32=Categories!$A$6,Categories!$B$6,IF($E32=Categories!$A$7,Categories!$B$7,IF($E32=Categories!$A$8,Categories!$B$8,IF($E32=Categories!$A$9,Categories!$B$9,IF($E32=Categories!$A$10,Categories!$B$10,IF($E32=Categories!$A$11,Categories!$B$11,IF($E32=Categories!$A$12,Categories!$B$12,IF($E32=Categories!$A$13,Categories!$B$13,IF($E32=Categories!$A$14,Categories!$B$14,IF($E32=Categories!$A$15,Categories!$B$15,IF($E32=Categories!$A$16,Categories!$B$16,IF($E32=Categories!$A$17,Categories!$B$17,IF($E32=Categories!$A$18,Categories!$B$18,IF($E32=Categories!$A$19,Categories!$B$19)))))))))))))))))))</f>
        <v>0</v>
      </c>
      <c r="G32" s="9" t="str">
        <f t="shared" si="0"/>
        <v/>
      </c>
      <c r="H32" s="1" t="str">
        <f t="shared" si="1"/>
        <v/>
      </c>
      <c r="I32" s="1" t="str">
        <f t="shared" si="2"/>
        <v/>
      </c>
      <c r="J32" s="1" t="str">
        <f t="shared" si="3"/>
        <v/>
      </c>
      <c r="K32" s="13" t="str">
        <f t="shared" si="4"/>
        <v/>
      </c>
      <c r="L32" s="9" t="str">
        <f t="shared" si="5"/>
        <v/>
      </c>
      <c r="M32" s="1" t="str">
        <f t="shared" si="6"/>
        <v/>
      </c>
      <c r="N32" s="1" t="str">
        <f t="shared" si="7"/>
        <v/>
      </c>
      <c r="O32" s="1" t="str">
        <f t="shared" si="8"/>
        <v/>
      </c>
      <c r="P32" s="1" t="str">
        <f t="shared" si="9"/>
        <v/>
      </c>
      <c r="Q32" s="1" t="str">
        <f t="shared" si="10"/>
        <v/>
      </c>
      <c r="R32" s="1" t="str">
        <f t="shared" si="11"/>
        <v/>
      </c>
      <c r="S32" s="1" t="str">
        <f t="shared" si="12"/>
        <v/>
      </c>
      <c r="T32" s="1" t="str">
        <f t="shared" si="13"/>
        <v/>
      </c>
      <c r="U32" s="1" t="str">
        <f t="shared" si="14"/>
        <v/>
      </c>
      <c r="V32" s="1" t="str">
        <f t="shared" si="15"/>
        <v/>
      </c>
      <c r="W32" s="26" t="str">
        <f t="shared" si="16"/>
        <v/>
      </c>
      <c r="X32" s="13" t="str">
        <f t="shared" si="17"/>
        <v/>
      </c>
      <c r="Y32" s="9">
        <f t="shared" si="18"/>
        <v>0</v>
      </c>
    </row>
    <row r="33" spans="1:25" x14ac:dyDescent="0.25">
      <c r="A33" s="28"/>
      <c r="B33" s="29"/>
      <c r="C33" s="30"/>
      <c r="D33" s="31"/>
      <c r="E33" s="29" t="s">
        <v>16</v>
      </c>
      <c r="F33" s="13" t="b">
        <f>IF($E33=Categories!$A$1,"",IF($E33=Categories!$A$2,Categories!$B$2,IF($E33=Categories!$A$3,Categories!$B$3,IF($E33=Categories!$A$4,Categories!$B$4,IF($E33=Categories!$A$5,Categories!$B$5,IF($E33=Categories!$A$6,Categories!$B$6,IF($E33=Categories!$A$7,Categories!$B$7,IF($E33=Categories!$A$8,Categories!$B$8,IF($E33=Categories!$A$9,Categories!$B$9,IF($E33=Categories!$A$10,Categories!$B$10,IF($E33=Categories!$A$11,Categories!$B$11,IF($E33=Categories!$A$12,Categories!$B$12,IF($E33=Categories!$A$13,Categories!$B$13,IF($E33=Categories!$A$14,Categories!$B$14,IF($E33=Categories!$A$15,Categories!$B$15,IF($E33=Categories!$A$16,Categories!$B$16,IF($E33=Categories!$A$17,Categories!$B$17,IF($E33=Categories!$A$18,Categories!$B$18,IF($E33=Categories!$A$19,Categories!$B$19)))))))))))))))))))</f>
        <v>0</v>
      </c>
      <c r="G33" s="9" t="str">
        <f t="shared" si="0"/>
        <v/>
      </c>
      <c r="H33" s="1" t="str">
        <f t="shared" si="1"/>
        <v/>
      </c>
      <c r="I33" s="1" t="str">
        <f t="shared" si="2"/>
        <v/>
      </c>
      <c r="J33" s="1" t="str">
        <f t="shared" si="3"/>
        <v/>
      </c>
      <c r="K33" s="13" t="str">
        <f t="shared" si="4"/>
        <v/>
      </c>
      <c r="L33" s="9" t="str">
        <f t="shared" si="5"/>
        <v/>
      </c>
      <c r="M33" s="1" t="str">
        <f t="shared" si="6"/>
        <v/>
      </c>
      <c r="N33" s="1" t="str">
        <f t="shared" si="7"/>
        <v/>
      </c>
      <c r="O33" s="1" t="str">
        <f t="shared" si="8"/>
        <v/>
      </c>
      <c r="P33" s="1" t="str">
        <f t="shared" si="9"/>
        <v/>
      </c>
      <c r="Q33" s="1" t="str">
        <f t="shared" si="10"/>
        <v/>
      </c>
      <c r="R33" s="1" t="str">
        <f t="shared" si="11"/>
        <v/>
      </c>
      <c r="S33" s="1" t="str">
        <f t="shared" si="12"/>
        <v/>
      </c>
      <c r="T33" s="1" t="str">
        <f t="shared" si="13"/>
        <v/>
      </c>
      <c r="U33" s="1" t="str">
        <f t="shared" si="14"/>
        <v/>
      </c>
      <c r="V33" s="1" t="str">
        <f t="shared" si="15"/>
        <v/>
      </c>
      <c r="W33" s="26" t="str">
        <f t="shared" si="16"/>
        <v/>
      </c>
      <c r="X33" s="13" t="str">
        <f t="shared" si="17"/>
        <v/>
      </c>
      <c r="Y33" s="9">
        <f t="shared" si="18"/>
        <v>0</v>
      </c>
    </row>
    <row r="34" spans="1:25" x14ac:dyDescent="0.25">
      <c r="A34" s="28"/>
      <c r="B34" s="29"/>
      <c r="C34" s="30"/>
      <c r="D34" s="31"/>
      <c r="E34" s="29" t="s">
        <v>16</v>
      </c>
      <c r="F34" s="13" t="b">
        <f>IF($E34=Categories!$A$1,"",IF($E34=Categories!$A$2,Categories!$B$2,IF($E34=Categories!$A$3,Categories!$B$3,IF($E34=Categories!$A$4,Categories!$B$4,IF($E34=Categories!$A$5,Categories!$B$5,IF($E34=Categories!$A$6,Categories!$B$6,IF($E34=Categories!$A$7,Categories!$B$7,IF($E34=Categories!$A$8,Categories!$B$8,IF($E34=Categories!$A$9,Categories!$B$9,IF($E34=Categories!$A$10,Categories!$B$10,IF($E34=Categories!$A$11,Categories!$B$11,IF($E34=Categories!$A$12,Categories!$B$12,IF($E34=Categories!$A$13,Categories!$B$13,IF($E34=Categories!$A$14,Categories!$B$14,IF($E34=Categories!$A$15,Categories!$B$15,IF($E34=Categories!$A$16,Categories!$B$16,IF($E34=Categories!$A$17,Categories!$B$17,IF($E34=Categories!$A$18,Categories!$B$18,IF($E34=Categories!$A$19,Categories!$B$19)))))))))))))))))))</f>
        <v>0</v>
      </c>
      <c r="G34" s="9" t="str">
        <f t="shared" si="0"/>
        <v/>
      </c>
      <c r="H34" s="1" t="str">
        <f t="shared" si="1"/>
        <v/>
      </c>
      <c r="I34" s="1" t="str">
        <f t="shared" si="2"/>
        <v/>
      </c>
      <c r="J34" s="1" t="str">
        <f t="shared" si="3"/>
        <v/>
      </c>
      <c r="K34" s="13" t="str">
        <f t="shared" si="4"/>
        <v/>
      </c>
      <c r="L34" s="9" t="str">
        <f t="shared" si="5"/>
        <v/>
      </c>
      <c r="M34" s="1" t="str">
        <f t="shared" si="6"/>
        <v/>
      </c>
      <c r="N34" s="1" t="str">
        <f t="shared" si="7"/>
        <v/>
      </c>
      <c r="O34" s="1" t="str">
        <f t="shared" si="8"/>
        <v/>
      </c>
      <c r="P34" s="1" t="str">
        <f t="shared" si="9"/>
        <v/>
      </c>
      <c r="Q34" s="1" t="str">
        <f t="shared" si="10"/>
        <v/>
      </c>
      <c r="R34" s="1" t="str">
        <f t="shared" si="11"/>
        <v/>
      </c>
      <c r="S34" s="1" t="str">
        <f t="shared" si="12"/>
        <v/>
      </c>
      <c r="T34" s="1" t="str">
        <f t="shared" si="13"/>
        <v/>
      </c>
      <c r="U34" s="1" t="str">
        <f t="shared" si="14"/>
        <v/>
      </c>
      <c r="V34" s="1" t="str">
        <f t="shared" si="15"/>
        <v/>
      </c>
      <c r="W34" s="26" t="str">
        <f t="shared" si="16"/>
        <v/>
      </c>
      <c r="X34" s="13" t="str">
        <f t="shared" si="17"/>
        <v/>
      </c>
      <c r="Y34" s="9">
        <f t="shared" si="18"/>
        <v>0</v>
      </c>
    </row>
    <row r="35" spans="1:25" x14ac:dyDescent="0.25">
      <c r="A35" s="28"/>
      <c r="B35" s="29"/>
      <c r="C35" s="30"/>
      <c r="D35" s="31"/>
      <c r="E35" s="29" t="s">
        <v>16</v>
      </c>
      <c r="F35" s="13" t="b">
        <f>IF($E35=Categories!$A$1,"",IF($E35=Categories!$A$2,Categories!$B$2,IF($E35=Categories!$A$3,Categories!$B$3,IF($E35=Categories!$A$4,Categories!$B$4,IF($E35=Categories!$A$5,Categories!$B$5,IF($E35=Categories!$A$6,Categories!$B$6,IF($E35=Categories!$A$7,Categories!$B$7,IF($E35=Categories!$A$8,Categories!$B$8,IF($E35=Categories!$A$9,Categories!$B$9,IF($E35=Categories!$A$10,Categories!$B$10,IF($E35=Categories!$A$11,Categories!$B$11,IF($E35=Categories!$A$12,Categories!$B$12,IF($E35=Categories!$A$13,Categories!$B$13,IF($E35=Categories!$A$14,Categories!$B$14,IF($E35=Categories!$A$15,Categories!$B$15,IF($E35=Categories!$A$16,Categories!$B$16,IF($E35=Categories!$A$17,Categories!$B$17,IF($E35=Categories!$A$18,Categories!$B$18,IF($E35=Categories!$A$19,Categories!$B$19)))))))))))))))))))</f>
        <v>0</v>
      </c>
      <c r="G35" s="9" t="str">
        <f t="shared" si="0"/>
        <v/>
      </c>
      <c r="H35" s="1" t="str">
        <f t="shared" si="1"/>
        <v/>
      </c>
      <c r="I35" s="1" t="str">
        <f t="shared" si="2"/>
        <v/>
      </c>
      <c r="J35" s="1" t="str">
        <f t="shared" si="3"/>
        <v/>
      </c>
      <c r="K35" s="13" t="str">
        <f t="shared" si="4"/>
        <v/>
      </c>
      <c r="L35" s="9" t="str">
        <f t="shared" si="5"/>
        <v/>
      </c>
      <c r="M35" s="1" t="str">
        <f t="shared" si="6"/>
        <v/>
      </c>
      <c r="N35" s="1" t="str">
        <f t="shared" si="7"/>
        <v/>
      </c>
      <c r="O35" s="1" t="str">
        <f t="shared" si="8"/>
        <v/>
      </c>
      <c r="P35" s="1" t="str">
        <f t="shared" si="9"/>
        <v/>
      </c>
      <c r="Q35" s="1" t="str">
        <f t="shared" si="10"/>
        <v/>
      </c>
      <c r="R35" s="1" t="str">
        <f t="shared" si="11"/>
        <v/>
      </c>
      <c r="S35" s="1" t="str">
        <f t="shared" si="12"/>
        <v/>
      </c>
      <c r="T35" s="1" t="str">
        <f t="shared" si="13"/>
        <v/>
      </c>
      <c r="U35" s="1" t="str">
        <f t="shared" si="14"/>
        <v/>
      </c>
      <c r="V35" s="1" t="str">
        <f t="shared" si="15"/>
        <v/>
      </c>
      <c r="W35" s="26" t="str">
        <f t="shared" si="16"/>
        <v/>
      </c>
      <c r="X35" s="13" t="str">
        <f t="shared" si="17"/>
        <v/>
      </c>
      <c r="Y35" s="9">
        <f t="shared" si="18"/>
        <v>0</v>
      </c>
    </row>
    <row r="36" spans="1:25" x14ac:dyDescent="0.25">
      <c r="A36" s="28"/>
      <c r="B36" s="29"/>
      <c r="C36" s="30"/>
      <c r="D36" s="31"/>
      <c r="E36" s="29" t="s">
        <v>16</v>
      </c>
      <c r="F36" s="13" t="b">
        <f>IF($E36=Categories!$A$1,"",IF($E36=Categories!$A$2,Categories!$B$2,IF($E36=Categories!$A$3,Categories!$B$3,IF($E36=Categories!$A$4,Categories!$B$4,IF($E36=Categories!$A$5,Categories!$B$5,IF($E36=Categories!$A$6,Categories!$B$6,IF($E36=Categories!$A$7,Categories!$B$7,IF($E36=Categories!$A$8,Categories!$B$8,IF($E36=Categories!$A$9,Categories!$B$9,IF($E36=Categories!$A$10,Categories!$B$10,IF($E36=Categories!$A$11,Categories!$B$11,IF($E36=Categories!$A$12,Categories!$B$12,IF($E36=Categories!$A$13,Categories!$B$13,IF($E36=Categories!$A$14,Categories!$B$14,IF($E36=Categories!$A$15,Categories!$B$15,IF($E36=Categories!$A$16,Categories!$B$16,IF($E36=Categories!$A$17,Categories!$B$17,IF($E36=Categories!$A$18,Categories!$B$18,IF($E36=Categories!$A$19,Categories!$B$19)))))))))))))))))))</f>
        <v>0</v>
      </c>
      <c r="G36" s="9" t="str">
        <f t="shared" si="0"/>
        <v/>
      </c>
      <c r="H36" s="1" t="str">
        <f t="shared" si="1"/>
        <v/>
      </c>
      <c r="I36" s="1" t="str">
        <f t="shared" si="2"/>
        <v/>
      </c>
      <c r="J36" s="1" t="str">
        <f t="shared" si="3"/>
        <v/>
      </c>
      <c r="K36" s="13" t="str">
        <f t="shared" si="4"/>
        <v/>
      </c>
      <c r="L36" s="9" t="str">
        <f t="shared" si="5"/>
        <v/>
      </c>
      <c r="M36" s="1" t="str">
        <f t="shared" si="6"/>
        <v/>
      </c>
      <c r="N36" s="1" t="str">
        <f t="shared" si="7"/>
        <v/>
      </c>
      <c r="O36" s="1" t="str">
        <f t="shared" si="8"/>
        <v/>
      </c>
      <c r="P36" s="1" t="str">
        <f t="shared" si="9"/>
        <v/>
      </c>
      <c r="Q36" s="1" t="str">
        <f t="shared" si="10"/>
        <v/>
      </c>
      <c r="R36" s="1" t="str">
        <f t="shared" si="11"/>
        <v/>
      </c>
      <c r="S36" s="1" t="str">
        <f t="shared" si="12"/>
        <v/>
      </c>
      <c r="T36" s="1" t="str">
        <f t="shared" si="13"/>
        <v/>
      </c>
      <c r="U36" s="1" t="str">
        <f t="shared" si="14"/>
        <v/>
      </c>
      <c r="V36" s="1" t="str">
        <f t="shared" si="15"/>
        <v/>
      </c>
      <c r="W36" s="26" t="str">
        <f t="shared" si="16"/>
        <v/>
      </c>
      <c r="X36" s="13" t="str">
        <f t="shared" si="17"/>
        <v/>
      </c>
      <c r="Y36" s="9">
        <f t="shared" si="18"/>
        <v>0</v>
      </c>
    </row>
    <row r="37" spans="1:25" x14ac:dyDescent="0.25">
      <c r="A37" s="28"/>
      <c r="B37" s="29"/>
      <c r="C37" s="30"/>
      <c r="D37" s="31"/>
      <c r="E37" s="29" t="s">
        <v>16</v>
      </c>
      <c r="F37" s="13" t="b">
        <f>IF($E37=Categories!$A$1,"",IF($E37=Categories!$A$2,Categories!$B$2,IF($E37=Categories!$A$3,Categories!$B$3,IF($E37=Categories!$A$4,Categories!$B$4,IF($E37=Categories!$A$5,Categories!$B$5,IF($E37=Categories!$A$6,Categories!$B$6,IF($E37=Categories!$A$7,Categories!$B$7,IF($E37=Categories!$A$8,Categories!$B$8,IF($E37=Categories!$A$9,Categories!$B$9,IF($E37=Categories!$A$10,Categories!$B$10,IF($E37=Categories!$A$11,Categories!$B$11,IF($E37=Categories!$A$12,Categories!$B$12,IF($E37=Categories!$A$13,Categories!$B$13,IF($E37=Categories!$A$14,Categories!$B$14,IF($E37=Categories!$A$15,Categories!$B$15,IF($E37=Categories!$A$16,Categories!$B$16,IF($E37=Categories!$A$17,Categories!$B$17,IF($E37=Categories!$A$18,Categories!$B$18,IF($E37=Categories!$A$19,Categories!$B$19)))))))))))))))))))</f>
        <v>0</v>
      </c>
      <c r="G37" s="9" t="str">
        <f t="shared" si="0"/>
        <v/>
      </c>
      <c r="H37" s="1" t="str">
        <f t="shared" si="1"/>
        <v/>
      </c>
      <c r="I37" s="1" t="str">
        <f t="shared" si="2"/>
        <v/>
      </c>
      <c r="J37" s="1" t="str">
        <f t="shared" si="3"/>
        <v/>
      </c>
      <c r="K37" s="13" t="str">
        <f t="shared" si="4"/>
        <v/>
      </c>
      <c r="L37" s="9" t="str">
        <f t="shared" si="5"/>
        <v/>
      </c>
      <c r="M37" s="1" t="str">
        <f t="shared" si="6"/>
        <v/>
      </c>
      <c r="N37" s="1" t="str">
        <f t="shared" si="7"/>
        <v/>
      </c>
      <c r="O37" s="1" t="str">
        <f t="shared" si="8"/>
        <v/>
      </c>
      <c r="P37" s="1" t="str">
        <f t="shared" si="9"/>
        <v/>
      </c>
      <c r="Q37" s="1" t="str">
        <f t="shared" si="10"/>
        <v/>
      </c>
      <c r="R37" s="1" t="str">
        <f t="shared" si="11"/>
        <v/>
      </c>
      <c r="S37" s="1" t="str">
        <f t="shared" si="12"/>
        <v/>
      </c>
      <c r="T37" s="1" t="str">
        <f t="shared" si="13"/>
        <v/>
      </c>
      <c r="U37" s="1" t="str">
        <f t="shared" si="14"/>
        <v/>
      </c>
      <c r="V37" s="1" t="str">
        <f t="shared" si="15"/>
        <v/>
      </c>
      <c r="W37" s="26" t="str">
        <f t="shared" si="16"/>
        <v/>
      </c>
      <c r="X37" s="13" t="str">
        <f t="shared" si="17"/>
        <v/>
      </c>
      <c r="Y37" s="9">
        <f t="shared" si="18"/>
        <v>0</v>
      </c>
    </row>
    <row r="38" spans="1:25" x14ac:dyDescent="0.25">
      <c r="A38" s="28"/>
      <c r="B38" s="29"/>
      <c r="C38" s="30"/>
      <c r="D38" s="31"/>
      <c r="E38" s="29" t="s">
        <v>16</v>
      </c>
      <c r="F38" s="13" t="b">
        <f>IF($E38=Categories!$A$1,"",IF($E38=Categories!$A$2,Categories!$B$2,IF($E38=Categories!$A$3,Categories!$B$3,IF($E38=Categories!$A$4,Categories!$B$4,IF($E38=Categories!$A$5,Categories!$B$5,IF($E38=Categories!$A$6,Categories!$B$6,IF($E38=Categories!$A$7,Categories!$B$7,IF($E38=Categories!$A$8,Categories!$B$8,IF($E38=Categories!$A$9,Categories!$B$9,IF($E38=Categories!$A$10,Categories!$B$10,IF($E38=Categories!$A$11,Categories!$B$11,IF($E38=Categories!$A$12,Categories!$B$12,IF($E38=Categories!$A$13,Categories!$B$13,IF($E38=Categories!$A$14,Categories!$B$14,IF($E38=Categories!$A$15,Categories!$B$15,IF($E38=Categories!$A$16,Categories!$B$16,IF($E38=Categories!$A$17,Categories!$B$17,IF($E38=Categories!$A$18,Categories!$B$18,IF($E38=Categories!$A$19,Categories!$B$19)))))))))))))))))))</f>
        <v>0</v>
      </c>
      <c r="G38" s="9" t="str">
        <f t="shared" si="0"/>
        <v/>
      </c>
      <c r="H38" s="1" t="str">
        <f t="shared" si="1"/>
        <v/>
      </c>
      <c r="I38" s="1" t="str">
        <f t="shared" si="2"/>
        <v/>
      </c>
      <c r="J38" s="1" t="str">
        <f t="shared" si="3"/>
        <v/>
      </c>
      <c r="K38" s="13" t="str">
        <f t="shared" si="4"/>
        <v/>
      </c>
      <c r="L38" s="9" t="str">
        <f t="shared" si="5"/>
        <v/>
      </c>
      <c r="M38" s="1" t="str">
        <f t="shared" si="6"/>
        <v/>
      </c>
      <c r="N38" s="1" t="str">
        <f t="shared" si="7"/>
        <v/>
      </c>
      <c r="O38" s="1" t="str">
        <f t="shared" si="8"/>
        <v/>
      </c>
      <c r="P38" s="1" t="str">
        <f t="shared" si="9"/>
        <v/>
      </c>
      <c r="Q38" s="1" t="str">
        <f t="shared" si="10"/>
        <v/>
      </c>
      <c r="R38" s="1" t="str">
        <f t="shared" si="11"/>
        <v/>
      </c>
      <c r="S38" s="1" t="str">
        <f t="shared" si="12"/>
        <v/>
      </c>
      <c r="T38" s="1" t="str">
        <f t="shared" si="13"/>
        <v/>
      </c>
      <c r="U38" s="1" t="str">
        <f t="shared" si="14"/>
        <v/>
      </c>
      <c r="V38" s="1" t="str">
        <f t="shared" si="15"/>
        <v/>
      </c>
      <c r="W38" s="26" t="str">
        <f t="shared" si="16"/>
        <v/>
      </c>
      <c r="X38" s="13" t="str">
        <f t="shared" si="17"/>
        <v/>
      </c>
      <c r="Y38" s="9">
        <f t="shared" si="18"/>
        <v>0</v>
      </c>
    </row>
    <row r="39" spans="1:25" x14ac:dyDescent="0.25">
      <c r="A39" s="28"/>
      <c r="B39" s="29"/>
      <c r="C39" s="30"/>
      <c r="D39" s="31"/>
      <c r="E39" s="29" t="s">
        <v>16</v>
      </c>
      <c r="F39" s="13" t="b">
        <f>IF($E39=Categories!$A$1,"",IF($E39=Categories!$A$2,Categories!$B$2,IF($E39=Categories!$A$3,Categories!$B$3,IF($E39=Categories!$A$4,Categories!$B$4,IF($E39=Categories!$A$5,Categories!$B$5,IF($E39=Categories!$A$6,Categories!$B$6,IF($E39=Categories!$A$7,Categories!$B$7,IF($E39=Categories!$A$8,Categories!$B$8,IF($E39=Categories!$A$9,Categories!$B$9,IF($E39=Categories!$A$10,Categories!$B$10,IF($E39=Categories!$A$11,Categories!$B$11,IF($E39=Categories!$A$12,Categories!$B$12,IF($E39=Categories!$A$13,Categories!$B$13,IF($E39=Categories!$A$14,Categories!$B$14,IF($E39=Categories!$A$15,Categories!$B$15,IF($E39=Categories!$A$16,Categories!$B$16,IF($E39=Categories!$A$17,Categories!$B$17,IF($E39=Categories!$A$18,Categories!$B$18,IF($E39=Categories!$A$19,Categories!$B$19)))))))))))))))))))</f>
        <v>0</v>
      </c>
      <c r="G39" s="9" t="str">
        <f t="shared" si="0"/>
        <v/>
      </c>
      <c r="H39" s="1" t="str">
        <f t="shared" si="1"/>
        <v/>
      </c>
      <c r="I39" s="1" t="str">
        <f t="shared" si="2"/>
        <v/>
      </c>
      <c r="J39" s="1" t="str">
        <f t="shared" si="3"/>
        <v/>
      </c>
      <c r="K39" s="13" t="str">
        <f t="shared" si="4"/>
        <v/>
      </c>
      <c r="L39" s="9" t="str">
        <f t="shared" si="5"/>
        <v/>
      </c>
      <c r="M39" s="1" t="str">
        <f t="shared" si="6"/>
        <v/>
      </c>
      <c r="N39" s="1" t="str">
        <f t="shared" si="7"/>
        <v/>
      </c>
      <c r="O39" s="1" t="str">
        <f t="shared" si="8"/>
        <v/>
      </c>
      <c r="P39" s="1" t="str">
        <f t="shared" si="9"/>
        <v/>
      </c>
      <c r="Q39" s="1" t="str">
        <f t="shared" si="10"/>
        <v/>
      </c>
      <c r="R39" s="1" t="str">
        <f t="shared" si="11"/>
        <v/>
      </c>
      <c r="S39" s="1" t="str">
        <f t="shared" si="12"/>
        <v/>
      </c>
      <c r="T39" s="1" t="str">
        <f t="shared" si="13"/>
        <v/>
      </c>
      <c r="U39" s="1" t="str">
        <f t="shared" si="14"/>
        <v/>
      </c>
      <c r="V39" s="1" t="str">
        <f t="shared" si="15"/>
        <v/>
      </c>
      <c r="W39" s="26" t="str">
        <f t="shared" si="16"/>
        <v/>
      </c>
      <c r="X39" s="13" t="str">
        <f t="shared" si="17"/>
        <v/>
      </c>
      <c r="Y39" s="9">
        <f t="shared" si="18"/>
        <v>0</v>
      </c>
    </row>
    <row r="40" spans="1:25" x14ac:dyDescent="0.25">
      <c r="A40" s="28"/>
      <c r="B40" s="29"/>
      <c r="C40" s="30"/>
      <c r="D40" s="31"/>
      <c r="E40" s="29" t="s">
        <v>16</v>
      </c>
      <c r="F40" s="13" t="b">
        <f>IF($E40=Categories!$A$1,"",IF($E40=Categories!$A$2,Categories!$B$2,IF($E40=Categories!$A$3,Categories!$B$3,IF($E40=Categories!$A$4,Categories!$B$4,IF($E40=Categories!$A$5,Categories!$B$5,IF($E40=Categories!$A$6,Categories!$B$6,IF($E40=Categories!$A$7,Categories!$B$7,IF($E40=Categories!$A$8,Categories!$B$8,IF($E40=Categories!$A$9,Categories!$B$9,IF($E40=Categories!$A$10,Categories!$B$10,IF($E40=Categories!$A$11,Categories!$B$11,IF($E40=Categories!$A$12,Categories!$B$12,IF($E40=Categories!$A$13,Categories!$B$13,IF($E40=Categories!$A$14,Categories!$B$14,IF($E40=Categories!$A$15,Categories!$B$15,IF($E40=Categories!$A$16,Categories!$B$16,IF($E40=Categories!$A$17,Categories!$B$17,IF($E40=Categories!$A$18,Categories!$B$18,IF($E40=Categories!$A$19,Categories!$B$19)))))))))))))))))))</f>
        <v>0</v>
      </c>
      <c r="G40" s="9" t="str">
        <f t="shared" si="0"/>
        <v/>
      </c>
      <c r="H40" s="1" t="str">
        <f t="shared" si="1"/>
        <v/>
      </c>
      <c r="I40" s="1" t="str">
        <f t="shared" si="2"/>
        <v/>
      </c>
      <c r="J40" s="1" t="str">
        <f t="shared" si="3"/>
        <v/>
      </c>
      <c r="K40" s="13" t="str">
        <f t="shared" si="4"/>
        <v/>
      </c>
      <c r="L40" s="9" t="str">
        <f t="shared" si="5"/>
        <v/>
      </c>
      <c r="M40" s="1" t="str">
        <f t="shared" si="6"/>
        <v/>
      </c>
      <c r="N40" s="1" t="str">
        <f t="shared" si="7"/>
        <v/>
      </c>
      <c r="O40" s="1" t="str">
        <f t="shared" si="8"/>
        <v/>
      </c>
      <c r="P40" s="1" t="str">
        <f t="shared" si="9"/>
        <v/>
      </c>
      <c r="Q40" s="1" t="str">
        <f t="shared" si="10"/>
        <v/>
      </c>
      <c r="R40" s="1" t="str">
        <f t="shared" si="11"/>
        <v/>
      </c>
      <c r="S40" s="1" t="str">
        <f t="shared" si="12"/>
        <v/>
      </c>
      <c r="T40" s="1" t="str">
        <f t="shared" si="13"/>
        <v/>
      </c>
      <c r="U40" s="1" t="str">
        <f t="shared" si="14"/>
        <v/>
      </c>
      <c r="V40" s="1" t="str">
        <f t="shared" si="15"/>
        <v/>
      </c>
      <c r="W40" s="26" t="str">
        <f t="shared" si="16"/>
        <v/>
      </c>
      <c r="X40" s="13" t="str">
        <f t="shared" si="17"/>
        <v/>
      </c>
      <c r="Y40" s="9">
        <f t="shared" si="18"/>
        <v>0</v>
      </c>
    </row>
    <row r="41" spans="1:25" x14ac:dyDescent="0.25">
      <c r="A41" s="28"/>
      <c r="B41" s="29"/>
      <c r="C41" s="30"/>
      <c r="D41" s="31"/>
      <c r="E41" s="29" t="s">
        <v>16</v>
      </c>
      <c r="F41" s="13" t="b">
        <f>IF($E41=Categories!$A$1,"",IF($E41=Categories!$A$2,Categories!$B$2,IF($E41=Categories!$A$3,Categories!$B$3,IF($E41=Categories!$A$4,Categories!$B$4,IF($E41=Categories!$A$5,Categories!$B$5,IF($E41=Categories!$A$6,Categories!$B$6,IF($E41=Categories!$A$7,Categories!$B$7,IF($E41=Categories!$A$8,Categories!$B$8,IF($E41=Categories!$A$9,Categories!$B$9,IF($E41=Categories!$A$10,Categories!$B$10,IF($E41=Categories!$A$11,Categories!$B$11,IF($E41=Categories!$A$12,Categories!$B$12,IF($E41=Categories!$A$13,Categories!$B$13,IF($E41=Categories!$A$14,Categories!$B$14,IF($E41=Categories!$A$15,Categories!$B$15,IF($E41=Categories!$A$16,Categories!$B$16,IF($E41=Categories!$A$17,Categories!$B$17,IF($E41=Categories!$A$18,Categories!$B$18,IF($E41=Categories!$A$19,Categories!$B$19)))))))))))))))))))</f>
        <v>0</v>
      </c>
      <c r="G41" s="9" t="str">
        <f t="shared" si="0"/>
        <v/>
      </c>
      <c r="H41" s="1" t="str">
        <f t="shared" si="1"/>
        <v/>
      </c>
      <c r="I41" s="1" t="str">
        <f t="shared" si="2"/>
        <v/>
      </c>
      <c r="J41" s="1" t="str">
        <f t="shared" si="3"/>
        <v/>
      </c>
      <c r="K41" s="13" t="str">
        <f t="shared" si="4"/>
        <v/>
      </c>
      <c r="L41" s="9" t="str">
        <f t="shared" si="5"/>
        <v/>
      </c>
      <c r="M41" s="1" t="str">
        <f t="shared" si="6"/>
        <v/>
      </c>
      <c r="N41" s="1" t="str">
        <f t="shared" si="7"/>
        <v/>
      </c>
      <c r="O41" s="1" t="str">
        <f t="shared" si="8"/>
        <v/>
      </c>
      <c r="P41" s="1" t="str">
        <f t="shared" si="9"/>
        <v/>
      </c>
      <c r="Q41" s="1" t="str">
        <f t="shared" si="10"/>
        <v/>
      </c>
      <c r="R41" s="1" t="str">
        <f t="shared" si="11"/>
        <v/>
      </c>
      <c r="S41" s="1" t="str">
        <f t="shared" si="12"/>
        <v/>
      </c>
      <c r="T41" s="1" t="str">
        <f t="shared" si="13"/>
        <v/>
      </c>
      <c r="U41" s="1" t="str">
        <f t="shared" si="14"/>
        <v/>
      </c>
      <c r="V41" s="1" t="str">
        <f t="shared" si="15"/>
        <v/>
      </c>
      <c r="W41" s="26" t="str">
        <f t="shared" si="16"/>
        <v/>
      </c>
      <c r="X41" s="13" t="str">
        <f t="shared" si="17"/>
        <v/>
      </c>
      <c r="Y41" s="9">
        <f t="shared" si="18"/>
        <v>0</v>
      </c>
    </row>
    <row r="42" spans="1:25" x14ac:dyDescent="0.25">
      <c r="A42" s="28"/>
      <c r="B42" s="29"/>
      <c r="C42" s="30"/>
      <c r="D42" s="31"/>
      <c r="E42" s="29" t="s">
        <v>16</v>
      </c>
      <c r="F42" s="13" t="b">
        <f>IF($E42=Categories!$A$1,"",IF($E42=Categories!$A$2,Categories!$B$2,IF($E42=Categories!$A$3,Categories!$B$3,IF($E42=Categories!$A$4,Categories!$B$4,IF($E42=Categories!$A$5,Categories!$B$5,IF($E42=Categories!$A$6,Categories!$B$6,IF($E42=Categories!$A$7,Categories!$B$7,IF($E42=Categories!$A$8,Categories!$B$8,IF($E42=Categories!$A$9,Categories!$B$9,IF($E42=Categories!$A$10,Categories!$B$10,IF($E42=Categories!$A$11,Categories!$B$11,IF($E42=Categories!$A$12,Categories!$B$12,IF($E42=Categories!$A$13,Categories!$B$13,IF($E42=Categories!$A$14,Categories!$B$14,IF($E42=Categories!$A$15,Categories!$B$15,IF($E42=Categories!$A$16,Categories!$B$16,IF($E42=Categories!$A$17,Categories!$B$17,IF($E42=Categories!$A$18,Categories!$B$18,IF($E42=Categories!$A$19,Categories!$B$19)))))))))))))))))))</f>
        <v>0</v>
      </c>
      <c r="G42" s="9" t="str">
        <f t="shared" si="0"/>
        <v/>
      </c>
      <c r="H42" s="1" t="str">
        <f t="shared" si="1"/>
        <v/>
      </c>
      <c r="I42" s="1" t="str">
        <f t="shared" si="2"/>
        <v/>
      </c>
      <c r="J42" s="1" t="str">
        <f t="shared" si="3"/>
        <v/>
      </c>
      <c r="K42" s="13" t="str">
        <f t="shared" si="4"/>
        <v/>
      </c>
      <c r="L42" s="9" t="str">
        <f t="shared" si="5"/>
        <v/>
      </c>
      <c r="M42" s="1" t="str">
        <f t="shared" si="6"/>
        <v/>
      </c>
      <c r="N42" s="1" t="str">
        <f t="shared" si="7"/>
        <v/>
      </c>
      <c r="O42" s="1" t="str">
        <f t="shared" si="8"/>
        <v/>
      </c>
      <c r="P42" s="1" t="str">
        <f t="shared" si="9"/>
        <v/>
      </c>
      <c r="Q42" s="1" t="str">
        <f t="shared" si="10"/>
        <v/>
      </c>
      <c r="R42" s="1" t="str">
        <f t="shared" si="11"/>
        <v/>
      </c>
      <c r="S42" s="1" t="str">
        <f t="shared" si="12"/>
        <v/>
      </c>
      <c r="T42" s="1" t="str">
        <f t="shared" si="13"/>
        <v/>
      </c>
      <c r="U42" s="1" t="str">
        <f t="shared" si="14"/>
        <v/>
      </c>
      <c r="V42" s="1" t="str">
        <f t="shared" si="15"/>
        <v/>
      </c>
      <c r="W42" s="26" t="str">
        <f t="shared" si="16"/>
        <v/>
      </c>
      <c r="X42" s="13" t="str">
        <f t="shared" si="17"/>
        <v/>
      </c>
      <c r="Y42" s="9">
        <f t="shared" si="18"/>
        <v>0</v>
      </c>
    </row>
    <row r="43" spans="1:25" x14ac:dyDescent="0.25">
      <c r="A43" s="28"/>
      <c r="B43" s="29"/>
      <c r="C43" s="30"/>
      <c r="D43" s="31"/>
      <c r="E43" s="29" t="s">
        <v>16</v>
      </c>
      <c r="F43" s="13" t="b">
        <f>IF($E43=Categories!$A$1,"",IF($E43=Categories!$A$2,Categories!$B$2,IF($E43=Categories!$A$3,Categories!$B$3,IF($E43=Categories!$A$4,Categories!$B$4,IF($E43=Categories!$A$5,Categories!$B$5,IF($E43=Categories!$A$6,Categories!$B$6,IF($E43=Categories!$A$7,Categories!$B$7,IF($E43=Categories!$A$8,Categories!$B$8,IF($E43=Categories!$A$9,Categories!$B$9,IF($E43=Categories!$A$10,Categories!$B$10,IF($E43=Categories!$A$11,Categories!$B$11,IF($E43=Categories!$A$12,Categories!$B$12,IF($E43=Categories!$A$13,Categories!$B$13,IF($E43=Categories!$A$14,Categories!$B$14,IF($E43=Categories!$A$15,Categories!$B$15,IF($E43=Categories!$A$16,Categories!$B$16,IF($E43=Categories!$A$17,Categories!$B$17,IF($E43=Categories!$A$18,Categories!$B$18,IF($E43=Categories!$A$19,Categories!$B$19)))))))))))))))))))</f>
        <v>0</v>
      </c>
      <c r="G43" s="9" t="str">
        <f t="shared" si="0"/>
        <v/>
      </c>
      <c r="H43" s="1" t="str">
        <f t="shared" si="1"/>
        <v/>
      </c>
      <c r="I43" s="1" t="str">
        <f t="shared" si="2"/>
        <v/>
      </c>
      <c r="J43" s="1" t="str">
        <f t="shared" si="3"/>
        <v/>
      </c>
      <c r="K43" s="13" t="str">
        <f t="shared" si="4"/>
        <v/>
      </c>
      <c r="L43" s="9" t="str">
        <f t="shared" si="5"/>
        <v/>
      </c>
      <c r="M43" s="1" t="str">
        <f t="shared" si="6"/>
        <v/>
      </c>
      <c r="N43" s="1" t="str">
        <f t="shared" si="7"/>
        <v/>
      </c>
      <c r="O43" s="1" t="str">
        <f t="shared" si="8"/>
        <v/>
      </c>
      <c r="P43" s="1" t="str">
        <f t="shared" si="9"/>
        <v/>
      </c>
      <c r="Q43" s="1" t="str">
        <f t="shared" si="10"/>
        <v/>
      </c>
      <c r="R43" s="1" t="str">
        <f t="shared" si="11"/>
        <v/>
      </c>
      <c r="S43" s="1" t="str">
        <f t="shared" si="12"/>
        <v/>
      </c>
      <c r="T43" s="1" t="str">
        <f t="shared" si="13"/>
        <v/>
      </c>
      <c r="U43" s="1" t="str">
        <f t="shared" si="14"/>
        <v/>
      </c>
      <c r="V43" s="1" t="str">
        <f t="shared" si="15"/>
        <v/>
      </c>
      <c r="W43" s="26" t="str">
        <f t="shared" si="16"/>
        <v/>
      </c>
      <c r="X43" s="13" t="str">
        <f t="shared" si="17"/>
        <v/>
      </c>
      <c r="Y43" s="9">
        <f t="shared" si="18"/>
        <v>0</v>
      </c>
    </row>
    <row r="44" spans="1:25" x14ac:dyDescent="0.25">
      <c r="A44" s="28"/>
      <c r="B44" s="29"/>
      <c r="C44" s="30"/>
      <c r="D44" s="31"/>
      <c r="E44" s="29" t="s">
        <v>16</v>
      </c>
      <c r="F44" s="13" t="b">
        <f>IF($E44=Categories!$A$1,"",IF($E44=Categories!$A$2,Categories!$B$2,IF($E44=Categories!$A$3,Categories!$B$3,IF($E44=Categories!$A$4,Categories!$B$4,IF($E44=Categories!$A$5,Categories!$B$5,IF($E44=Categories!$A$6,Categories!$B$6,IF($E44=Categories!$A$7,Categories!$B$7,IF($E44=Categories!$A$8,Categories!$B$8,IF($E44=Categories!$A$9,Categories!$B$9,IF($E44=Categories!$A$10,Categories!$B$10,IF($E44=Categories!$A$11,Categories!$B$11,IF($E44=Categories!$A$12,Categories!$B$12,IF($E44=Categories!$A$13,Categories!$B$13,IF($E44=Categories!$A$14,Categories!$B$14,IF($E44=Categories!$A$15,Categories!$B$15,IF($E44=Categories!$A$16,Categories!$B$16,IF($E44=Categories!$A$17,Categories!$B$17,IF($E44=Categories!$A$18,Categories!$B$18,IF($E44=Categories!$A$19,Categories!$B$19)))))))))))))))))))</f>
        <v>0</v>
      </c>
      <c r="G44" s="9" t="str">
        <f t="shared" si="0"/>
        <v/>
      </c>
      <c r="H44" s="1" t="str">
        <f t="shared" si="1"/>
        <v/>
      </c>
      <c r="I44" s="1" t="str">
        <f t="shared" si="2"/>
        <v/>
      </c>
      <c r="J44" s="1" t="str">
        <f t="shared" si="3"/>
        <v/>
      </c>
      <c r="K44" s="13" t="str">
        <f t="shared" si="4"/>
        <v/>
      </c>
      <c r="L44" s="9" t="str">
        <f t="shared" si="5"/>
        <v/>
      </c>
      <c r="M44" s="1" t="str">
        <f t="shared" si="6"/>
        <v/>
      </c>
      <c r="N44" s="1" t="str">
        <f t="shared" si="7"/>
        <v/>
      </c>
      <c r="O44" s="1" t="str">
        <f t="shared" si="8"/>
        <v/>
      </c>
      <c r="P44" s="1" t="str">
        <f t="shared" si="9"/>
        <v/>
      </c>
      <c r="Q44" s="1" t="str">
        <f t="shared" si="10"/>
        <v/>
      </c>
      <c r="R44" s="1" t="str">
        <f t="shared" si="11"/>
        <v/>
      </c>
      <c r="S44" s="1" t="str">
        <f t="shared" si="12"/>
        <v/>
      </c>
      <c r="T44" s="1" t="str">
        <f t="shared" si="13"/>
        <v/>
      </c>
      <c r="U44" s="1" t="str">
        <f t="shared" si="14"/>
        <v/>
      </c>
      <c r="V44" s="1" t="str">
        <f t="shared" si="15"/>
        <v/>
      </c>
      <c r="W44" s="26" t="str">
        <f t="shared" si="16"/>
        <v/>
      </c>
      <c r="X44" s="13" t="str">
        <f t="shared" si="17"/>
        <v/>
      </c>
      <c r="Y44" s="9">
        <f t="shared" si="18"/>
        <v>0</v>
      </c>
    </row>
    <row r="45" spans="1:25" x14ac:dyDescent="0.25">
      <c r="A45" s="28"/>
      <c r="B45" s="29"/>
      <c r="C45" s="30"/>
      <c r="D45" s="31"/>
      <c r="E45" s="29" t="s">
        <v>16</v>
      </c>
      <c r="F45" s="13" t="b">
        <f>IF($E45=Categories!$A$1,"",IF($E45=Categories!$A$2,Categories!$B$2,IF($E45=Categories!$A$3,Categories!$B$3,IF($E45=Categories!$A$4,Categories!$B$4,IF($E45=Categories!$A$5,Categories!$B$5,IF($E45=Categories!$A$6,Categories!$B$6,IF($E45=Categories!$A$7,Categories!$B$7,IF($E45=Categories!$A$8,Categories!$B$8,IF($E45=Categories!$A$9,Categories!$B$9,IF($E45=Categories!$A$10,Categories!$B$10,IF($E45=Categories!$A$11,Categories!$B$11,IF($E45=Categories!$A$12,Categories!$B$12,IF($E45=Categories!$A$13,Categories!$B$13,IF($E45=Categories!$A$14,Categories!$B$14,IF($E45=Categories!$A$15,Categories!$B$15,IF($E45=Categories!$A$16,Categories!$B$16,IF($E45=Categories!$A$17,Categories!$B$17,IF($E45=Categories!$A$18,Categories!$B$18,IF($E45=Categories!$A$19,Categories!$B$19)))))))))))))))))))</f>
        <v>0</v>
      </c>
      <c r="G45" s="9" t="str">
        <f t="shared" si="0"/>
        <v/>
      </c>
      <c r="H45" s="1" t="str">
        <f t="shared" si="1"/>
        <v/>
      </c>
      <c r="I45" s="1" t="str">
        <f t="shared" si="2"/>
        <v/>
      </c>
      <c r="J45" s="1" t="str">
        <f t="shared" si="3"/>
        <v/>
      </c>
      <c r="K45" s="13" t="str">
        <f t="shared" si="4"/>
        <v/>
      </c>
      <c r="L45" s="9" t="str">
        <f t="shared" si="5"/>
        <v/>
      </c>
      <c r="M45" s="1" t="str">
        <f t="shared" si="6"/>
        <v/>
      </c>
      <c r="N45" s="1" t="str">
        <f t="shared" si="7"/>
        <v/>
      </c>
      <c r="O45" s="1" t="str">
        <f t="shared" si="8"/>
        <v/>
      </c>
      <c r="P45" s="1" t="str">
        <f t="shared" si="9"/>
        <v/>
      </c>
      <c r="Q45" s="1" t="str">
        <f t="shared" si="10"/>
        <v/>
      </c>
      <c r="R45" s="1" t="str">
        <f t="shared" si="11"/>
        <v/>
      </c>
      <c r="S45" s="1" t="str">
        <f t="shared" si="12"/>
        <v/>
      </c>
      <c r="T45" s="1" t="str">
        <f t="shared" si="13"/>
        <v/>
      </c>
      <c r="U45" s="1" t="str">
        <f t="shared" si="14"/>
        <v/>
      </c>
      <c r="V45" s="1" t="str">
        <f t="shared" si="15"/>
        <v/>
      </c>
      <c r="W45" s="26" t="str">
        <f t="shared" si="16"/>
        <v/>
      </c>
      <c r="X45" s="13" t="str">
        <f t="shared" si="17"/>
        <v/>
      </c>
      <c r="Y45" s="9">
        <f t="shared" si="18"/>
        <v>0</v>
      </c>
    </row>
    <row r="46" spans="1:25" x14ac:dyDescent="0.25">
      <c r="A46" s="28"/>
      <c r="B46" s="29"/>
      <c r="C46" s="30"/>
      <c r="D46" s="31"/>
      <c r="E46" s="29" t="s">
        <v>16</v>
      </c>
      <c r="F46" s="13" t="b">
        <f>IF($E46=Categories!$A$1,"",IF($E46=Categories!$A$2,Categories!$B$2,IF($E46=Categories!$A$3,Categories!$B$3,IF($E46=Categories!$A$4,Categories!$B$4,IF($E46=Categories!$A$5,Categories!$B$5,IF($E46=Categories!$A$6,Categories!$B$6,IF($E46=Categories!$A$7,Categories!$B$7,IF($E46=Categories!$A$8,Categories!$B$8,IF($E46=Categories!$A$9,Categories!$B$9,IF($E46=Categories!$A$10,Categories!$B$10,IF($E46=Categories!$A$11,Categories!$B$11,IF($E46=Categories!$A$12,Categories!$B$12,IF($E46=Categories!$A$13,Categories!$B$13,IF($E46=Categories!$A$14,Categories!$B$14,IF($E46=Categories!$A$15,Categories!$B$15,IF($E46=Categories!$A$16,Categories!$B$16,IF($E46=Categories!$A$17,Categories!$B$17,IF($E46=Categories!$A$18,Categories!$B$18,IF($E46=Categories!$A$19,Categories!$B$19)))))))))))))))))))</f>
        <v>0</v>
      </c>
      <c r="G46" s="9" t="str">
        <f t="shared" si="0"/>
        <v/>
      </c>
      <c r="H46" s="1" t="str">
        <f t="shared" si="1"/>
        <v/>
      </c>
      <c r="I46" s="1" t="str">
        <f t="shared" si="2"/>
        <v/>
      </c>
      <c r="J46" s="1" t="str">
        <f t="shared" si="3"/>
        <v/>
      </c>
      <c r="K46" s="13" t="str">
        <f t="shared" si="4"/>
        <v/>
      </c>
      <c r="L46" s="9" t="str">
        <f t="shared" si="5"/>
        <v/>
      </c>
      <c r="M46" s="1" t="str">
        <f t="shared" si="6"/>
        <v/>
      </c>
      <c r="N46" s="1" t="str">
        <f t="shared" si="7"/>
        <v/>
      </c>
      <c r="O46" s="1" t="str">
        <f t="shared" si="8"/>
        <v/>
      </c>
      <c r="P46" s="1" t="str">
        <f t="shared" si="9"/>
        <v/>
      </c>
      <c r="Q46" s="1" t="str">
        <f t="shared" si="10"/>
        <v/>
      </c>
      <c r="R46" s="1" t="str">
        <f t="shared" si="11"/>
        <v/>
      </c>
      <c r="S46" s="1" t="str">
        <f t="shared" si="12"/>
        <v/>
      </c>
      <c r="T46" s="1" t="str">
        <f t="shared" si="13"/>
        <v/>
      </c>
      <c r="U46" s="1" t="str">
        <f t="shared" si="14"/>
        <v/>
      </c>
      <c r="V46" s="1" t="str">
        <f t="shared" si="15"/>
        <v/>
      </c>
      <c r="W46" s="26" t="str">
        <f t="shared" si="16"/>
        <v/>
      </c>
      <c r="X46" s="13" t="str">
        <f t="shared" si="17"/>
        <v/>
      </c>
      <c r="Y46" s="9">
        <f t="shared" si="18"/>
        <v>0</v>
      </c>
    </row>
    <row r="47" spans="1:25" x14ac:dyDescent="0.25">
      <c r="A47" s="28"/>
      <c r="B47" s="29"/>
      <c r="C47" s="30"/>
      <c r="D47" s="31"/>
      <c r="E47" s="29" t="s">
        <v>16</v>
      </c>
      <c r="F47" s="13" t="b">
        <f>IF($E47=Categories!$A$1,"",IF($E47=Categories!$A$2,Categories!$B$2,IF($E47=Categories!$A$3,Categories!$B$3,IF($E47=Categories!$A$4,Categories!$B$4,IF($E47=Categories!$A$5,Categories!$B$5,IF($E47=Categories!$A$6,Categories!$B$6,IF($E47=Categories!$A$7,Categories!$B$7,IF($E47=Categories!$A$8,Categories!$B$8,IF($E47=Categories!$A$9,Categories!$B$9,IF($E47=Categories!$A$10,Categories!$B$10,IF($E47=Categories!$A$11,Categories!$B$11,IF($E47=Categories!$A$12,Categories!$B$12,IF($E47=Categories!$A$13,Categories!$B$13,IF($E47=Categories!$A$14,Categories!$B$14,IF($E47=Categories!$A$15,Categories!$B$15,IF($E47=Categories!$A$16,Categories!$B$16,IF($E47=Categories!$A$17,Categories!$B$17,IF($E47=Categories!$A$18,Categories!$B$18,IF($E47=Categories!$A$19,Categories!$B$19)))))))))))))))))))</f>
        <v>0</v>
      </c>
      <c r="G47" s="9" t="str">
        <f t="shared" si="0"/>
        <v/>
      </c>
      <c r="H47" s="1" t="str">
        <f t="shared" si="1"/>
        <v/>
      </c>
      <c r="I47" s="1" t="str">
        <f t="shared" si="2"/>
        <v/>
      </c>
      <c r="J47" s="1" t="str">
        <f t="shared" si="3"/>
        <v/>
      </c>
      <c r="K47" s="13" t="str">
        <f t="shared" si="4"/>
        <v/>
      </c>
      <c r="L47" s="9" t="str">
        <f t="shared" si="5"/>
        <v/>
      </c>
      <c r="M47" s="1" t="str">
        <f t="shared" si="6"/>
        <v/>
      </c>
      <c r="N47" s="1" t="str">
        <f t="shared" si="7"/>
        <v/>
      </c>
      <c r="O47" s="1" t="str">
        <f t="shared" si="8"/>
        <v/>
      </c>
      <c r="P47" s="1" t="str">
        <f t="shared" si="9"/>
        <v/>
      </c>
      <c r="Q47" s="1" t="str">
        <f t="shared" si="10"/>
        <v/>
      </c>
      <c r="R47" s="1" t="str">
        <f t="shared" si="11"/>
        <v/>
      </c>
      <c r="S47" s="1" t="str">
        <f t="shared" si="12"/>
        <v/>
      </c>
      <c r="T47" s="1" t="str">
        <f t="shared" si="13"/>
        <v/>
      </c>
      <c r="U47" s="1" t="str">
        <f t="shared" si="14"/>
        <v/>
      </c>
      <c r="V47" s="1" t="str">
        <f t="shared" si="15"/>
        <v/>
      </c>
      <c r="W47" s="26" t="str">
        <f t="shared" si="16"/>
        <v/>
      </c>
      <c r="X47" s="13" t="str">
        <f t="shared" si="17"/>
        <v/>
      </c>
      <c r="Y47" s="9">
        <f t="shared" si="18"/>
        <v>0</v>
      </c>
    </row>
    <row r="48" spans="1:25" x14ac:dyDescent="0.25">
      <c r="A48" s="28"/>
      <c r="B48" s="29"/>
      <c r="C48" s="30"/>
      <c r="D48" s="31"/>
      <c r="E48" s="29" t="s">
        <v>16</v>
      </c>
      <c r="F48" s="13" t="b">
        <f>IF($E48=Categories!$A$1,"",IF($E48=Categories!$A$2,Categories!$B$2,IF($E48=Categories!$A$3,Categories!$B$3,IF($E48=Categories!$A$4,Categories!$B$4,IF($E48=Categories!$A$5,Categories!$B$5,IF($E48=Categories!$A$6,Categories!$B$6,IF($E48=Categories!$A$7,Categories!$B$7,IF($E48=Categories!$A$8,Categories!$B$8,IF($E48=Categories!$A$9,Categories!$B$9,IF($E48=Categories!$A$10,Categories!$B$10,IF($E48=Categories!$A$11,Categories!$B$11,IF($E48=Categories!$A$12,Categories!$B$12,IF($E48=Categories!$A$13,Categories!$B$13,IF($E48=Categories!$A$14,Categories!$B$14,IF($E48=Categories!$A$15,Categories!$B$15,IF($E48=Categories!$A$16,Categories!$B$16,IF($E48=Categories!$A$17,Categories!$B$17,IF($E48=Categories!$A$18,Categories!$B$18,IF($E48=Categories!$A$19,Categories!$B$19)))))))))))))))))))</f>
        <v>0</v>
      </c>
      <c r="G48" s="9" t="str">
        <f t="shared" si="0"/>
        <v/>
      </c>
      <c r="H48" s="1" t="str">
        <f t="shared" si="1"/>
        <v/>
      </c>
      <c r="I48" s="1" t="str">
        <f t="shared" si="2"/>
        <v/>
      </c>
      <c r="J48" s="1" t="str">
        <f t="shared" si="3"/>
        <v/>
      </c>
      <c r="K48" s="13" t="str">
        <f t="shared" si="4"/>
        <v/>
      </c>
      <c r="L48" s="9" t="str">
        <f t="shared" si="5"/>
        <v/>
      </c>
      <c r="M48" s="1" t="str">
        <f t="shared" si="6"/>
        <v/>
      </c>
      <c r="N48" s="1" t="str">
        <f t="shared" si="7"/>
        <v/>
      </c>
      <c r="O48" s="1" t="str">
        <f t="shared" si="8"/>
        <v/>
      </c>
      <c r="P48" s="1" t="str">
        <f t="shared" si="9"/>
        <v/>
      </c>
      <c r="Q48" s="1" t="str">
        <f t="shared" si="10"/>
        <v/>
      </c>
      <c r="R48" s="1" t="str">
        <f t="shared" si="11"/>
        <v/>
      </c>
      <c r="S48" s="1" t="str">
        <f t="shared" si="12"/>
        <v/>
      </c>
      <c r="T48" s="1" t="str">
        <f t="shared" si="13"/>
        <v/>
      </c>
      <c r="U48" s="1" t="str">
        <f t="shared" si="14"/>
        <v/>
      </c>
      <c r="V48" s="1" t="str">
        <f t="shared" si="15"/>
        <v/>
      </c>
      <c r="W48" s="26" t="str">
        <f t="shared" si="16"/>
        <v/>
      </c>
      <c r="X48" s="13" t="str">
        <f t="shared" si="17"/>
        <v/>
      </c>
      <c r="Y48" s="9">
        <f t="shared" si="18"/>
        <v>0</v>
      </c>
    </row>
    <row r="49" spans="1:25" x14ac:dyDescent="0.25">
      <c r="A49" s="28"/>
      <c r="B49" s="29"/>
      <c r="C49" s="30"/>
      <c r="D49" s="31"/>
      <c r="E49" s="29" t="s">
        <v>16</v>
      </c>
      <c r="F49" s="13" t="b">
        <f>IF($E49=Categories!$A$1,"",IF($E49=Categories!$A$2,Categories!$B$2,IF($E49=Categories!$A$3,Categories!$B$3,IF($E49=Categories!$A$4,Categories!$B$4,IF($E49=Categories!$A$5,Categories!$B$5,IF($E49=Categories!$A$6,Categories!$B$6,IF($E49=Categories!$A$7,Categories!$B$7,IF($E49=Categories!$A$8,Categories!$B$8,IF($E49=Categories!$A$9,Categories!$B$9,IF($E49=Categories!$A$10,Categories!$B$10,IF($E49=Categories!$A$11,Categories!$B$11,IF($E49=Categories!$A$12,Categories!$B$12,IF($E49=Categories!$A$13,Categories!$B$13,IF($E49=Categories!$A$14,Categories!$B$14,IF($E49=Categories!$A$15,Categories!$B$15,IF($E49=Categories!$A$16,Categories!$B$16,IF($E49=Categories!$A$17,Categories!$B$17,IF($E49=Categories!$A$18,Categories!$B$18,IF($E49=Categories!$A$19,Categories!$B$19)))))))))))))))))))</f>
        <v>0</v>
      </c>
      <c r="G49" s="9" t="str">
        <f t="shared" si="0"/>
        <v/>
      </c>
      <c r="H49" s="1" t="str">
        <f t="shared" si="1"/>
        <v/>
      </c>
      <c r="I49" s="1" t="str">
        <f t="shared" si="2"/>
        <v/>
      </c>
      <c r="J49" s="1" t="str">
        <f t="shared" si="3"/>
        <v/>
      </c>
      <c r="K49" s="13" t="str">
        <f t="shared" si="4"/>
        <v/>
      </c>
      <c r="L49" s="9" t="str">
        <f t="shared" si="5"/>
        <v/>
      </c>
      <c r="M49" s="1" t="str">
        <f t="shared" si="6"/>
        <v/>
      </c>
      <c r="N49" s="1" t="str">
        <f t="shared" si="7"/>
        <v/>
      </c>
      <c r="O49" s="1" t="str">
        <f t="shared" si="8"/>
        <v/>
      </c>
      <c r="P49" s="1" t="str">
        <f t="shared" si="9"/>
        <v/>
      </c>
      <c r="Q49" s="1" t="str">
        <f t="shared" si="10"/>
        <v/>
      </c>
      <c r="R49" s="1" t="str">
        <f t="shared" si="11"/>
        <v/>
      </c>
      <c r="S49" s="1" t="str">
        <f t="shared" si="12"/>
        <v/>
      </c>
      <c r="T49" s="1" t="str">
        <f t="shared" si="13"/>
        <v/>
      </c>
      <c r="U49" s="1" t="str">
        <f t="shared" si="14"/>
        <v/>
      </c>
      <c r="V49" s="1" t="str">
        <f t="shared" si="15"/>
        <v/>
      </c>
      <c r="W49" s="26" t="str">
        <f t="shared" si="16"/>
        <v/>
      </c>
      <c r="X49" s="13" t="str">
        <f t="shared" si="17"/>
        <v/>
      </c>
      <c r="Y49" s="9">
        <f t="shared" si="18"/>
        <v>0</v>
      </c>
    </row>
    <row r="50" spans="1:25" x14ac:dyDescent="0.25">
      <c r="A50" s="28"/>
      <c r="B50" s="29"/>
      <c r="C50" s="30"/>
      <c r="D50" s="31"/>
      <c r="E50" s="29" t="s">
        <v>16</v>
      </c>
      <c r="F50" s="13" t="b">
        <f>IF($E50=Categories!$A$1,"",IF($E50=Categories!$A$2,Categories!$B$2,IF($E50=Categories!$A$3,Categories!$B$3,IF($E50=Categories!$A$4,Categories!$B$4,IF($E50=Categories!$A$5,Categories!$B$5,IF($E50=Categories!$A$6,Categories!$B$6,IF($E50=Categories!$A$7,Categories!$B$7,IF($E50=Categories!$A$8,Categories!$B$8,IF($E50=Categories!$A$9,Categories!$B$9,IF($E50=Categories!$A$10,Categories!$B$10,IF($E50=Categories!$A$11,Categories!$B$11,IF($E50=Categories!$A$12,Categories!$B$12,IF($E50=Categories!$A$13,Categories!$B$13,IF($E50=Categories!$A$14,Categories!$B$14,IF($E50=Categories!$A$15,Categories!$B$15,IF($E50=Categories!$A$16,Categories!$B$16,IF($E50=Categories!$A$17,Categories!$B$17,IF($E50=Categories!$A$18,Categories!$B$18,IF($E50=Categories!$A$19,Categories!$B$19)))))))))))))))))))</f>
        <v>0</v>
      </c>
      <c r="G50" s="9" t="str">
        <f t="shared" si="0"/>
        <v/>
      </c>
      <c r="H50" s="1" t="str">
        <f t="shared" si="1"/>
        <v/>
      </c>
      <c r="I50" s="1" t="str">
        <f t="shared" si="2"/>
        <v/>
      </c>
      <c r="J50" s="1" t="str">
        <f t="shared" si="3"/>
        <v/>
      </c>
      <c r="K50" s="13" t="str">
        <f t="shared" si="4"/>
        <v/>
      </c>
      <c r="L50" s="9" t="str">
        <f t="shared" si="5"/>
        <v/>
      </c>
      <c r="M50" s="1" t="str">
        <f t="shared" si="6"/>
        <v/>
      </c>
      <c r="N50" s="1" t="str">
        <f t="shared" si="7"/>
        <v/>
      </c>
      <c r="O50" s="1" t="str">
        <f t="shared" si="8"/>
        <v/>
      </c>
      <c r="P50" s="1" t="str">
        <f t="shared" si="9"/>
        <v/>
      </c>
      <c r="Q50" s="1" t="str">
        <f t="shared" si="10"/>
        <v/>
      </c>
      <c r="R50" s="1" t="str">
        <f t="shared" si="11"/>
        <v/>
      </c>
      <c r="S50" s="1" t="str">
        <f t="shared" si="12"/>
        <v/>
      </c>
      <c r="T50" s="1" t="str">
        <f t="shared" si="13"/>
        <v/>
      </c>
      <c r="U50" s="1" t="str">
        <f t="shared" si="14"/>
        <v/>
      </c>
      <c r="V50" s="1" t="str">
        <f t="shared" si="15"/>
        <v/>
      </c>
      <c r="W50" s="26" t="str">
        <f t="shared" si="16"/>
        <v/>
      </c>
      <c r="X50" s="13" t="str">
        <f t="shared" si="17"/>
        <v/>
      </c>
      <c r="Y50" s="9">
        <f t="shared" si="18"/>
        <v>0</v>
      </c>
    </row>
    <row r="51" spans="1:25" x14ac:dyDescent="0.25">
      <c r="A51" s="28"/>
      <c r="B51" s="29"/>
      <c r="C51" s="30"/>
      <c r="D51" s="31"/>
      <c r="E51" s="29" t="s">
        <v>16</v>
      </c>
      <c r="F51" s="13" t="b">
        <f>IF($E51=Categories!$A$1,"",IF($E51=Categories!$A$2,Categories!$B$2,IF($E51=Categories!$A$3,Categories!$B$3,IF($E51=Categories!$A$4,Categories!$B$4,IF($E51=Categories!$A$5,Categories!$B$5,IF($E51=Categories!$A$6,Categories!$B$6,IF($E51=Categories!$A$7,Categories!$B$7,IF($E51=Categories!$A$8,Categories!$B$8,IF($E51=Categories!$A$9,Categories!$B$9,IF($E51=Categories!$A$10,Categories!$B$10,IF($E51=Categories!$A$11,Categories!$B$11,IF($E51=Categories!$A$12,Categories!$B$12,IF($E51=Categories!$A$13,Categories!$B$13,IF($E51=Categories!$A$14,Categories!$B$14,IF($E51=Categories!$A$15,Categories!$B$15,IF($E51=Categories!$A$16,Categories!$B$16,IF($E51=Categories!$A$17,Categories!$B$17,IF($E51=Categories!$A$18,Categories!$B$18,IF($E51=Categories!$A$19,Categories!$B$19)))))))))))))))))))</f>
        <v>0</v>
      </c>
      <c r="G51" s="9" t="str">
        <f t="shared" si="0"/>
        <v/>
      </c>
      <c r="H51" s="1" t="str">
        <f t="shared" si="1"/>
        <v/>
      </c>
      <c r="I51" s="1" t="str">
        <f t="shared" si="2"/>
        <v/>
      </c>
      <c r="J51" s="1" t="str">
        <f t="shared" si="3"/>
        <v/>
      </c>
      <c r="K51" s="13" t="str">
        <f t="shared" si="4"/>
        <v/>
      </c>
      <c r="L51" s="9" t="str">
        <f t="shared" si="5"/>
        <v/>
      </c>
      <c r="M51" s="1" t="str">
        <f t="shared" si="6"/>
        <v/>
      </c>
      <c r="N51" s="1" t="str">
        <f t="shared" si="7"/>
        <v/>
      </c>
      <c r="O51" s="1" t="str">
        <f t="shared" si="8"/>
        <v/>
      </c>
      <c r="P51" s="1" t="str">
        <f t="shared" si="9"/>
        <v/>
      </c>
      <c r="Q51" s="1" t="str">
        <f t="shared" si="10"/>
        <v/>
      </c>
      <c r="R51" s="1" t="str">
        <f t="shared" si="11"/>
        <v/>
      </c>
      <c r="S51" s="1" t="str">
        <f t="shared" si="12"/>
        <v/>
      </c>
      <c r="T51" s="1" t="str">
        <f t="shared" si="13"/>
        <v/>
      </c>
      <c r="U51" s="1" t="str">
        <f t="shared" si="14"/>
        <v/>
      </c>
      <c r="V51" s="1" t="str">
        <f t="shared" si="15"/>
        <v/>
      </c>
      <c r="W51" s="26" t="str">
        <f t="shared" si="16"/>
        <v/>
      </c>
      <c r="X51" s="13" t="str">
        <f t="shared" si="17"/>
        <v/>
      </c>
      <c r="Y51" s="9">
        <f t="shared" si="18"/>
        <v>0</v>
      </c>
    </row>
    <row r="52" spans="1:25" x14ac:dyDescent="0.25">
      <c r="A52" s="28"/>
      <c r="B52" s="29"/>
      <c r="C52" s="30"/>
      <c r="D52" s="31"/>
      <c r="E52" s="29" t="s">
        <v>16</v>
      </c>
      <c r="F52" s="13" t="b">
        <f>IF($E52=Categories!$A$1,"",IF($E52=Categories!$A$2,Categories!$B$2,IF($E52=Categories!$A$3,Categories!$B$3,IF($E52=Categories!$A$4,Categories!$B$4,IF($E52=Categories!$A$5,Categories!$B$5,IF($E52=Categories!$A$6,Categories!$B$6,IF($E52=Categories!$A$7,Categories!$B$7,IF($E52=Categories!$A$8,Categories!$B$8,IF($E52=Categories!$A$9,Categories!$B$9,IF($E52=Categories!$A$10,Categories!$B$10,IF($E52=Categories!$A$11,Categories!$B$11,IF($E52=Categories!$A$12,Categories!$B$12,IF($E52=Categories!$A$13,Categories!$B$13,IF($E52=Categories!$A$14,Categories!$B$14,IF($E52=Categories!$A$15,Categories!$B$15,IF($E52=Categories!$A$16,Categories!$B$16,IF($E52=Categories!$A$17,Categories!$B$17,IF($E52=Categories!$A$18,Categories!$B$18,IF($E52=Categories!$A$19,Categories!$B$19)))))))))))))))))))</f>
        <v>0</v>
      </c>
      <c r="G52" s="9" t="str">
        <f t="shared" si="0"/>
        <v/>
      </c>
      <c r="H52" s="1" t="str">
        <f t="shared" si="1"/>
        <v/>
      </c>
      <c r="I52" s="1" t="str">
        <f t="shared" si="2"/>
        <v/>
      </c>
      <c r="J52" s="1" t="str">
        <f t="shared" si="3"/>
        <v/>
      </c>
      <c r="K52" s="13" t="str">
        <f t="shared" si="4"/>
        <v/>
      </c>
      <c r="L52" s="9" t="str">
        <f t="shared" si="5"/>
        <v/>
      </c>
      <c r="M52" s="1" t="str">
        <f t="shared" si="6"/>
        <v/>
      </c>
      <c r="N52" s="1" t="str">
        <f t="shared" si="7"/>
        <v/>
      </c>
      <c r="O52" s="1" t="str">
        <f t="shared" si="8"/>
        <v/>
      </c>
      <c r="P52" s="1" t="str">
        <f t="shared" si="9"/>
        <v/>
      </c>
      <c r="Q52" s="1" t="str">
        <f t="shared" si="10"/>
        <v/>
      </c>
      <c r="R52" s="1" t="str">
        <f t="shared" si="11"/>
        <v/>
      </c>
      <c r="S52" s="1" t="str">
        <f t="shared" si="12"/>
        <v/>
      </c>
      <c r="T52" s="1" t="str">
        <f t="shared" si="13"/>
        <v/>
      </c>
      <c r="U52" s="1" t="str">
        <f t="shared" si="14"/>
        <v/>
      </c>
      <c r="V52" s="1" t="str">
        <f t="shared" si="15"/>
        <v/>
      </c>
      <c r="W52" s="26" t="str">
        <f t="shared" si="16"/>
        <v/>
      </c>
      <c r="X52" s="13" t="str">
        <f t="shared" si="17"/>
        <v/>
      </c>
      <c r="Y52" s="9">
        <f t="shared" si="18"/>
        <v>0</v>
      </c>
    </row>
    <row r="53" spans="1:25" x14ac:dyDescent="0.25">
      <c r="A53" s="28"/>
      <c r="B53" s="29"/>
      <c r="C53" s="30"/>
      <c r="D53" s="31"/>
      <c r="E53" s="29" t="s">
        <v>16</v>
      </c>
      <c r="F53" s="13" t="b">
        <f>IF($E53=Categories!$A$1,"",IF($E53=Categories!$A$2,Categories!$B$2,IF($E53=Categories!$A$3,Categories!$B$3,IF($E53=Categories!$A$4,Categories!$B$4,IF($E53=Categories!$A$5,Categories!$B$5,IF($E53=Categories!$A$6,Categories!$B$6,IF($E53=Categories!$A$7,Categories!$B$7,IF($E53=Categories!$A$8,Categories!$B$8,IF($E53=Categories!$A$9,Categories!$B$9,IF($E53=Categories!$A$10,Categories!$B$10,IF($E53=Categories!$A$11,Categories!$B$11,IF($E53=Categories!$A$12,Categories!$B$12,IF($E53=Categories!$A$13,Categories!$B$13,IF($E53=Categories!$A$14,Categories!$B$14,IF($E53=Categories!$A$15,Categories!$B$15,IF($E53=Categories!$A$16,Categories!$B$16,IF($E53=Categories!$A$17,Categories!$B$17,IF($E53=Categories!$A$18,Categories!$B$18,IF($E53=Categories!$A$19,Categories!$B$19)))))))))))))))))))</f>
        <v>0</v>
      </c>
      <c r="G53" s="9" t="str">
        <f t="shared" si="0"/>
        <v/>
      </c>
      <c r="H53" s="1" t="str">
        <f t="shared" si="1"/>
        <v/>
      </c>
      <c r="I53" s="1" t="str">
        <f t="shared" si="2"/>
        <v/>
      </c>
      <c r="J53" s="1" t="str">
        <f t="shared" si="3"/>
        <v/>
      </c>
      <c r="K53" s="13" t="str">
        <f t="shared" si="4"/>
        <v/>
      </c>
      <c r="L53" s="9" t="str">
        <f t="shared" si="5"/>
        <v/>
      </c>
      <c r="M53" s="1" t="str">
        <f t="shared" si="6"/>
        <v/>
      </c>
      <c r="N53" s="1" t="str">
        <f t="shared" si="7"/>
        <v/>
      </c>
      <c r="O53" s="1" t="str">
        <f t="shared" si="8"/>
        <v/>
      </c>
      <c r="P53" s="1" t="str">
        <f t="shared" si="9"/>
        <v/>
      </c>
      <c r="Q53" s="1" t="str">
        <f t="shared" si="10"/>
        <v/>
      </c>
      <c r="R53" s="1" t="str">
        <f t="shared" si="11"/>
        <v/>
      </c>
      <c r="S53" s="1" t="str">
        <f t="shared" si="12"/>
        <v/>
      </c>
      <c r="T53" s="1" t="str">
        <f t="shared" si="13"/>
        <v/>
      </c>
      <c r="U53" s="1" t="str">
        <f t="shared" si="14"/>
        <v/>
      </c>
      <c r="V53" s="1" t="str">
        <f t="shared" si="15"/>
        <v/>
      </c>
      <c r="W53" s="26" t="str">
        <f t="shared" si="16"/>
        <v/>
      </c>
      <c r="X53" s="13" t="str">
        <f t="shared" si="17"/>
        <v/>
      </c>
      <c r="Y53" s="9">
        <f t="shared" si="18"/>
        <v>0</v>
      </c>
    </row>
    <row r="54" spans="1:25" x14ac:dyDescent="0.25">
      <c r="A54" s="28"/>
      <c r="B54" s="29"/>
      <c r="C54" s="30"/>
      <c r="D54" s="31"/>
      <c r="E54" s="29" t="s">
        <v>16</v>
      </c>
      <c r="F54" s="13" t="b">
        <f>IF($E54=Categories!$A$1,"",IF($E54=Categories!$A$2,Categories!$B$2,IF($E54=Categories!$A$3,Categories!$B$3,IF($E54=Categories!$A$4,Categories!$B$4,IF($E54=Categories!$A$5,Categories!$B$5,IF($E54=Categories!$A$6,Categories!$B$6,IF($E54=Categories!$A$7,Categories!$B$7,IF($E54=Categories!$A$8,Categories!$B$8,IF($E54=Categories!$A$9,Categories!$B$9,IF($E54=Categories!$A$10,Categories!$B$10,IF($E54=Categories!$A$11,Categories!$B$11,IF($E54=Categories!$A$12,Categories!$B$12,IF($E54=Categories!$A$13,Categories!$B$13,IF($E54=Categories!$A$14,Categories!$B$14,IF($E54=Categories!$A$15,Categories!$B$15,IF($E54=Categories!$A$16,Categories!$B$16,IF($E54=Categories!$A$17,Categories!$B$17,IF($E54=Categories!$A$18,Categories!$B$18,IF($E54=Categories!$A$19,Categories!$B$19)))))))))))))))))))</f>
        <v>0</v>
      </c>
      <c r="G54" s="9" t="str">
        <f t="shared" si="0"/>
        <v/>
      </c>
      <c r="H54" s="1" t="str">
        <f t="shared" si="1"/>
        <v/>
      </c>
      <c r="I54" s="1" t="str">
        <f t="shared" si="2"/>
        <v/>
      </c>
      <c r="J54" s="1" t="str">
        <f t="shared" si="3"/>
        <v/>
      </c>
      <c r="K54" s="13" t="str">
        <f t="shared" si="4"/>
        <v/>
      </c>
      <c r="L54" s="9" t="str">
        <f t="shared" si="5"/>
        <v/>
      </c>
      <c r="M54" s="1" t="str">
        <f t="shared" si="6"/>
        <v/>
      </c>
      <c r="N54" s="1" t="str">
        <f t="shared" si="7"/>
        <v/>
      </c>
      <c r="O54" s="1" t="str">
        <f t="shared" si="8"/>
        <v/>
      </c>
      <c r="P54" s="1" t="str">
        <f t="shared" si="9"/>
        <v/>
      </c>
      <c r="Q54" s="1" t="str">
        <f t="shared" si="10"/>
        <v/>
      </c>
      <c r="R54" s="1" t="str">
        <f t="shared" si="11"/>
        <v/>
      </c>
      <c r="S54" s="1" t="str">
        <f t="shared" si="12"/>
        <v/>
      </c>
      <c r="T54" s="1" t="str">
        <f t="shared" si="13"/>
        <v/>
      </c>
      <c r="U54" s="1" t="str">
        <f t="shared" si="14"/>
        <v/>
      </c>
      <c r="V54" s="1" t="str">
        <f t="shared" si="15"/>
        <v/>
      </c>
      <c r="W54" s="26" t="str">
        <f t="shared" si="16"/>
        <v/>
      </c>
      <c r="X54" s="13" t="str">
        <f t="shared" si="17"/>
        <v/>
      </c>
      <c r="Y54" s="9">
        <f t="shared" si="18"/>
        <v>0</v>
      </c>
    </row>
    <row r="55" spans="1:25" x14ac:dyDescent="0.25">
      <c r="A55" s="28"/>
      <c r="B55" s="29"/>
      <c r="C55" s="30"/>
      <c r="D55" s="31"/>
      <c r="E55" s="29" t="s">
        <v>16</v>
      </c>
      <c r="F55" s="13" t="b">
        <f>IF($E55=Categories!$A$1,"",IF($E55=Categories!$A$2,Categories!$B$2,IF($E55=Categories!$A$3,Categories!$B$3,IF($E55=Categories!$A$4,Categories!$B$4,IF($E55=Categories!$A$5,Categories!$B$5,IF($E55=Categories!$A$6,Categories!$B$6,IF($E55=Categories!$A$7,Categories!$B$7,IF($E55=Categories!$A$8,Categories!$B$8,IF($E55=Categories!$A$9,Categories!$B$9,IF($E55=Categories!$A$10,Categories!$B$10,IF($E55=Categories!$A$11,Categories!$B$11,IF($E55=Categories!$A$12,Categories!$B$12,IF($E55=Categories!$A$13,Categories!$B$13,IF($E55=Categories!$A$14,Categories!$B$14,IF($E55=Categories!$A$15,Categories!$B$15,IF($E55=Categories!$A$16,Categories!$B$16,IF($E55=Categories!$A$17,Categories!$B$17,IF($E55=Categories!$A$18,Categories!$B$18,IF($E55=Categories!$A$19,Categories!$B$19)))))))))))))))))))</f>
        <v>0</v>
      </c>
      <c r="G55" s="9" t="str">
        <f t="shared" si="0"/>
        <v/>
      </c>
      <c r="H55" s="1" t="str">
        <f t="shared" si="1"/>
        <v/>
      </c>
      <c r="I55" s="1" t="str">
        <f t="shared" si="2"/>
        <v/>
      </c>
      <c r="J55" s="1" t="str">
        <f t="shared" si="3"/>
        <v/>
      </c>
      <c r="K55" s="13" t="str">
        <f t="shared" si="4"/>
        <v/>
      </c>
      <c r="L55" s="9" t="str">
        <f t="shared" si="5"/>
        <v/>
      </c>
      <c r="M55" s="1" t="str">
        <f t="shared" si="6"/>
        <v/>
      </c>
      <c r="N55" s="1" t="str">
        <f t="shared" si="7"/>
        <v/>
      </c>
      <c r="O55" s="1" t="str">
        <f t="shared" si="8"/>
        <v/>
      </c>
      <c r="P55" s="1" t="str">
        <f t="shared" si="9"/>
        <v/>
      </c>
      <c r="Q55" s="1" t="str">
        <f t="shared" si="10"/>
        <v/>
      </c>
      <c r="R55" s="1" t="str">
        <f t="shared" si="11"/>
        <v/>
      </c>
      <c r="S55" s="1" t="str">
        <f t="shared" si="12"/>
        <v/>
      </c>
      <c r="T55" s="1" t="str">
        <f t="shared" si="13"/>
        <v/>
      </c>
      <c r="U55" s="1" t="str">
        <f t="shared" si="14"/>
        <v/>
      </c>
      <c r="V55" s="1" t="str">
        <f t="shared" si="15"/>
        <v/>
      </c>
      <c r="W55" s="26" t="str">
        <f t="shared" si="16"/>
        <v/>
      </c>
      <c r="X55" s="13" t="str">
        <f t="shared" si="17"/>
        <v/>
      </c>
      <c r="Y55" s="9">
        <f t="shared" si="18"/>
        <v>0</v>
      </c>
    </row>
    <row r="56" spans="1:25" x14ac:dyDescent="0.25">
      <c r="A56" s="28"/>
      <c r="B56" s="29"/>
      <c r="C56" s="30"/>
      <c r="D56" s="31"/>
      <c r="E56" s="29" t="s">
        <v>16</v>
      </c>
      <c r="F56" s="13" t="b">
        <f>IF($E56=Categories!$A$1,"",IF($E56=Categories!$A$2,Categories!$B$2,IF($E56=Categories!$A$3,Categories!$B$3,IF($E56=Categories!$A$4,Categories!$B$4,IF($E56=Categories!$A$5,Categories!$B$5,IF($E56=Categories!$A$6,Categories!$B$6,IF($E56=Categories!$A$7,Categories!$B$7,IF($E56=Categories!$A$8,Categories!$B$8,IF($E56=Categories!$A$9,Categories!$B$9,IF($E56=Categories!$A$10,Categories!$B$10,IF($E56=Categories!$A$11,Categories!$B$11,IF($E56=Categories!$A$12,Categories!$B$12,IF($E56=Categories!$A$13,Categories!$B$13,IF($E56=Categories!$A$14,Categories!$B$14,IF($E56=Categories!$A$15,Categories!$B$15,IF($E56=Categories!$A$16,Categories!$B$16,IF($E56=Categories!$A$17,Categories!$B$17,IF($E56=Categories!$A$18,Categories!$B$18,IF($E56=Categories!$A$19,Categories!$B$19)))))))))))))))))))</f>
        <v>0</v>
      </c>
      <c r="G56" s="9" t="str">
        <f t="shared" si="0"/>
        <v/>
      </c>
      <c r="H56" s="1" t="str">
        <f t="shared" si="1"/>
        <v/>
      </c>
      <c r="I56" s="1" t="str">
        <f t="shared" si="2"/>
        <v/>
      </c>
      <c r="J56" s="1" t="str">
        <f t="shared" si="3"/>
        <v/>
      </c>
      <c r="K56" s="13" t="str">
        <f t="shared" si="4"/>
        <v/>
      </c>
      <c r="L56" s="9" t="str">
        <f t="shared" si="5"/>
        <v/>
      </c>
      <c r="M56" s="1" t="str">
        <f t="shared" si="6"/>
        <v/>
      </c>
      <c r="N56" s="1" t="str">
        <f t="shared" si="7"/>
        <v/>
      </c>
      <c r="O56" s="1" t="str">
        <f t="shared" si="8"/>
        <v/>
      </c>
      <c r="P56" s="1" t="str">
        <f t="shared" si="9"/>
        <v/>
      </c>
      <c r="Q56" s="1" t="str">
        <f t="shared" si="10"/>
        <v/>
      </c>
      <c r="R56" s="1" t="str">
        <f t="shared" si="11"/>
        <v/>
      </c>
      <c r="S56" s="1" t="str">
        <f t="shared" si="12"/>
        <v/>
      </c>
      <c r="T56" s="1" t="str">
        <f t="shared" si="13"/>
        <v/>
      </c>
      <c r="U56" s="1" t="str">
        <f t="shared" si="14"/>
        <v/>
      </c>
      <c r="V56" s="1" t="str">
        <f t="shared" si="15"/>
        <v/>
      </c>
      <c r="W56" s="26" t="str">
        <f t="shared" si="16"/>
        <v/>
      </c>
      <c r="X56" s="13" t="str">
        <f t="shared" si="17"/>
        <v/>
      </c>
      <c r="Y56" s="9">
        <f t="shared" si="18"/>
        <v>0</v>
      </c>
    </row>
    <row r="57" spans="1:25" x14ac:dyDescent="0.25">
      <c r="A57" s="28"/>
      <c r="B57" s="29"/>
      <c r="C57" s="30"/>
      <c r="D57" s="31"/>
      <c r="E57" s="29" t="s">
        <v>16</v>
      </c>
      <c r="F57" s="13" t="b">
        <f>IF($E57=Categories!$A$1,"",IF($E57=Categories!$A$2,Categories!$B$2,IF($E57=Categories!$A$3,Categories!$B$3,IF($E57=Categories!$A$4,Categories!$B$4,IF($E57=Categories!$A$5,Categories!$B$5,IF($E57=Categories!$A$6,Categories!$B$6,IF($E57=Categories!$A$7,Categories!$B$7,IF($E57=Categories!$A$8,Categories!$B$8,IF($E57=Categories!$A$9,Categories!$B$9,IF($E57=Categories!$A$10,Categories!$B$10,IF($E57=Categories!$A$11,Categories!$B$11,IF($E57=Categories!$A$12,Categories!$B$12,IF($E57=Categories!$A$13,Categories!$B$13,IF($E57=Categories!$A$14,Categories!$B$14,IF($E57=Categories!$A$15,Categories!$B$15,IF($E57=Categories!$A$16,Categories!$B$16,IF($E57=Categories!$A$17,Categories!$B$17,IF($E57=Categories!$A$18,Categories!$B$18,IF($E57=Categories!$A$19,Categories!$B$19)))))))))))))))))))</f>
        <v>0</v>
      </c>
      <c r="G57" s="9" t="str">
        <f t="shared" si="0"/>
        <v/>
      </c>
      <c r="H57" s="1" t="str">
        <f t="shared" si="1"/>
        <v/>
      </c>
      <c r="I57" s="1" t="str">
        <f t="shared" si="2"/>
        <v/>
      </c>
      <c r="J57" s="1" t="str">
        <f t="shared" si="3"/>
        <v/>
      </c>
      <c r="K57" s="13" t="str">
        <f t="shared" si="4"/>
        <v/>
      </c>
      <c r="L57" s="9" t="str">
        <f t="shared" si="5"/>
        <v/>
      </c>
      <c r="M57" s="1" t="str">
        <f t="shared" si="6"/>
        <v/>
      </c>
      <c r="N57" s="1" t="str">
        <f t="shared" si="7"/>
        <v/>
      </c>
      <c r="O57" s="1" t="str">
        <f t="shared" si="8"/>
        <v/>
      </c>
      <c r="P57" s="1" t="str">
        <f t="shared" si="9"/>
        <v/>
      </c>
      <c r="Q57" s="1" t="str">
        <f t="shared" si="10"/>
        <v/>
      </c>
      <c r="R57" s="1" t="str">
        <f t="shared" si="11"/>
        <v/>
      </c>
      <c r="S57" s="1" t="str">
        <f t="shared" si="12"/>
        <v/>
      </c>
      <c r="T57" s="1" t="str">
        <f t="shared" si="13"/>
        <v/>
      </c>
      <c r="U57" s="1" t="str">
        <f t="shared" si="14"/>
        <v/>
      </c>
      <c r="V57" s="1" t="str">
        <f t="shared" si="15"/>
        <v/>
      </c>
      <c r="W57" s="26" t="str">
        <f t="shared" si="16"/>
        <v/>
      </c>
      <c r="X57" s="13" t="str">
        <f t="shared" si="17"/>
        <v/>
      </c>
      <c r="Y57" s="9">
        <f t="shared" si="18"/>
        <v>0</v>
      </c>
    </row>
    <row r="58" spans="1:25" x14ac:dyDescent="0.25">
      <c r="A58" s="28"/>
      <c r="B58" s="29"/>
      <c r="C58" s="30"/>
      <c r="D58" s="31"/>
      <c r="E58" s="29" t="s">
        <v>16</v>
      </c>
      <c r="F58" s="13" t="b">
        <f>IF($E58=Categories!$A$1,"",IF($E58=Categories!$A$2,Categories!$B$2,IF($E58=Categories!$A$3,Categories!$B$3,IF($E58=Categories!$A$4,Categories!$B$4,IF($E58=Categories!$A$5,Categories!$B$5,IF($E58=Categories!$A$6,Categories!$B$6,IF($E58=Categories!$A$7,Categories!$B$7,IF($E58=Categories!$A$8,Categories!$B$8,IF($E58=Categories!$A$9,Categories!$B$9,IF($E58=Categories!$A$10,Categories!$B$10,IF($E58=Categories!$A$11,Categories!$B$11,IF($E58=Categories!$A$12,Categories!$B$12,IF($E58=Categories!$A$13,Categories!$B$13,IF($E58=Categories!$A$14,Categories!$B$14,IF($E58=Categories!$A$15,Categories!$B$15,IF($E58=Categories!$A$16,Categories!$B$16,IF($E58=Categories!$A$17,Categories!$B$17,IF($E58=Categories!$A$18,Categories!$B$18,IF($E58=Categories!$A$19,Categories!$B$19)))))))))))))))))))</f>
        <v>0</v>
      </c>
      <c r="G58" s="9" t="str">
        <f t="shared" si="0"/>
        <v/>
      </c>
      <c r="H58" s="1" t="str">
        <f t="shared" si="1"/>
        <v/>
      </c>
      <c r="I58" s="1" t="str">
        <f t="shared" si="2"/>
        <v/>
      </c>
      <c r="J58" s="1" t="str">
        <f t="shared" si="3"/>
        <v/>
      </c>
      <c r="K58" s="13" t="str">
        <f t="shared" si="4"/>
        <v/>
      </c>
      <c r="L58" s="9" t="str">
        <f t="shared" si="5"/>
        <v/>
      </c>
      <c r="M58" s="1" t="str">
        <f t="shared" si="6"/>
        <v/>
      </c>
      <c r="N58" s="1" t="str">
        <f t="shared" si="7"/>
        <v/>
      </c>
      <c r="O58" s="1" t="str">
        <f t="shared" si="8"/>
        <v/>
      </c>
      <c r="P58" s="1" t="str">
        <f t="shared" si="9"/>
        <v/>
      </c>
      <c r="Q58" s="1" t="str">
        <f t="shared" si="10"/>
        <v/>
      </c>
      <c r="R58" s="1" t="str">
        <f t="shared" si="11"/>
        <v/>
      </c>
      <c r="S58" s="1" t="str">
        <f t="shared" si="12"/>
        <v/>
      </c>
      <c r="T58" s="1" t="str">
        <f t="shared" si="13"/>
        <v/>
      </c>
      <c r="U58" s="1" t="str">
        <f t="shared" si="14"/>
        <v/>
      </c>
      <c r="V58" s="1" t="str">
        <f t="shared" si="15"/>
        <v/>
      </c>
      <c r="W58" s="26" t="str">
        <f t="shared" si="16"/>
        <v/>
      </c>
      <c r="X58" s="13" t="str">
        <f t="shared" si="17"/>
        <v/>
      </c>
      <c r="Y58" s="9">
        <f t="shared" si="18"/>
        <v>0</v>
      </c>
    </row>
    <row r="59" spans="1:25" x14ac:dyDescent="0.25">
      <c r="A59" s="28"/>
      <c r="B59" s="29"/>
      <c r="C59" s="30"/>
      <c r="D59" s="31"/>
      <c r="E59" s="29" t="s">
        <v>16</v>
      </c>
      <c r="F59" s="13" t="b">
        <f>IF($E59=Categories!$A$1,"",IF($E59=Categories!$A$2,Categories!$B$2,IF($E59=Categories!$A$3,Categories!$B$3,IF($E59=Categories!$A$4,Categories!$B$4,IF($E59=Categories!$A$5,Categories!$B$5,IF($E59=Categories!$A$6,Categories!$B$6,IF($E59=Categories!$A$7,Categories!$B$7,IF($E59=Categories!$A$8,Categories!$B$8,IF($E59=Categories!$A$9,Categories!$B$9,IF($E59=Categories!$A$10,Categories!$B$10,IF($E59=Categories!$A$11,Categories!$B$11,IF($E59=Categories!$A$12,Categories!$B$12,IF($E59=Categories!$A$13,Categories!$B$13,IF($E59=Categories!$A$14,Categories!$B$14,IF($E59=Categories!$A$15,Categories!$B$15,IF($E59=Categories!$A$16,Categories!$B$16,IF($E59=Categories!$A$17,Categories!$B$17,IF($E59=Categories!$A$18,Categories!$B$18,IF($E59=Categories!$A$19,Categories!$B$19)))))))))))))))))))</f>
        <v>0</v>
      </c>
      <c r="G59" s="9" t="str">
        <f t="shared" si="0"/>
        <v/>
      </c>
      <c r="H59" s="1" t="str">
        <f t="shared" si="1"/>
        <v/>
      </c>
      <c r="I59" s="1" t="str">
        <f t="shared" si="2"/>
        <v/>
      </c>
      <c r="J59" s="1" t="str">
        <f t="shared" si="3"/>
        <v/>
      </c>
      <c r="K59" s="13" t="str">
        <f t="shared" si="4"/>
        <v/>
      </c>
      <c r="L59" s="9" t="str">
        <f t="shared" si="5"/>
        <v/>
      </c>
      <c r="M59" s="1" t="str">
        <f t="shared" si="6"/>
        <v/>
      </c>
      <c r="N59" s="1" t="str">
        <f t="shared" si="7"/>
        <v/>
      </c>
      <c r="O59" s="1" t="str">
        <f t="shared" si="8"/>
        <v/>
      </c>
      <c r="P59" s="1" t="str">
        <f t="shared" si="9"/>
        <v/>
      </c>
      <c r="Q59" s="1" t="str">
        <f t="shared" si="10"/>
        <v/>
      </c>
      <c r="R59" s="1" t="str">
        <f t="shared" si="11"/>
        <v/>
      </c>
      <c r="S59" s="1" t="str">
        <f t="shared" si="12"/>
        <v/>
      </c>
      <c r="T59" s="1" t="str">
        <f t="shared" si="13"/>
        <v/>
      </c>
      <c r="U59" s="1" t="str">
        <f t="shared" si="14"/>
        <v/>
      </c>
      <c r="V59" s="1" t="str">
        <f t="shared" si="15"/>
        <v/>
      </c>
      <c r="W59" s="26" t="str">
        <f t="shared" si="16"/>
        <v/>
      </c>
      <c r="X59" s="13" t="str">
        <f t="shared" si="17"/>
        <v/>
      </c>
      <c r="Y59" s="9">
        <f t="shared" si="18"/>
        <v>0</v>
      </c>
    </row>
    <row r="60" spans="1:25" x14ac:dyDescent="0.25">
      <c r="A60" s="28"/>
      <c r="B60" s="29"/>
      <c r="C60" s="30"/>
      <c r="D60" s="31"/>
      <c r="E60" s="29" t="s">
        <v>16</v>
      </c>
      <c r="F60" s="13" t="b">
        <f>IF($E60=Categories!$A$1,"",IF($E60=Categories!$A$2,Categories!$B$2,IF($E60=Categories!$A$3,Categories!$B$3,IF($E60=Categories!$A$4,Categories!$B$4,IF($E60=Categories!$A$5,Categories!$B$5,IF($E60=Categories!$A$6,Categories!$B$6,IF($E60=Categories!$A$7,Categories!$B$7,IF($E60=Categories!$A$8,Categories!$B$8,IF($E60=Categories!$A$9,Categories!$B$9,IF($E60=Categories!$A$10,Categories!$B$10,IF($E60=Categories!$A$11,Categories!$B$11,IF($E60=Categories!$A$12,Categories!$B$12,IF($E60=Categories!$A$13,Categories!$B$13,IF($E60=Categories!$A$14,Categories!$B$14,IF($E60=Categories!$A$15,Categories!$B$15,IF($E60=Categories!$A$16,Categories!$B$16,IF($E60=Categories!$A$17,Categories!$B$17,IF($E60=Categories!$A$18,Categories!$B$18,IF($E60=Categories!$A$19,Categories!$B$19)))))))))))))))))))</f>
        <v>0</v>
      </c>
      <c r="G60" s="9" t="str">
        <f t="shared" si="0"/>
        <v/>
      </c>
      <c r="H60" s="1" t="str">
        <f t="shared" si="1"/>
        <v/>
      </c>
      <c r="I60" s="1" t="str">
        <f t="shared" si="2"/>
        <v/>
      </c>
      <c r="J60" s="1" t="str">
        <f t="shared" si="3"/>
        <v/>
      </c>
      <c r="K60" s="13" t="str">
        <f t="shared" si="4"/>
        <v/>
      </c>
      <c r="L60" s="9" t="str">
        <f t="shared" si="5"/>
        <v/>
      </c>
      <c r="M60" s="1" t="str">
        <f t="shared" si="6"/>
        <v/>
      </c>
      <c r="N60" s="1" t="str">
        <f t="shared" si="7"/>
        <v/>
      </c>
      <c r="O60" s="1" t="str">
        <f t="shared" si="8"/>
        <v/>
      </c>
      <c r="P60" s="1" t="str">
        <f t="shared" si="9"/>
        <v/>
      </c>
      <c r="Q60" s="1" t="str">
        <f t="shared" si="10"/>
        <v/>
      </c>
      <c r="R60" s="1" t="str">
        <f t="shared" si="11"/>
        <v/>
      </c>
      <c r="S60" s="1" t="str">
        <f t="shared" si="12"/>
        <v/>
      </c>
      <c r="T60" s="1" t="str">
        <f t="shared" si="13"/>
        <v/>
      </c>
      <c r="U60" s="1" t="str">
        <f t="shared" si="14"/>
        <v/>
      </c>
      <c r="V60" s="1" t="str">
        <f t="shared" si="15"/>
        <v/>
      </c>
      <c r="W60" s="26" t="str">
        <f t="shared" si="16"/>
        <v/>
      </c>
      <c r="X60" s="13" t="str">
        <f t="shared" si="17"/>
        <v/>
      </c>
      <c r="Y60" s="9">
        <f t="shared" si="18"/>
        <v>0</v>
      </c>
    </row>
    <row r="61" spans="1:25" x14ac:dyDescent="0.25">
      <c r="A61" s="28"/>
      <c r="B61" s="29"/>
      <c r="C61" s="30"/>
      <c r="D61" s="31"/>
      <c r="E61" s="29" t="s">
        <v>16</v>
      </c>
      <c r="F61" s="13" t="b">
        <f>IF($E61=Categories!$A$1,"",IF($E61=Categories!$A$2,Categories!$B$2,IF($E61=Categories!$A$3,Categories!$B$3,IF($E61=Categories!$A$4,Categories!$B$4,IF($E61=Categories!$A$5,Categories!$B$5,IF($E61=Categories!$A$6,Categories!$B$6,IF($E61=Categories!$A$7,Categories!$B$7,IF($E61=Categories!$A$8,Categories!$B$8,IF($E61=Categories!$A$9,Categories!$B$9,IF($E61=Categories!$A$10,Categories!$B$10,IF($E61=Categories!$A$11,Categories!$B$11,IF($E61=Categories!$A$12,Categories!$B$12,IF($E61=Categories!$A$13,Categories!$B$13,IF($E61=Categories!$A$14,Categories!$B$14,IF($E61=Categories!$A$15,Categories!$B$15,IF($E61=Categories!$A$16,Categories!$B$16,IF($E61=Categories!$A$17,Categories!$B$17,IF($E61=Categories!$A$18,Categories!$B$18,IF($E61=Categories!$A$19,Categories!$B$19)))))))))))))))))))</f>
        <v>0</v>
      </c>
      <c r="G61" s="9" t="str">
        <f t="shared" si="0"/>
        <v/>
      </c>
      <c r="H61" s="1" t="str">
        <f t="shared" si="1"/>
        <v/>
      </c>
      <c r="I61" s="1" t="str">
        <f t="shared" si="2"/>
        <v/>
      </c>
      <c r="J61" s="1" t="str">
        <f t="shared" si="3"/>
        <v/>
      </c>
      <c r="K61" s="13" t="str">
        <f t="shared" si="4"/>
        <v/>
      </c>
      <c r="L61" s="9" t="str">
        <f t="shared" si="5"/>
        <v/>
      </c>
      <c r="M61" s="1" t="str">
        <f t="shared" si="6"/>
        <v/>
      </c>
      <c r="N61" s="1" t="str">
        <f t="shared" si="7"/>
        <v/>
      </c>
      <c r="O61" s="1" t="str">
        <f t="shared" si="8"/>
        <v/>
      </c>
      <c r="P61" s="1" t="str">
        <f t="shared" si="9"/>
        <v/>
      </c>
      <c r="Q61" s="1" t="str">
        <f t="shared" si="10"/>
        <v/>
      </c>
      <c r="R61" s="1" t="str">
        <f t="shared" si="11"/>
        <v/>
      </c>
      <c r="S61" s="1" t="str">
        <f t="shared" si="12"/>
        <v/>
      </c>
      <c r="T61" s="1" t="str">
        <f t="shared" si="13"/>
        <v/>
      </c>
      <c r="U61" s="1" t="str">
        <f t="shared" si="14"/>
        <v/>
      </c>
      <c r="V61" s="1" t="str">
        <f t="shared" si="15"/>
        <v/>
      </c>
      <c r="W61" s="26" t="str">
        <f t="shared" si="16"/>
        <v/>
      </c>
      <c r="X61" s="13" t="str">
        <f t="shared" si="17"/>
        <v/>
      </c>
      <c r="Y61" s="9">
        <f t="shared" si="18"/>
        <v>0</v>
      </c>
    </row>
    <row r="62" spans="1:25" x14ac:dyDescent="0.25">
      <c r="A62" s="28"/>
      <c r="B62" s="29"/>
      <c r="C62" s="30"/>
      <c r="D62" s="31"/>
      <c r="E62" s="29" t="s">
        <v>16</v>
      </c>
      <c r="F62" s="13" t="b">
        <f>IF($E62=Categories!$A$1,"",IF($E62=Categories!$A$2,Categories!$B$2,IF($E62=Categories!$A$3,Categories!$B$3,IF($E62=Categories!$A$4,Categories!$B$4,IF($E62=Categories!$A$5,Categories!$B$5,IF($E62=Categories!$A$6,Categories!$B$6,IF($E62=Categories!$A$7,Categories!$B$7,IF($E62=Categories!$A$8,Categories!$B$8,IF($E62=Categories!$A$9,Categories!$B$9,IF($E62=Categories!$A$10,Categories!$B$10,IF($E62=Categories!$A$11,Categories!$B$11,IF($E62=Categories!$A$12,Categories!$B$12,IF($E62=Categories!$A$13,Categories!$B$13,IF($E62=Categories!$A$14,Categories!$B$14,IF($E62=Categories!$A$15,Categories!$B$15,IF($E62=Categories!$A$16,Categories!$B$16,IF($E62=Categories!$A$17,Categories!$B$17,IF($E62=Categories!$A$18,Categories!$B$18,IF($E62=Categories!$A$19,Categories!$B$19)))))))))))))))))))</f>
        <v>0</v>
      </c>
      <c r="G62" s="9" t="str">
        <f t="shared" si="0"/>
        <v/>
      </c>
      <c r="H62" s="1" t="str">
        <f t="shared" si="1"/>
        <v/>
      </c>
      <c r="I62" s="1" t="str">
        <f t="shared" si="2"/>
        <v/>
      </c>
      <c r="J62" s="1" t="str">
        <f t="shared" si="3"/>
        <v/>
      </c>
      <c r="K62" s="13" t="str">
        <f t="shared" si="4"/>
        <v/>
      </c>
      <c r="L62" s="9" t="str">
        <f t="shared" si="5"/>
        <v/>
      </c>
      <c r="M62" s="1" t="str">
        <f t="shared" si="6"/>
        <v/>
      </c>
      <c r="N62" s="1" t="str">
        <f t="shared" si="7"/>
        <v/>
      </c>
      <c r="O62" s="1" t="str">
        <f t="shared" si="8"/>
        <v/>
      </c>
      <c r="P62" s="1" t="str">
        <f t="shared" si="9"/>
        <v/>
      </c>
      <c r="Q62" s="1" t="str">
        <f t="shared" si="10"/>
        <v/>
      </c>
      <c r="R62" s="1" t="str">
        <f t="shared" si="11"/>
        <v/>
      </c>
      <c r="S62" s="1" t="str">
        <f t="shared" si="12"/>
        <v/>
      </c>
      <c r="T62" s="1" t="str">
        <f t="shared" si="13"/>
        <v/>
      </c>
      <c r="U62" s="1" t="str">
        <f t="shared" si="14"/>
        <v/>
      </c>
      <c r="V62" s="1" t="str">
        <f t="shared" si="15"/>
        <v/>
      </c>
      <c r="W62" s="26" t="str">
        <f t="shared" si="16"/>
        <v/>
      </c>
      <c r="X62" s="13" t="str">
        <f t="shared" si="17"/>
        <v/>
      </c>
      <c r="Y62" s="9">
        <f t="shared" si="18"/>
        <v>0</v>
      </c>
    </row>
    <row r="63" spans="1:25" x14ac:dyDescent="0.25">
      <c r="A63" s="28"/>
      <c r="B63" s="29"/>
      <c r="C63" s="30"/>
      <c r="D63" s="31"/>
      <c r="E63" s="29" t="s">
        <v>16</v>
      </c>
      <c r="F63" s="13" t="b">
        <f>IF($E63=Categories!$A$1,"",IF($E63=Categories!$A$2,Categories!$B$2,IF($E63=Categories!$A$3,Categories!$B$3,IF($E63=Categories!$A$4,Categories!$B$4,IF($E63=Categories!$A$5,Categories!$B$5,IF($E63=Categories!$A$6,Categories!$B$6,IF($E63=Categories!$A$7,Categories!$B$7,IF($E63=Categories!$A$8,Categories!$B$8,IF($E63=Categories!$A$9,Categories!$B$9,IF($E63=Categories!$A$10,Categories!$B$10,IF($E63=Categories!$A$11,Categories!$B$11,IF($E63=Categories!$A$12,Categories!$B$12,IF($E63=Categories!$A$13,Categories!$B$13,IF($E63=Categories!$A$14,Categories!$B$14,IF($E63=Categories!$A$15,Categories!$B$15,IF($E63=Categories!$A$16,Categories!$B$16,IF($E63=Categories!$A$17,Categories!$B$17,IF($E63=Categories!$A$18,Categories!$B$18,IF($E63=Categories!$A$19,Categories!$B$19)))))))))))))))))))</f>
        <v>0</v>
      </c>
      <c r="G63" s="9" t="str">
        <f t="shared" si="0"/>
        <v/>
      </c>
      <c r="H63" s="1" t="str">
        <f t="shared" si="1"/>
        <v/>
      </c>
      <c r="I63" s="1" t="str">
        <f t="shared" si="2"/>
        <v/>
      </c>
      <c r="J63" s="1" t="str">
        <f t="shared" si="3"/>
        <v/>
      </c>
      <c r="K63" s="13" t="str">
        <f t="shared" si="4"/>
        <v/>
      </c>
      <c r="L63" s="9" t="str">
        <f t="shared" si="5"/>
        <v/>
      </c>
      <c r="M63" s="1" t="str">
        <f t="shared" si="6"/>
        <v/>
      </c>
      <c r="N63" s="1" t="str">
        <f t="shared" si="7"/>
        <v/>
      </c>
      <c r="O63" s="1" t="str">
        <f t="shared" si="8"/>
        <v/>
      </c>
      <c r="P63" s="1" t="str">
        <f t="shared" si="9"/>
        <v/>
      </c>
      <c r="Q63" s="1" t="str">
        <f t="shared" si="10"/>
        <v/>
      </c>
      <c r="R63" s="1" t="str">
        <f t="shared" si="11"/>
        <v/>
      </c>
      <c r="S63" s="1" t="str">
        <f t="shared" si="12"/>
        <v/>
      </c>
      <c r="T63" s="1" t="str">
        <f t="shared" si="13"/>
        <v/>
      </c>
      <c r="U63" s="1" t="str">
        <f t="shared" si="14"/>
        <v/>
      </c>
      <c r="V63" s="1" t="str">
        <f t="shared" si="15"/>
        <v/>
      </c>
      <c r="W63" s="26" t="str">
        <f t="shared" si="16"/>
        <v/>
      </c>
      <c r="X63" s="13" t="str">
        <f t="shared" si="17"/>
        <v/>
      </c>
      <c r="Y63" s="9">
        <f t="shared" si="18"/>
        <v>0</v>
      </c>
    </row>
    <row r="64" spans="1:25" x14ac:dyDescent="0.25">
      <c r="A64" s="28"/>
      <c r="B64" s="29"/>
      <c r="C64" s="30"/>
      <c r="D64" s="31"/>
      <c r="E64" s="29" t="s">
        <v>16</v>
      </c>
      <c r="F64" s="13" t="b">
        <f>IF($E64=Categories!$A$1,"",IF($E64=Categories!$A$2,Categories!$B$2,IF($E64=Categories!$A$3,Categories!$B$3,IF($E64=Categories!$A$4,Categories!$B$4,IF($E64=Categories!$A$5,Categories!$B$5,IF($E64=Categories!$A$6,Categories!$B$6,IF($E64=Categories!$A$7,Categories!$B$7,IF($E64=Categories!$A$8,Categories!$B$8,IF($E64=Categories!$A$9,Categories!$B$9,IF($E64=Categories!$A$10,Categories!$B$10,IF($E64=Categories!$A$11,Categories!$B$11,IF($E64=Categories!$A$12,Categories!$B$12,IF($E64=Categories!$A$13,Categories!$B$13,IF($E64=Categories!$A$14,Categories!$B$14,IF($E64=Categories!$A$15,Categories!$B$15,IF($E64=Categories!$A$16,Categories!$B$16,IF($E64=Categories!$A$17,Categories!$B$17,IF($E64=Categories!$A$18,Categories!$B$18,IF($E64=Categories!$A$19,Categories!$B$19)))))))))))))))))))</f>
        <v>0</v>
      </c>
      <c r="G64" s="9" t="str">
        <f t="shared" si="0"/>
        <v/>
      </c>
      <c r="H64" s="1" t="str">
        <f t="shared" si="1"/>
        <v/>
      </c>
      <c r="I64" s="1" t="str">
        <f t="shared" si="2"/>
        <v/>
      </c>
      <c r="J64" s="1" t="str">
        <f t="shared" si="3"/>
        <v/>
      </c>
      <c r="K64" s="13" t="str">
        <f t="shared" si="4"/>
        <v/>
      </c>
      <c r="L64" s="9" t="str">
        <f t="shared" si="5"/>
        <v/>
      </c>
      <c r="M64" s="1" t="str">
        <f t="shared" si="6"/>
        <v/>
      </c>
      <c r="N64" s="1" t="str">
        <f t="shared" si="7"/>
        <v/>
      </c>
      <c r="O64" s="1" t="str">
        <f t="shared" si="8"/>
        <v/>
      </c>
      <c r="P64" s="1" t="str">
        <f t="shared" si="9"/>
        <v/>
      </c>
      <c r="Q64" s="1" t="str">
        <f t="shared" si="10"/>
        <v/>
      </c>
      <c r="R64" s="1" t="str">
        <f t="shared" si="11"/>
        <v/>
      </c>
      <c r="S64" s="1" t="str">
        <f t="shared" si="12"/>
        <v/>
      </c>
      <c r="T64" s="1" t="str">
        <f t="shared" si="13"/>
        <v/>
      </c>
      <c r="U64" s="1" t="str">
        <f t="shared" si="14"/>
        <v/>
      </c>
      <c r="V64" s="1" t="str">
        <f t="shared" si="15"/>
        <v/>
      </c>
      <c r="W64" s="26" t="str">
        <f t="shared" si="16"/>
        <v/>
      </c>
      <c r="X64" s="13" t="str">
        <f t="shared" si="17"/>
        <v/>
      </c>
      <c r="Y64" s="9">
        <f t="shared" si="18"/>
        <v>0</v>
      </c>
    </row>
    <row r="65" spans="1:25" x14ac:dyDescent="0.25">
      <c r="A65" s="28"/>
      <c r="B65" s="29"/>
      <c r="C65" s="30"/>
      <c r="D65" s="31"/>
      <c r="E65" s="29" t="s">
        <v>16</v>
      </c>
      <c r="F65" s="13" t="b">
        <f>IF($E65=Categories!$A$1,"",IF($E65=Categories!$A$2,Categories!$B$2,IF($E65=Categories!$A$3,Categories!$B$3,IF($E65=Categories!$A$4,Categories!$B$4,IF($E65=Categories!$A$5,Categories!$B$5,IF($E65=Categories!$A$6,Categories!$B$6,IF($E65=Categories!$A$7,Categories!$B$7,IF($E65=Categories!$A$8,Categories!$B$8,IF($E65=Categories!$A$9,Categories!$B$9,IF($E65=Categories!$A$10,Categories!$B$10,IF($E65=Categories!$A$11,Categories!$B$11,IF($E65=Categories!$A$12,Categories!$B$12,IF($E65=Categories!$A$13,Categories!$B$13,IF($E65=Categories!$A$14,Categories!$B$14,IF($E65=Categories!$A$15,Categories!$B$15,IF($E65=Categories!$A$16,Categories!$B$16,IF($E65=Categories!$A$17,Categories!$B$17,IF($E65=Categories!$A$18,Categories!$B$18,IF($E65=Categories!$A$19,Categories!$B$19)))))))))))))))))))</f>
        <v>0</v>
      </c>
      <c r="G65" s="9" t="str">
        <f t="shared" si="0"/>
        <v/>
      </c>
      <c r="H65" s="1" t="str">
        <f t="shared" si="1"/>
        <v/>
      </c>
      <c r="I65" s="1" t="str">
        <f t="shared" si="2"/>
        <v/>
      </c>
      <c r="J65" s="1" t="str">
        <f t="shared" si="3"/>
        <v/>
      </c>
      <c r="K65" s="13" t="str">
        <f t="shared" si="4"/>
        <v/>
      </c>
      <c r="L65" s="9" t="str">
        <f t="shared" si="5"/>
        <v/>
      </c>
      <c r="M65" s="1" t="str">
        <f t="shared" si="6"/>
        <v/>
      </c>
      <c r="N65" s="1" t="str">
        <f t="shared" si="7"/>
        <v/>
      </c>
      <c r="O65" s="1" t="str">
        <f t="shared" si="8"/>
        <v/>
      </c>
      <c r="P65" s="1" t="str">
        <f t="shared" si="9"/>
        <v/>
      </c>
      <c r="Q65" s="1" t="str">
        <f t="shared" si="10"/>
        <v/>
      </c>
      <c r="R65" s="1" t="str">
        <f t="shared" si="11"/>
        <v/>
      </c>
      <c r="S65" s="1" t="str">
        <f t="shared" si="12"/>
        <v/>
      </c>
      <c r="T65" s="1" t="str">
        <f t="shared" si="13"/>
        <v/>
      </c>
      <c r="U65" s="1" t="str">
        <f t="shared" si="14"/>
        <v/>
      </c>
      <c r="V65" s="1" t="str">
        <f t="shared" si="15"/>
        <v/>
      </c>
      <c r="W65" s="26" t="str">
        <f t="shared" si="16"/>
        <v/>
      </c>
      <c r="X65" s="13" t="str">
        <f t="shared" si="17"/>
        <v/>
      </c>
      <c r="Y65" s="9">
        <f t="shared" si="18"/>
        <v>0</v>
      </c>
    </row>
    <row r="66" spans="1:25" x14ac:dyDescent="0.25">
      <c r="A66" s="28"/>
      <c r="B66" s="29"/>
      <c r="C66" s="30"/>
      <c r="D66" s="31"/>
      <c r="E66" s="29" t="s">
        <v>16</v>
      </c>
      <c r="F66" s="13" t="b">
        <f>IF($E66=Categories!$A$1,"",IF($E66=Categories!$A$2,Categories!$B$2,IF($E66=Categories!$A$3,Categories!$B$3,IF($E66=Categories!$A$4,Categories!$B$4,IF($E66=Categories!$A$5,Categories!$B$5,IF($E66=Categories!$A$6,Categories!$B$6,IF($E66=Categories!$A$7,Categories!$B$7,IF($E66=Categories!$A$8,Categories!$B$8,IF($E66=Categories!$A$9,Categories!$B$9,IF($E66=Categories!$A$10,Categories!$B$10,IF($E66=Categories!$A$11,Categories!$B$11,IF($E66=Categories!$A$12,Categories!$B$12,IF($E66=Categories!$A$13,Categories!$B$13,IF($E66=Categories!$A$14,Categories!$B$14,IF($E66=Categories!$A$15,Categories!$B$15,IF($E66=Categories!$A$16,Categories!$B$16,IF($E66=Categories!$A$17,Categories!$B$17,IF($E66=Categories!$A$18,Categories!$B$18,IF($E66=Categories!$A$19,Categories!$B$19)))))))))))))))))))</f>
        <v>0</v>
      </c>
      <c r="G66" s="9" t="str">
        <f t="shared" si="0"/>
        <v/>
      </c>
      <c r="H66" s="1" t="str">
        <f t="shared" si="1"/>
        <v/>
      </c>
      <c r="I66" s="1" t="str">
        <f t="shared" si="2"/>
        <v/>
      </c>
      <c r="J66" s="1" t="str">
        <f t="shared" si="3"/>
        <v/>
      </c>
      <c r="K66" s="13" t="str">
        <f t="shared" si="4"/>
        <v/>
      </c>
      <c r="L66" s="9" t="str">
        <f t="shared" si="5"/>
        <v/>
      </c>
      <c r="M66" s="1" t="str">
        <f t="shared" si="6"/>
        <v/>
      </c>
      <c r="N66" s="1" t="str">
        <f t="shared" si="7"/>
        <v/>
      </c>
      <c r="O66" s="1" t="str">
        <f t="shared" si="8"/>
        <v/>
      </c>
      <c r="P66" s="1" t="str">
        <f t="shared" si="9"/>
        <v/>
      </c>
      <c r="Q66" s="1" t="str">
        <f t="shared" si="10"/>
        <v/>
      </c>
      <c r="R66" s="1" t="str">
        <f t="shared" si="11"/>
        <v/>
      </c>
      <c r="S66" s="1" t="str">
        <f t="shared" si="12"/>
        <v/>
      </c>
      <c r="T66" s="1" t="str">
        <f t="shared" si="13"/>
        <v/>
      </c>
      <c r="U66" s="1" t="str">
        <f t="shared" si="14"/>
        <v/>
      </c>
      <c r="V66" s="1" t="str">
        <f t="shared" si="15"/>
        <v/>
      </c>
      <c r="W66" s="26" t="str">
        <f t="shared" si="16"/>
        <v/>
      </c>
      <c r="X66" s="13" t="str">
        <f t="shared" si="17"/>
        <v/>
      </c>
      <c r="Y66" s="9">
        <f t="shared" si="18"/>
        <v>0</v>
      </c>
    </row>
    <row r="67" spans="1:25" x14ac:dyDescent="0.25">
      <c r="A67" s="28"/>
      <c r="B67" s="29"/>
      <c r="C67" s="30"/>
      <c r="D67" s="31"/>
      <c r="E67" s="29" t="s">
        <v>16</v>
      </c>
      <c r="F67" s="13" t="b">
        <f>IF($E67=Categories!$A$1,"",IF($E67=Categories!$A$2,Categories!$B$2,IF($E67=Categories!$A$3,Categories!$B$3,IF($E67=Categories!$A$4,Categories!$B$4,IF($E67=Categories!$A$5,Categories!$B$5,IF($E67=Categories!$A$6,Categories!$B$6,IF($E67=Categories!$A$7,Categories!$B$7,IF($E67=Categories!$A$8,Categories!$B$8,IF($E67=Categories!$A$9,Categories!$B$9,IF($E67=Categories!$A$10,Categories!$B$10,IF($E67=Categories!$A$11,Categories!$B$11,IF($E67=Categories!$A$12,Categories!$B$12,IF($E67=Categories!$A$13,Categories!$B$13,IF($E67=Categories!$A$14,Categories!$B$14,IF($E67=Categories!$A$15,Categories!$B$15,IF($E67=Categories!$A$16,Categories!$B$16,IF($E67=Categories!$A$17,Categories!$B$17,IF($E67=Categories!$A$18,Categories!$B$18,IF($E67=Categories!$A$19,Categories!$B$19)))))))))))))))))))</f>
        <v>0</v>
      </c>
      <c r="G67" s="9" t="str">
        <f t="shared" si="0"/>
        <v/>
      </c>
      <c r="H67" s="1" t="str">
        <f t="shared" si="1"/>
        <v/>
      </c>
      <c r="I67" s="1" t="str">
        <f t="shared" si="2"/>
        <v/>
      </c>
      <c r="J67" s="1" t="str">
        <f t="shared" si="3"/>
        <v/>
      </c>
      <c r="K67" s="13" t="str">
        <f t="shared" si="4"/>
        <v/>
      </c>
      <c r="L67" s="9" t="str">
        <f t="shared" si="5"/>
        <v/>
      </c>
      <c r="M67" s="1" t="str">
        <f t="shared" si="6"/>
        <v/>
      </c>
      <c r="N67" s="1" t="str">
        <f t="shared" si="7"/>
        <v/>
      </c>
      <c r="O67" s="1" t="str">
        <f t="shared" si="8"/>
        <v/>
      </c>
      <c r="P67" s="1" t="str">
        <f t="shared" si="9"/>
        <v/>
      </c>
      <c r="Q67" s="1" t="str">
        <f t="shared" si="10"/>
        <v/>
      </c>
      <c r="R67" s="1" t="str">
        <f t="shared" si="11"/>
        <v/>
      </c>
      <c r="S67" s="1" t="str">
        <f t="shared" si="12"/>
        <v/>
      </c>
      <c r="T67" s="1" t="str">
        <f t="shared" si="13"/>
        <v/>
      </c>
      <c r="U67" s="1" t="str">
        <f t="shared" si="14"/>
        <v/>
      </c>
      <c r="V67" s="1" t="str">
        <f t="shared" si="15"/>
        <v/>
      </c>
      <c r="W67" s="26" t="str">
        <f t="shared" si="16"/>
        <v/>
      </c>
      <c r="X67" s="13" t="str">
        <f t="shared" si="17"/>
        <v/>
      </c>
      <c r="Y67" s="9">
        <f t="shared" si="18"/>
        <v>0</v>
      </c>
    </row>
    <row r="68" spans="1:25" x14ac:dyDescent="0.25">
      <c r="A68" s="28"/>
      <c r="B68" s="29"/>
      <c r="C68" s="30"/>
      <c r="D68" s="31"/>
      <c r="E68" s="29" t="s">
        <v>16</v>
      </c>
      <c r="F68" s="13" t="b">
        <f>IF($E68=Categories!$A$1,"",IF($E68=Categories!$A$2,Categories!$B$2,IF($E68=Categories!$A$3,Categories!$B$3,IF($E68=Categories!$A$4,Categories!$B$4,IF($E68=Categories!$A$5,Categories!$B$5,IF($E68=Categories!$A$6,Categories!$B$6,IF($E68=Categories!$A$7,Categories!$B$7,IF($E68=Categories!$A$8,Categories!$B$8,IF($E68=Categories!$A$9,Categories!$B$9,IF($E68=Categories!$A$10,Categories!$B$10,IF($E68=Categories!$A$11,Categories!$B$11,IF($E68=Categories!$A$12,Categories!$B$12,IF($E68=Categories!$A$13,Categories!$B$13,IF($E68=Categories!$A$14,Categories!$B$14,IF($E68=Categories!$A$15,Categories!$B$15,IF($E68=Categories!$A$16,Categories!$B$16,IF($E68=Categories!$A$17,Categories!$B$17,IF($E68=Categories!$A$18,Categories!$B$18,IF($E68=Categories!$A$19,Categories!$B$19)))))))))))))))))))</f>
        <v>0</v>
      </c>
      <c r="G68" s="9" t="str">
        <f t="shared" si="0"/>
        <v/>
      </c>
      <c r="H68" s="1" t="str">
        <f t="shared" si="1"/>
        <v/>
      </c>
      <c r="I68" s="1" t="str">
        <f t="shared" si="2"/>
        <v/>
      </c>
      <c r="J68" s="1" t="str">
        <f t="shared" si="3"/>
        <v/>
      </c>
      <c r="K68" s="13" t="str">
        <f t="shared" si="4"/>
        <v/>
      </c>
      <c r="L68" s="9" t="str">
        <f t="shared" si="5"/>
        <v/>
      </c>
      <c r="M68" s="1" t="str">
        <f t="shared" si="6"/>
        <v/>
      </c>
      <c r="N68" s="1" t="str">
        <f t="shared" si="7"/>
        <v/>
      </c>
      <c r="O68" s="1" t="str">
        <f t="shared" si="8"/>
        <v/>
      </c>
      <c r="P68" s="1" t="str">
        <f t="shared" si="9"/>
        <v/>
      </c>
      <c r="Q68" s="1" t="str">
        <f t="shared" si="10"/>
        <v/>
      </c>
      <c r="R68" s="1" t="str">
        <f t="shared" si="11"/>
        <v/>
      </c>
      <c r="S68" s="1" t="str">
        <f t="shared" si="12"/>
        <v/>
      </c>
      <c r="T68" s="1" t="str">
        <f t="shared" si="13"/>
        <v/>
      </c>
      <c r="U68" s="1" t="str">
        <f t="shared" si="14"/>
        <v/>
      </c>
      <c r="V68" s="1" t="str">
        <f t="shared" si="15"/>
        <v/>
      </c>
      <c r="W68" s="26" t="str">
        <f t="shared" si="16"/>
        <v/>
      </c>
      <c r="X68" s="13" t="str">
        <f t="shared" si="17"/>
        <v/>
      </c>
      <c r="Y68" s="9">
        <f t="shared" si="18"/>
        <v>0</v>
      </c>
    </row>
    <row r="69" spans="1:25" x14ac:dyDescent="0.25">
      <c r="A69" s="28"/>
      <c r="B69" s="29"/>
      <c r="C69" s="30"/>
      <c r="D69" s="31"/>
      <c r="E69" s="29" t="s">
        <v>16</v>
      </c>
      <c r="F69" s="13" t="b">
        <f>IF($E69=Categories!$A$1,"",IF($E69=Categories!$A$2,Categories!$B$2,IF($E69=Categories!$A$3,Categories!$B$3,IF($E69=Categories!$A$4,Categories!$B$4,IF($E69=Categories!$A$5,Categories!$B$5,IF($E69=Categories!$A$6,Categories!$B$6,IF($E69=Categories!$A$7,Categories!$B$7,IF($E69=Categories!$A$8,Categories!$B$8,IF($E69=Categories!$A$9,Categories!$B$9,IF($E69=Categories!$A$10,Categories!$B$10,IF($E69=Categories!$A$11,Categories!$B$11,IF($E69=Categories!$A$12,Categories!$B$12,IF($E69=Categories!$A$13,Categories!$B$13,IF($E69=Categories!$A$14,Categories!$B$14,IF($E69=Categories!$A$15,Categories!$B$15,IF($E69=Categories!$A$16,Categories!$B$16,IF($E69=Categories!$A$17,Categories!$B$17,IF($E69=Categories!$A$18,Categories!$B$18,IF($E69=Categories!$A$19,Categories!$B$19)))))))))))))))))))</f>
        <v>0</v>
      </c>
      <c r="G69" s="9" t="str">
        <f t="shared" si="0"/>
        <v/>
      </c>
      <c r="H69" s="1" t="str">
        <f t="shared" si="1"/>
        <v/>
      </c>
      <c r="I69" s="1" t="str">
        <f t="shared" si="2"/>
        <v/>
      </c>
      <c r="J69" s="1" t="str">
        <f t="shared" si="3"/>
        <v/>
      </c>
      <c r="K69" s="13" t="str">
        <f t="shared" si="4"/>
        <v/>
      </c>
      <c r="L69" s="9" t="str">
        <f t="shared" si="5"/>
        <v/>
      </c>
      <c r="M69" s="1" t="str">
        <f t="shared" si="6"/>
        <v/>
      </c>
      <c r="N69" s="1" t="str">
        <f t="shared" si="7"/>
        <v/>
      </c>
      <c r="O69" s="1" t="str">
        <f t="shared" si="8"/>
        <v/>
      </c>
      <c r="P69" s="1" t="str">
        <f t="shared" si="9"/>
        <v/>
      </c>
      <c r="Q69" s="1" t="str">
        <f t="shared" si="10"/>
        <v/>
      </c>
      <c r="R69" s="1" t="str">
        <f t="shared" si="11"/>
        <v/>
      </c>
      <c r="S69" s="1" t="str">
        <f t="shared" si="12"/>
        <v/>
      </c>
      <c r="T69" s="1" t="str">
        <f t="shared" si="13"/>
        <v/>
      </c>
      <c r="U69" s="1" t="str">
        <f t="shared" si="14"/>
        <v/>
      </c>
      <c r="V69" s="1" t="str">
        <f t="shared" si="15"/>
        <v/>
      </c>
      <c r="W69" s="26" t="str">
        <f t="shared" si="16"/>
        <v/>
      </c>
      <c r="X69" s="13" t="str">
        <f t="shared" si="17"/>
        <v/>
      </c>
      <c r="Y69" s="9">
        <f t="shared" si="18"/>
        <v>0</v>
      </c>
    </row>
    <row r="70" spans="1:25" x14ac:dyDescent="0.25">
      <c r="A70" s="28"/>
      <c r="B70" s="29"/>
      <c r="C70" s="30"/>
      <c r="D70" s="31"/>
      <c r="E70" s="29" t="s">
        <v>16</v>
      </c>
      <c r="F70" s="13" t="b">
        <f>IF($E70=Categories!$A$1,"",IF($E70=Categories!$A$2,Categories!$B$2,IF($E70=Categories!$A$3,Categories!$B$3,IF($E70=Categories!$A$4,Categories!$B$4,IF($E70=Categories!$A$5,Categories!$B$5,IF($E70=Categories!$A$6,Categories!$B$6,IF($E70=Categories!$A$7,Categories!$B$7,IF($E70=Categories!$A$8,Categories!$B$8,IF($E70=Categories!$A$9,Categories!$B$9,IF($E70=Categories!$A$10,Categories!$B$10,IF($E70=Categories!$A$11,Categories!$B$11,IF($E70=Categories!$A$12,Categories!$B$12,IF($E70=Categories!$A$13,Categories!$B$13,IF($E70=Categories!$A$14,Categories!$B$14,IF($E70=Categories!$A$15,Categories!$B$15,IF($E70=Categories!$A$16,Categories!$B$16,IF($E70=Categories!$A$17,Categories!$B$17,IF($E70=Categories!$A$18,Categories!$B$18,IF($E70=Categories!$A$19,Categories!$B$19)))))))))))))))))))</f>
        <v>0</v>
      </c>
      <c r="G70" s="9" t="str">
        <f t="shared" si="0"/>
        <v/>
      </c>
      <c r="H70" s="1" t="str">
        <f t="shared" si="1"/>
        <v/>
      </c>
      <c r="I70" s="1" t="str">
        <f t="shared" si="2"/>
        <v/>
      </c>
      <c r="J70" s="1" t="str">
        <f t="shared" si="3"/>
        <v/>
      </c>
      <c r="K70" s="13" t="str">
        <f t="shared" si="4"/>
        <v/>
      </c>
      <c r="L70" s="9" t="str">
        <f t="shared" si="5"/>
        <v/>
      </c>
      <c r="M70" s="1" t="str">
        <f t="shared" si="6"/>
        <v/>
      </c>
      <c r="N70" s="1" t="str">
        <f t="shared" si="7"/>
        <v/>
      </c>
      <c r="O70" s="1" t="str">
        <f t="shared" si="8"/>
        <v/>
      </c>
      <c r="P70" s="1" t="str">
        <f t="shared" si="9"/>
        <v/>
      </c>
      <c r="Q70" s="1" t="str">
        <f t="shared" si="10"/>
        <v/>
      </c>
      <c r="R70" s="1" t="str">
        <f t="shared" si="11"/>
        <v/>
      </c>
      <c r="S70" s="1" t="str">
        <f t="shared" si="12"/>
        <v/>
      </c>
      <c r="T70" s="1" t="str">
        <f t="shared" si="13"/>
        <v/>
      </c>
      <c r="U70" s="1" t="str">
        <f t="shared" si="14"/>
        <v/>
      </c>
      <c r="V70" s="1" t="str">
        <f t="shared" si="15"/>
        <v/>
      </c>
      <c r="W70" s="26" t="str">
        <f t="shared" si="16"/>
        <v/>
      </c>
      <c r="X70" s="13" t="str">
        <f t="shared" si="17"/>
        <v/>
      </c>
      <c r="Y70" s="9">
        <f t="shared" si="18"/>
        <v>0</v>
      </c>
    </row>
    <row r="71" spans="1:25" x14ac:dyDescent="0.25">
      <c r="A71" s="28"/>
      <c r="B71" s="29"/>
      <c r="C71" s="30"/>
      <c r="D71" s="31"/>
      <c r="E71" s="29" t="s">
        <v>16</v>
      </c>
      <c r="F71" s="13" t="b">
        <f>IF($E71=Categories!$A$1,"",IF($E71=Categories!$A$2,Categories!$B$2,IF($E71=Categories!$A$3,Categories!$B$3,IF($E71=Categories!$A$4,Categories!$B$4,IF($E71=Categories!$A$5,Categories!$B$5,IF($E71=Categories!$A$6,Categories!$B$6,IF($E71=Categories!$A$7,Categories!$B$7,IF($E71=Categories!$A$8,Categories!$B$8,IF($E71=Categories!$A$9,Categories!$B$9,IF($E71=Categories!$A$10,Categories!$B$10,IF($E71=Categories!$A$11,Categories!$B$11,IF($E71=Categories!$A$12,Categories!$B$12,IF($E71=Categories!$A$13,Categories!$B$13,IF($E71=Categories!$A$14,Categories!$B$14,IF($E71=Categories!$A$15,Categories!$B$15,IF($E71=Categories!$A$16,Categories!$B$16,IF($E71=Categories!$A$17,Categories!$B$17,IF($E71=Categories!$A$18,Categories!$B$18,IF($E71=Categories!$A$19,Categories!$B$19)))))))))))))))))))</f>
        <v>0</v>
      </c>
      <c r="G71" s="9" t="str">
        <f t="shared" ref="G71:G95" si="19">IF($F71="Inc1",$D71,"")</f>
        <v/>
      </c>
      <c r="H71" s="1" t="str">
        <f t="shared" ref="H71:H95" si="20">IF($F71="Inc2",$D71,"")</f>
        <v/>
      </c>
      <c r="I71" s="1" t="str">
        <f t="shared" ref="I71:I95" si="21">IF($F71="Int",$D71,"")</f>
        <v/>
      </c>
      <c r="J71" s="1" t="str">
        <f t="shared" ref="J71:J95" si="22">IF($F71="Inc4",$D71,"")</f>
        <v/>
      </c>
      <c r="K71" s="13" t="str">
        <f t="shared" ref="K71:K95" si="23">IF($F71="Inc5",$D71,"")</f>
        <v/>
      </c>
      <c r="L71" s="9" t="str">
        <f t="shared" ref="L71:L95" si="24">IF($F71="ExpA",$D71,"")</f>
        <v/>
      </c>
      <c r="M71" s="1" t="str">
        <f t="shared" ref="M71:M95" si="25">IF($F71="ExpB",$D71,"")</f>
        <v/>
      </c>
      <c r="N71" s="1" t="str">
        <f t="shared" ref="N71:N95" si="26">IF($F71="ExpC",$D71,"")</f>
        <v/>
      </c>
      <c r="O71" s="1" t="str">
        <f t="shared" ref="O71:O95" si="27">IF($F71="ExpD",$D71,"")</f>
        <v/>
      </c>
      <c r="P71" s="1" t="str">
        <f t="shared" ref="P71:P95" si="28">IF($F71="ExpE",$D71,"")</f>
        <v/>
      </c>
      <c r="Q71" s="1" t="str">
        <f t="shared" ref="Q71:Q95" si="29">IF($F71="ExpF",$D71,"")</f>
        <v/>
      </c>
      <c r="R71" s="1" t="str">
        <f t="shared" ref="R71:R95" si="30">IF($F71="ExpG",$D71,"")</f>
        <v/>
      </c>
      <c r="S71" s="1" t="str">
        <f t="shared" ref="S71:S95" si="31">IF($F71="ExpH",$D71,"")</f>
        <v/>
      </c>
      <c r="T71" s="1" t="str">
        <f t="shared" ref="T71:T95" si="32">IF($F71="ExpI",$D71,"")</f>
        <v/>
      </c>
      <c r="U71" s="1" t="str">
        <f t="shared" ref="U71:U95" si="33">IF($F71="ExpJ",$D71,"")</f>
        <v/>
      </c>
      <c r="V71" s="1" t="str">
        <f t="shared" ref="V71:V95" si="34">IF($F71="ExpK",$D71,"")</f>
        <v/>
      </c>
      <c r="W71" s="26" t="str">
        <f t="shared" ref="W71:W95" si="35">IF($F71="ExpL",$D71,"")</f>
        <v/>
      </c>
      <c r="X71" s="13" t="str">
        <f t="shared" ref="X71:X95" si="36">IF($F71="Expm",$D71,"")</f>
        <v/>
      </c>
      <c r="Y71" s="9">
        <f t="shared" si="18"/>
        <v>0</v>
      </c>
    </row>
    <row r="72" spans="1:25" x14ac:dyDescent="0.25">
      <c r="A72" s="28"/>
      <c r="B72" s="29"/>
      <c r="C72" s="30"/>
      <c r="D72" s="31"/>
      <c r="E72" s="29" t="s">
        <v>16</v>
      </c>
      <c r="F72" s="13" t="b">
        <f>IF($E72=Categories!$A$1,"",IF($E72=Categories!$A$2,Categories!$B$2,IF($E72=Categories!$A$3,Categories!$B$3,IF($E72=Categories!$A$4,Categories!$B$4,IF($E72=Categories!$A$5,Categories!$B$5,IF($E72=Categories!$A$6,Categories!$B$6,IF($E72=Categories!$A$7,Categories!$B$7,IF($E72=Categories!$A$8,Categories!$B$8,IF($E72=Categories!$A$9,Categories!$B$9,IF($E72=Categories!$A$10,Categories!$B$10,IF($E72=Categories!$A$11,Categories!$B$11,IF($E72=Categories!$A$12,Categories!$B$12,IF($E72=Categories!$A$13,Categories!$B$13,IF($E72=Categories!$A$14,Categories!$B$14,IF($E72=Categories!$A$15,Categories!$B$15,IF($E72=Categories!$A$16,Categories!$B$16,IF($E72=Categories!$A$17,Categories!$B$17,IF($E72=Categories!$A$18,Categories!$B$18,IF($E72=Categories!$A$19,Categories!$B$19)))))))))))))))))))</f>
        <v>0</v>
      </c>
      <c r="G72" s="9" t="str">
        <f t="shared" si="19"/>
        <v/>
      </c>
      <c r="H72" s="1" t="str">
        <f t="shared" si="20"/>
        <v/>
      </c>
      <c r="I72" s="1" t="str">
        <f t="shared" si="21"/>
        <v/>
      </c>
      <c r="J72" s="1" t="str">
        <f t="shared" si="22"/>
        <v/>
      </c>
      <c r="K72" s="13" t="str">
        <f t="shared" si="23"/>
        <v/>
      </c>
      <c r="L72" s="9" t="str">
        <f t="shared" si="24"/>
        <v/>
      </c>
      <c r="M72" s="1" t="str">
        <f t="shared" si="25"/>
        <v/>
      </c>
      <c r="N72" s="1" t="str">
        <f t="shared" si="26"/>
        <v/>
      </c>
      <c r="O72" s="1" t="str">
        <f t="shared" si="27"/>
        <v/>
      </c>
      <c r="P72" s="1" t="str">
        <f t="shared" si="28"/>
        <v/>
      </c>
      <c r="Q72" s="1" t="str">
        <f t="shared" si="29"/>
        <v/>
      </c>
      <c r="R72" s="1" t="str">
        <f t="shared" si="30"/>
        <v/>
      </c>
      <c r="S72" s="1" t="str">
        <f t="shared" si="31"/>
        <v/>
      </c>
      <c r="T72" s="1" t="str">
        <f t="shared" si="32"/>
        <v/>
      </c>
      <c r="U72" s="1" t="str">
        <f t="shared" si="33"/>
        <v/>
      </c>
      <c r="V72" s="1" t="str">
        <f t="shared" si="34"/>
        <v/>
      </c>
      <c r="W72" s="26" t="str">
        <f t="shared" si="35"/>
        <v/>
      </c>
      <c r="X72" s="13" t="str">
        <f t="shared" si="36"/>
        <v/>
      </c>
      <c r="Y72" s="9">
        <f t="shared" ref="Y72:Y95" si="37">Y71+SUM(G72:K72)-SUM(L72:X72)</f>
        <v>0</v>
      </c>
    </row>
    <row r="73" spans="1:25" x14ac:dyDescent="0.25">
      <c r="A73" s="28"/>
      <c r="B73" s="29"/>
      <c r="C73" s="30"/>
      <c r="D73" s="31"/>
      <c r="E73" s="29" t="s">
        <v>16</v>
      </c>
      <c r="F73" s="13" t="b">
        <f>IF($E73=Categories!$A$1,"",IF($E73=Categories!$A$2,Categories!$B$2,IF($E73=Categories!$A$3,Categories!$B$3,IF($E73=Categories!$A$4,Categories!$B$4,IF($E73=Categories!$A$5,Categories!$B$5,IF($E73=Categories!$A$6,Categories!$B$6,IF($E73=Categories!$A$7,Categories!$B$7,IF($E73=Categories!$A$8,Categories!$B$8,IF($E73=Categories!$A$9,Categories!$B$9,IF($E73=Categories!$A$10,Categories!$B$10,IF($E73=Categories!$A$11,Categories!$B$11,IF($E73=Categories!$A$12,Categories!$B$12,IF($E73=Categories!$A$13,Categories!$B$13,IF($E73=Categories!$A$14,Categories!$B$14,IF($E73=Categories!$A$15,Categories!$B$15,IF($E73=Categories!$A$16,Categories!$B$16,IF($E73=Categories!$A$17,Categories!$B$17,IF($E73=Categories!$A$18,Categories!$B$18,IF($E73=Categories!$A$19,Categories!$B$19)))))))))))))))))))</f>
        <v>0</v>
      </c>
      <c r="G73" s="9" t="str">
        <f t="shared" si="19"/>
        <v/>
      </c>
      <c r="H73" s="1" t="str">
        <f t="shared" si="20"/>
        <v/>
      </c>
      <c r="I73" s="1" t="str">
        <f t="shared" si="21"/>
        <v/>
      </c>
      <c r="J73" s="1" t="str">
        <f t="shared" si="22"/>
        <v/>
      </c>
      <c r="K73" s="13" t="str">
        <f t="shared" si="23"/>
        <v/>
      </c>
      <c r="L73" s="9" t="str">
        <f t="shared" si="24"/>
        <v/>
      </c>
      <c r="M73" s="1" t="str">
        <f t="shared" si="25"/>
        <v/>
      </c>
      <c r="N73" s="1" t="str">
        <f t="shared" si="26"/>
        <v/>
      </c>
      <c r="O73" s="1" t="str">
        <f t="shared" si="27"/>
        <v/>
      </c>
      <c r="P73" s="1" t="str">
        <f t="shared" si="28"/>
        <v/>
      </c>
      <c r="Q73" s="1" t="str">
        <f t="shared" si="29"/>
        <v/>
      </c>
      <c r="R73" s="1" t="str">
        <f t="shared" si="30"/>
        <v/>
      </c>
      <c r="S73" s="1" t="str">
        <f t="shared" si="31"/>
        <v/>
      </c>
      <c r="T73" s="1" t="str">
        <f t="shared" si="32"/>
        <v/>
      </c>
      <c r="U73" s="1" t="str">
        <f t="shared" si="33"/>
        <v/>
      </c>
      <c r="V73" s="1" t="str">
        <f t="shared" si="34"/>
        <v/>
      </c>
      <c r="W73" s="26" t="str">
        <f t="shared" si="35"/>
        <v/>
      </c>
      <c r="X73" s="13" t="str">
        <f t="shared" si="36"/>
        <v/>
      </c>
      <c r="Y73" s="9">
        <f t="shared" si="37"/>
        <v>0</v>
      </c>
    </row>
    <row r="74" spans="1:25" x14ac:dyDescent="0.25">
      <c r="A74" s="28"/>
      <c r="B74" s="29"/>
      <c r="C74" s="30"/>
      <c r="D74" s="31"/>
      <c r="E74" s="29" t="s">
        <v>16</v>
      </c>
      <c r="F74" s="13" t="b">
        <f>IF($E74=Categories!$A$1,"",IF($E74=Categories!$A$2,Categories!$B$2,IF($E74=Categories!$A$3,Categories!$B$3,IF($E74=Categories!$A$4,Categories!$B$4,IF($E74=Categories!$A$5,Categories!$B$5,IF($E74=Categories!$A$6,Categories!$B$6,IF($E74=Categories!$A$7,Categories!$B$7,IF($E74=Categories!$A$8,Categories!$B$8,IF($E74=Categories!$A$9,Categories!$B$9,IF($E74=Categories!$A$10,Categories!$B$10,IF($E74=Categories!$A$11,Categories!$B$11,IF($E74=Categories!$A$12,Categories!$B$12,IF($E74=Categories!$A$13,Categories!$B$13,IF($E74=Categories!$A$14,Categories!$B$14,IF($E74=Categories!$A$15,Categories!$B$15,IF($E74=Categories!$A$16,Categories!$B$16,IF($E74=Categories!$A$17,Categories!$B$17,IF($E74=Categories!$A$18,Categories!$B$18,IF($E74=Categories!$A$19,Categories!$B$19)))))))))))))))))))</f>
        <v>0</v>
      </c>
      <c r="G74" s="9" t="str">
        <f t="shared" si="19"/>
        <v/>
      </c>
      <c r="H74" s="1" t="str">
        <f t="shared" si="20"/>
        <v/>
      </c>
      <c r="I74" s="1" t="str">
        <f t="shared" si="21"/>
        <v/>
      </c>
      <c r="J74" s="1" t="str">
        <f t="shared" si="22"/>
        <v/>
      </c>
      <c r="K74" s="13" t="str">
        <f t="shared" si="23"/>
        <v/>
      </c>
      <c r="L74" s="9" t="str">
        <f t="shared" si="24"/>
        <v/>
      </c>
      <c r="M74" s="1" t="str">
        <f t="shared" si="25"/>
        <v/>
      </c>
      <c r="N74" s="1" t="str">
        <f t="shared" si="26"/>
        <v/>
      </c>
      <c r="O74" s="1" t="str">
        <f t="shared" si="27"/>
        <v/>
      </c>
      <c r="P74" s="1" t="str">
        <f t="shared" si="28"/>
        <v/>
      </c>
      <c r="Q74" s="1" t="str">
        <f t="shared" si="29"/>
        <v/>
      </c>
      <c r="R74" s="1" t="str">
        <f t="shared" si="30"/>
        <v/>
      </c>
      <c r="S74" s="1" t="str">
        <f t="shared" si="31"/>
        <v/>
      </c>
      <c r="T74" s="1" t="str">
        <f t="shared" si="32"/>
        <v/>
      </c>
      <c r="U74" s="1" t="str">
        <f t="shared" si="33"/>
        <v/>
      </c>
      <c r="V74" s="1" t="str">
        <f t="shared" si="34"/>
        <v/>
      </c>
      <c r="W74" s="26" t="str">
        <f t="shared" si="35"/>
        <v/>
      </c>
      <c r="X74" s="13" t="str">
        <f t="shared" si="36"/>
        <v/>
      </c>
      <c r="Y74" s="9">
        <f t="shared" si="37"/>
        <v>0</v>
      </c>
    </row>
    <row r="75" spans="1:25" x14ac:dyDescent="0.25">
      <c r="A75" s="28"/>
      <c r="B75" s="29"/>
      <c r="C75" s="30"/>
      <c r="D75" s="31"/>
      <c r="E75" s="29" t="s">
        <v>16</v>
      </c>
      <c r="F75" s="13" t="b">
        <f>IF($E75=Categories!$A$1,"",IF($E75=Categories!$A$2,Categories!$B$2,IF($E75=Categories!$A$3,Categories!$B$3,IF($E75=Categories!$A$4,Categories!$B$4,IF($E75=Categories!$A$5,Categories!$B$5,IF($E75=Categories!$A$6,Categories!$B$6,IF($E75=Categories!$A$7,Categories!$B$7,IF($E75=Categories!$A$8,Categories!$B$8,IF($E75=Categories!$A$9,Categories!$B$9,IF($E75=Categories!$A$10,Categories!$B$10,IF($E75=Categories!$A$11,Categories!$B$11,IF($E75=Categories!$A$12,Categories!$B$12,IF($E75=Categories!$A$13,Categories!$B$13,IF($E75=Categories!$A$14,Categories!$B$14,IF($E75=Categories!$A$15,Categories!$B$15,IF($E75=Categories!$A$16,Categories!$B$16,IF($E75=Categories!$A$17,Categories!$B$17,IF($E75=Categories!$A$18,Categories!$B$18,IF($E75=Categories!$A$19,Categories!$B$19)))))))))))))))))))</f>
        <v>0</v>
      </c>
      <c r="G75" s="9" t="str">
        <f t="shared" si="19"/>
        <v/>
      </c>
      <c r="H75" s="1" t="str">
        <f t="shared" si="20"/>
        <v/>
      </c>
      <c r="I75" s="1" t="str">
        <f t="shared" si="21"/>
        <v/>
      </c>
      <c r="J75" s="1" t="str">
        <f t="shared" si="22"/>
        <v/>
      </c>
      <c r="K75" s="13" t="str">
        <f t="shared" si="23"/>
        <v/>
      </c>
      <c r="L75" s="9" t="str">
        <f t="shared" si="24"/>
        <v/>
      </c>
      <c r="M75" s="1" t="str">
        <f t="shared" si="25"/>
        <v/>
      </c>
      <c r="N75" s="1" t="str">
        <f t="shared" si="26"/>
        <v/>
      </c>
      <c r="O75" s="1" t="str">
        <f t="shared" si="27"/>
        <v/>
      </c>
      <c r="P75" s="1" t="str">
        <f t="shared" si="28"/>
        <v/>
      </c>
      <c r="Q75" s="1" t="str">
        <f t="shared" si="29"/>
        <v/>
      </c>
      <c r="R75" s="1" t="str">
        <f t="shared" si="30"/>
        <v/>
      </c>
      <c r="S75" s="1" t="str">
        <f t="shared" si="31"/>
        <v/>
      </c>
      <c r="T75" s="1" t="str">
        <f t="shared" si="32"/>
        <v/>
      </c>
      <c r="U75" s="1" t="str">
        <f t="shared" si="33"/>
        <v/>
      </c>
      <c r="V75" s="1" t="str">
        <f t="shared" si="34"/>
        <v/>
      </c>
      <c r="W75" s="26" t="str">
        <f t="shared" si="35"/>
        <v/>
      </c>
      <c r="X75" s="13" t="str">
        <f t="shared" si="36"/>
        <v/>
      </c>
      <c r="Y75" s="9">
        <f t="shared" si="37"/>
        <v>0</v>
      </c>
    </row>
    <row r="76" spans="1:25" x14ac:dyDescent="0.25">
      <c r="A76" s="28"/>
      <c r="B76" s="29"/>
      <c r="C76" s="30"/>
      <c r="D76" s="31"/>
      <c r="E76" s="29" t="s">
        <v>16</v>
      </c>
      <c r="F76" s="13" t="b">
        <f>IF($E76=Categories!$A$1,"",IF($E76=Categories!$A$2,Categories!$B$2,IF($E76=Categories!$A$3,Categories!$B$3,IF($E76=Categories!$A$4,Categories!$B$4,IF($E76=Categories!$A$5,Categories!$B$5,IF($E76=Categories!$A$6,Categories!$B$6,IF($E76=Categories!$A$7,Categories!$B$7,IF($E76=Categories!$A$8,Categories!$B$8,IF($E76=Categories!$A$9,Categories!$B$9,IF($E76=Categories!$A$10,Categories!$B$10,IF($E76=Categories!$A$11,Categories!$B$11,IF($E76=Categories!$A$12,Categories!$B$12,IF($E76=Categories!$A$13,Categories!$B$13,IF($E76=Categories!$A$14,Categories!$B$14,IF($E76=Categories!$A$15,Categories!$B$15,IF($E76=Categories!$A$16,Categories!$B$16,IF($E76=Categories!$A$17,Categories!$B$17,IF($E76=Categories!$A$18,Categories!$B$18,IF($E76=Categories!$A$19,Categories!$B$19)))))))))))))))))))</f>
        <v>0</v>
      </c>
      <c r="G76" s="9" t="str">
        <f t="shared" si="19"/>
        <v/>
      </c>
      <c r="H76" s="1" t="str">
        <f t="shared" si="20"/>
        <v/>
      </c>
      <c r="I76" s="1" t="str">
        <f t="shared" si="21"/>
        <v/>
      </c>
      <c r="J76" s="1" t="str">
        <f t="shared" si="22"/>
        <v/>
      </c>
      <c r="K76" s="13" t="str">
        <f t="shared" si="23"/>
        <v/>
      </c>
      <c r="L76" s="9" t="str">
        <f t="shared" si="24"/>
        <v/>
      </c>
      <c r="M76" s="1" t="str">
        <f t="shared" si="25"/>
        <v/>
      </c>
      <c r="N76" s="1" t="str">
        <f t="shared" si="26"/>
        <v/>
      </c>
      <c r="O76" s="1" t="str">
        <f t="shared" si="27"/>
        <v/>
      </c>
      <c r="P76" s="1" t="str">
        <f t="shared" si="28"/>
        <v/>
      </c>
      <c r="Q76" s="1" t="str">
        <f t="shared" si="29"/>
        <v/>
      </c>
      <c r="R76" s="1" t="str">
        <f t="shared" si="30"/>
        <v/>
      </c>
      <c r="S76" s="1" t="str">
        <f t="shared" si="31"/>
        <v/>
      </c>
      <c r="T76" s="1" t="str">
        <f t="shared" si="32"/>
        <v/>
      </c>
      <c r="U76" s="1" t="str">
        <f t="shared" si="33"/>
        <v/>
      </c>
      <c r="V76" s="1" t="str">
        <f t="shared" si="34"/>
        <v/>
      </c>
      <c r="W76" s="26" t="str">
        <f t="shared" si="35"/>
        <v/>
      </c>
      <c r="X76" s="13" t="str">
        <f t="shared" si="36"/>
        <v/>
      </c>
      <c r="Y76" s="9">
        <f t="shared" si="37"/>
        <v>0</v>
      </c>
    </row>
    <row r="77" spans="1:25" x14ac:dyDescent="0.25">
      <c r="A77" s="28"/>
      <c r="B77" s="29"/>
      <c r="C77" s="30"/>
      <c r="D77" s="31"/>
      <c r="E77" s="29" t="s">
        <v>16</v>
      </c>
      <c r="F77" s="13" t="b">
        <f>IF($E77=Categories!$A$1,"",IF($E77=Categories!$A$2,Categories!$B$2,IF($E77=Categories!$A$3,Categories!$B$3,IF($E77=Categories!$A$4,Categories!$B$4,IF($E77=Categories!$A$5,Categories!$B$5,IF($E77=Categories!$A$6,Categories!$B$6,IF($E77=Categories!$A$7,Categories!$B$7,IF($E77=Categories!$A$8,Categories!$B$8,IF($E77=Categories!$A$9,Categories!$B$9,IF($E77=Categories!$A$10,Categories!$B$10,IF($E77=Categories!$A$11,Categories!$B$11,IF($E77=Categories!$A$12,Categories!$B$12,IF($E77=Categories!$A$13,Categories!$B$13,IF($E77=Categories!$A$14,Categories!$B$14,IF($E77=Categories!$A$15,Categories!$B$15,IF($E77=Categories!$A$16,Categories!$B$16,IF($E77=Categories!$A$17,Categories!$B$17,IF($E77=Categories!$A$18,Categories!$B$18,IF($E77=Categories!$A$19,Categories!$B$19)))))))))))))))))))</f>
        <v>0</v>
      </c>
      <c r="G77" s="9" t="str">
        <f t="shared" si="19"/>
        <v/>
      </c>
      <c r="H77" s="1" t="str">
        <f t="shared" si="20"/>
        <v/>
      </c>
      <c r="I77" s="1" t="str">
        <f t="shared" si="21"/>
        <v/>
      </c>
      <c r="J77" s="1" t="str">
        <f t="shared" si="22"/>
        <v/>
      </c>
      <c r="K77" s="13" t="str">
        <f t="shared" si="23"/>
        <v/>
      </c>
      <c r="L77" s="9" t="str">
        <f t="shared" si="24"/>
        <v/>
      </c>
      <c r="M77" s="1" t="str">
        <f t="shared" si="25"/>
        <v/>
      </c>
      <c r="N77" s="1" t="str">
        <f t="shared" si="26"/>
        <v/>
      </c>
      <c r="O77" s="1" t="str">
        <f t="shared" si="27"/>
        <v/>
      </c>
      <c r="P77" s="1" t="str">
        <f t="shared" si="28"/>
        <v/>
      </c>
      <c r="Q77" s="1" t="str">
        <f t="shared" si="29"/>
        <v/>
      </c>
      <c r="R77" s="1" t="str">
        <f t="shared" si="30"/>
        <v/>
      </c>
      <c r="S77" s="1" t="str">
        <f t="shared" si="31"/>
        <v/>
      </c>
      <c r="T77" s="1" t="str">
        <f t="shared" si="32"/>
        <v/>
      </c>
      <c r="U77" s="1" t="str">
        <f t="shared" si="33"/>
        <v/>
      </c>
      <c r="V77" s="1" t="str">
        <f t="shared" si="34"/>
        <v/>
      </c>
      <c r="W77" s="26" t="str">
        <f t="shared" si="35"/>
        <v/>
      </c>
      <c r="X77" s="13" t="str">
        <f t="shared" si="36"/>
        <v/>
      </c>
      <c r="Y77" s="9">
        <f t="shared" si="37"/>
        <v>0</v>
      </c>
    </row>
    <row r="78" spans="1:25" x14ac:dyDescent="0.25">
      <c r="A78" s="28"/>
      <c r="B78" s="29"/>
      <c r="C78" s="30"/>
      <c r="D78" s="31"/>
      <c r="E78" s="29" t="s">
        <v>16</v>
      </c>
      <c r="F78" s="13" t="b">
        <f>IF($E78=Categories!$A$1,"",IF($E78=Categories!$A$2,Categories!$B$2,IF($E78=Categories!$A$3,Categories!$B$3,IF($E78=Categories!$A$4,Categories!$B$4,IF($E78=Categories!$A$5,Categories!$B$5,IF($E78=Categories!$A$6,Categories!$B$6,IF($E78=Categories!$A$7,Categories!$B$7,IF($E78=Categories!$A$8,Categories!$B$8,IF($E78=Categories!$A$9,Categories!$B$9,IF($E78=Categories!$A$10,Categories!$B$10,IF($E78=Categories!$A$11,Categories!$B$11,IF($E78=Categories!$A$12,Categories!$B$12,IF($E78=Categories!$A$13,Categories!$B$13,IF($E78=Categories!$A$14,Categories!$B$14,IF($E78=Categories!$A$15,Categories!$B$15,IF($E78=Categories!$A$16,Categories!$B$16,IF($E78=Categories!$A$17,Categories!$B$17,IF($E78=Categories!$A$18,Categories!$B$18,IF($E78=Categories!$A$19,Categories!$B$19)))))))))))))))))))</f>
        <v>0</v>
      </c>
      <c r="G78" s="9" t="str">
        <f t="shared" si="19"/>
        <v/>
      </c>
      <c r="H78" s="1" t="str">
        <f t="shared" si="20"/>
        <v/>
      </c>
      <c r="I78" s="1" t="str">
        <f t="shared" si="21"/>
        <v/>
      </c>
      <c r="J78" s="1" t="str">
        <f t="shared" si="22"/>
        <v/>
      </c>
      <c r="K78" s="13" t="str">
        <f t="shared" si="23"/>
        <v/>
      </c>
      <c r="L78" s="9" t="str">
        <f t="shared" si="24"/>
        <v/>
      </c>
      <c r="M78" s="1" t="str">
        <f t="shared" si="25"/>
        <v/>
      </c>
      <c r="N78" s="1" t="str">
        <f t="shared" si="26"/>
        <v/>
      </c>
      <c r="O78" s="1" t="str">
        <f t="shared" si="27"/>
        <v/>
      </c>
      <c r="P78" s="1" t="str">
        <f t="shared" si="28"/>
        <v/>
      </c>
      <c r="Q78" s="1" t="str">
        <f t="shared" si="29"/>
        <v/>
      </c>
      <c r="R78" s="1" t="str">
        <f t="shared" si="30"/>
        <v/>
      </c>
      <c r="S78" s="1" t="str">
        <f t="shared" si="31"/>
        <v/>
      </c>
      <c r="T78" s="1" t="str">
        <f t="shared" si="32"/>
        <v/>
      </c>
      <c r="U78" s="1" t="str">
        <f t="shared" si="33"/>
        <v/>
      </c>
      <c r="V78" s="1" t="str">
        <f t="shared" si="34"/>
        <v/>
      </c>
      <c r="W78" s="26" t="str">
        <f t="shared" si="35"/>
        <v/>
      </c>
      <c r="X78" s="13" t="str">
        <f t="shared" si="36"/>
        <v/>
      </c>
      <c r="Y78" s="9">
        <f t="shared" si="37"/>
        <v>0</v>
      </c>
    </row>
    <row r="79" spans="1:25" x14ac:dyDescent="0.25">
      <c r="A79" s="28"/>
      <c r="B79" s="29"/>
      <c r="C79" s="30"/>
      <c r="D79" s="31"/>
      <c r="E79" s="29" t="s">
        <v>16</v>
      </c>
      <c r="F79" s="13" t="b">
        <f>IF($E79=Categories!$A$1,"",IF($E79=Categories!$A$2,Categories!$B$2,IF($E79=Categories!$A$3,Categories!$B$3,IF($E79=Categories!$A$4,Categories!$B$4,IF($E79=Categories!$A$5,Categories!$B$5,IF($E79=Categories!$A$6,Categories!$B$6,IF($E79=Categories!$A$7,Categories!$B$7,IF($E79=Categories!$A$8,Categories!$B$8,IF($E79=Categories!$A$9,Categories!$B$9,IF($E79=Categories!$A$10,Categories!$B$10,IF($E79=Categories!$A$11,Categories!$B$11,IF($E79=Categories!$A$12,Categories!$B$12,IF($E79=Categories!$A$13,Categories!$B$13,IF($E79=Categories!$A$14,Categories!$B$14,IF($E79=Categories!$A$15,Categories!$B$15,IF($E79=Categories!$A$16,Categories!$B$16,IF($E79=Categories!$A$17,Categories!$B$17,IF($E79=Categories!$A$18,Categories!$B$18,IF($E79=Categories!$A$19,Categories!$B$19)))))))))))))))))))</f>
        <v>0</v>
      </c>
      <c r="G79" s="9" t="str">
        <f t="shared" si="19"/>
        <v/>
      </c>
      <c r="H79" s="1" t="str">
        <f t="shared" si="20"/>
        <v/>
      </c>
      <c r="I79" s="1" t="str">
        <f t="shared" si="21"/>
        <v/>
      </c>
      <c r="J79" s="1" t="str">
        <f t="shared" si="22"/>
        <v/>
      </c>
      <c r="K79" s="13" t="str">
        <f t="shared" si="23"/>
        <v/>
      </c>
      <c r="L79" s="9" t="str">
        <f t="shared" si="24"/>
        <v/>
      </c>
      <c r="M79" s="1" t="str">
        <f t="shared" si="25"/>
        <v/>
      </c>
      <c r="N79" s="1" t="str">
        <f t="shared" si="26"/>
        <v/>
      </c>
      <c r="O79" s="1" t="str">
        <f t="shared" si="27"/>
        <v/>
      </c>
      <c r="P79" s="1" t="str">
        <f t="shared" si="28"/>
        <v/>
      </c>
      <c r="Q79" s="1" t="str">
        <f t="shared" si="29"/>
        <v/>
      </c>
      <c r="R79" s="1" t="str">
        <f t="shared" si="30"/>
        <v/>
      </c>
      <c r="S79" s="1" t="str">
        <f t="shared" si="31"/>
        <v/>
      </c>
      <c r="T79" s="1" t="str">
        <f t="shared" si="32"/>
        <v/>
      </c>
      <c r="U79" s="1" t="str">
        <f t="shared" si="33"/>
        <v/>
      </c>
      <c r="V79" s="1" t="str">
        <f t="shared" si="34"/>
        <v/>
      </c>
      <c r="W79" s="26" t="str">
        <f t="shared" si="35"/>
        <v/>
      </c>
      <c r="X79" s="13" t="str">
        <f t="shared" si="36"/>
        <v/>
      </c>
      <c r="Y79" s="9">
        <f t="shared" si="37"/>
        <v>0</v>
      </c>
    </row>
    <row r="80" spans="1:25" x14ac:dyDescent="0.25">
      <c r="A80" s="28"/>
      <c r="B80" s="29"/>
      <c r="C80" s="30"/>
      <c r="D80" s="31"/>
      <c r="E80" s="29" t="s">
        <v>16</v>
      </c>
      <c r="F80" s="13" t="b">
        <f>IF($E80=Categories!$A$1,"",IF($E80=Categories!$A$2,Categories!$B$2,IF($E80=Categories!$A$3,Categories!$B$3,IF($E80=Categories!$A$4,Categories!$B$4,IF($E80=Categories!$A$5,Categories!$B$5,IF($E80=Categories!$A$6,Categories!$B$6,IF($E80=Categories!$A$7,Categories!$B$7,IF($E80=Categories!$A$8,Categories!$B$8,IF($E80=Categories!$A$9,Categories!$B$9,IF($E80=Categories!$A$10,Categories!$B$10,IF($E80=Categories!$A$11,Categories!$B$11,IF($E80=Categories!$A$12,Categories!$B$12,IF($E80=Categories!$A$13,Categories!$B$13,IF($E80=Categories!$A$14,Categories!$B$14,IF($E80=Categories!$A$15,Categories!$B$15,IF($E80=Categories!$A$16,Categories!$B$16,IF($E80=Categories!$A$17,Categories!$B$17,IF($E80=Categories!$A$18,Categories!$B$18,IF($E80=Categories!$A$19,Categories!$B$19)))))))))))))))))))</f>
        <v>0</v>
      </c>
      <c r="G80" s="9" t="str">
        <f t="shared" si="19"/>
        <v/>
      </c>
      <c r="H80" s="1" t="str">
        <f t="shared" si="20"/>
        <v/>
      </c>
      <c r="I80" s="1" t="str">
        <f t="shared" si="21"/>
        <v/>
      </c>
      <c r="J80" s="1" t="str">
        <f t="shared" si="22"/>
        <v/>
      </c>
      <c r="K80" s="13" t="str">
        <f t="shared" si="23"/>
        <v/>
      </c>
      <c r="L80" s="9" t="str">
        <f t="shared" si="24"/>
        <v/>
      </c>
      <c r="M80" s="1" t="str">
        <f t="shared" si="25"/>
        <v/>
      </c>
      <c r="N80" s="1" t="str">
        <f t="shared" si="26"/>
        <v/>
      </c>
      <c r="O80" s="1" t="str">
        <f t="shared" si="27"/>
        <v/>
      </c>
      <c r="P80" s="1" t="str">
        <f t="shared" si="28"/>
        <v/>
      </c>
      <c r="Q80" s="1" t="str">
        <f t="shared" si="29"/>
        <v/>
      </c>
      <c r="R80" s="1" t="str">
        <f t="shared" si="30"/>
        <v/>
      </c>
      <c r="S80" s="1" t="str">
        <f t="shared" si="31"/>
        <v/>
      </c>
      <c r="T80" s="1" t="str">
        <f t="shared" si="32"/>
        <v/>
      </c>
      <c r="U80" s="1" t="str">
        <f t="shared" si="33"/>
        <v/>
      </c>
      <c r="V80" s="1" t="str">
        <f t="shared" si="34"/>
        <v/>
      </c>
      <c r="W80" s="26" t="str">
        <f t="shared" si="35"/>
        <v/>
      </c>
      <c r="X80" s="13" t="str">
        <f t="shared" si="36"/>
        <v/>
      </c>
      <c r="Y80" s="9">
        <f t="shared" si="37"/>
        <v>0</v>
      </c>
    </row>
    <row r="81" spans="1:25" x14ac:dyDescent="0.25">
      <c r="A81" s="28"/>
      <c r="B81" s="29"/>
      <c r="C81" s="30"/>
      <c r="D81" s="31"/>
      <c r="E81" s="29" t="s">
        <v>16</v>
      </c>
      <c r="F81" s="13" t="b">
        <f>IF($E81=Categories!$A$1,"",IF($E81=Categories!$A$2,Categories!$B$2,IF($E81=Categories!$A$3,Categories!$B$3,IF($E81=Categories!$A$4,Categories!$B$4,IF($E81=Categories!$A$5,Categories!$B$5,IF($E81=Categories!$A$6,Categories!$B$6,IF($E81=Categories!$A$7,Categories!$B$7,IF($E81=Categories!$A$8,Categories!$B$8,IF($E81=Categories!$A$9,Categories!$B$9,IF($E81=Categories!$A$10,Categories!$B$10,IF($E81=Categories!$A$11,Categories!$B$11,IF($E81=Categories!$A$12,Categories!$B$12,IF($E81=Categories!$A$13,Categories!$B$13,IF($E81=Categories!$A$14,Categories!$B$14,IF($E81=Categories!$A$15,Categories!$B$15,IF($E81=Categories!$A$16,Categories!$B$16,IF($E81=Categories!$A$17,Categories!$B$17,IF($E81=Categories!$A$18,Categories!$B$18,IF($E81=Categories!$A$19,Categories!$B$19)))))))))))))))))))</f>
        <v>0</v>
      </c>
      <c r="G81" s="9" t="str">
        <f t="shared" si="19"/>
        <v/>
      </c>
      <c r="H81" s="1" t="str">
        <f t="shared" si="20"/>
        <v/>
      </c>
      <c r="I81" s="1" t="str">
        <f t="shared" si="21"/>
        <v/>
      </c>
      <c r="J81" s="1" t="str">
        <f t="shared" si="22"/>
        <v/>
      </c>
      <c r="K81" s="13" t="str">
        <f t="shared" si="23"/>
        <v/>
      </c>
      <c r="L81" s="9" t="str">
        <f t="shared" si="24"/>
        <v/>
      </c>
      <c r="M81" s="1" t="str">
        <f t="shared" si="25"/>
        <v/>
      </c>
      <c r="N81" s="1" t="str">
        <f t="shared" si="26"/>
        <v/>
      </c>
      <c r="O81" s="1" t="str">
        <f t="shared" si="27"/>
        <v/>
      </c>
      <c r="P81" s="1" t="str">
        <f t="shared" si="28"/>
        <v/>
      </c>
      <c r="Q81" s="1" t="str">
        <f t="shared" si="29"/>
        <v/>
      </c>
      <c r="R81" s="1" t="str">
        <f t="shared" si="30"/>
        <v/>
      </c>
      <c r="S81" s="1" t="str">
        <f t="shared" si="31"/>
        <v/>
      </c>
      <c r="T81" s="1" t="str">
        <f t="shared" si="32"/>
        <v/>
      </c>
      <c r="U81" s="1" t="str">
        <f t="shared" si="33"/>
        <v/>
      </c>
      <c r="V81" s="1" t="str">
        <f t="shared" si="34"/>
        <v/>
      </c>
      <c r="W81" s="26" t="str">
        <f t="shared" si="35"/>
        <v/>
      </c>
      <c r="X81" s="13" t="str">
        <f t="shared" si="36"/>
        <v/>
      </c>
      <c r="Y81" s="9">
        <f t="shared" si="37"/>
        <v>0</v>
      </c>
    </row>
    <row r="82" spans="1:25" x14ac:dyDescent="0.25">
      <c r="A82" s="28"/>
      <c r="B82" s="29"/>
      <c r="C82" s="30"/>
      <c r="D82" s="31"/>
      <c r="E82" s="29" t="s">
        <v>16</v>
      </c>
      <c r="F82" s="13" t="b">
        <f>IF($E82=Categories!$A$1,"",IF($E82=Categories!$A$2,Categories!$B$2,IF($E82=Categories!$A$3,Categories!$B$3,IF($E82=Categories!$A$4,Categories!$B$4,IF($E82=Categories!$A$5,Categories!$B$5,IF($E82=Categories!$A$6,Categories!$B$6,IF($E82=Categories!$A$7,Categories!$B$7,IF($E82=Categories!$A$8,Categories!$B$8,IF($E82=Categories!$A$9,Categories!$B$9,IF($E82=Categories!$A$10,Categories!$B$10,IF($E82=Categories!$A$11,Categories!$B$11,IF($E82=Categories!$A$12,Categories!$B$12,IF($E82=Categories!$A$13,Categories!$B$13,IF($E82=Categories!$A$14,Categories!$B$14,IF($E82=Categories!$A$15,Categories!$B$15,IF($E82=Categories!$A$16,Categories!$B$16,IF($E82=Categories!$A$17,Categories!$B$17,IF($E82=Categories!$A$18,Categories!$B$18,IF($E82=Categories!$A$19,Categories!$B$19)))))))))))))))))))</f>
        <v>0</v>
      </c>
      <c r="G82" s="9" t="str">
        <f t="shared" si="19"/>
        <v/>
      </c>
      <c r="H82" s="1" t="str">
        <f t="shared" si="20"/>
        <v/>
      </c>
      <c r="I82" s="1" t="str">
        <f t="shared" si="21"/>
        <v/>
      </c>
      <c r="J82" s="1" t="str">
        <f t="shared" si="22"/>
        <v/>
      </c>
      <c r="K82" s="13" t="str">
        <f t="shared" si="23"/>
        <v/>
      </c>
      <c r="L82" s="9" t="str">
        <f t="shared" si="24"/>
        <v/>
      </c>
      <c r="M82" s="1" t="str">
        <f t="shared" si="25"/>
        <v/>
      </c>
      <c r="N82" s="1" t="str">
        <f t="shared" si="26"/>
        <v/>
      </c>
      <c r="O82" s="1" t="str">
        <f t="shared" si="27"/>
        <v/>
      </c>
      <c r="P82" s="1" t="str">
        <f t="shared" si="28"/>
        <v/>
      </c>
      <c r="Q82" s="1" t="str">
        <f t="shared" si="29"/>
        <v/>
      </c>
      <c r="R82" s="1" t="str">
        <f t="shared" si="30"/>
        <v/>
      </c>
      <c r="S82" s="1" t="str">
        <f t="shared" si="31"/>
        <v/>
      </c>
      <c r="T82" s="1" t="str">
        <f t="shared" si="32"/>
        <v/>
      </c>
      <c r="U82" s="1" t="str">
        <f t="shared" si="33"/>
        <v/>
      </c>
      <c r="V82" s="1" t="str">
        <f t="shared" si="34"/>
        <v/>
      </c>
      <c r="W82" s="26" t="str">
        <f t="shared" si="35"/>
        <v/>
      </c>
      <c r="X82" s="13" t="str">
        <f t="shared" si="36"/>
        <v/>
      </c>
      <c r="Y82" s="9">
        <f t="shared" si="37"/>
        <v>0</v>
      </c>
    </row>
    <row r="83" spans="1:25" x14ac:dyDescent="0.25">
      <c r="A83" s="28"/>
      <c r="B83" s="29"/>
      <c r="C83" s="30"/>
      <c r="D83" s="31"/>
      <c r="E83" s="29" t="s">
        <v>16</v>
      </c>
      <c r="F83" s="13" t="b">
        <f>IF($E83=Categories!$A$1,"",IF($E83=Categories!$A$2,Categories!$B$2,IF($E83=Categories!$A$3,Categories!$B$3,IF($E83=Categories!$A$4,Categories!$B$4,IF($E83=Categories!$A$5,Categories!$B$5,IF($E83=Categories!$A$6,Categories!$B$6,IF($E83=Categories!$A$7,Categories!$B$7,IF($E83=Categories!$A$8,Categories!$B$8,IF($E83=Categories!$A$9,Categories!$B$9,IF($E83=Categories!$A$10,Categories!$B$10,IF($E83=Categories!$A$11,Categories!$B$11,IF($E83=Categories!$A$12,Categories!$B$12,IF($E83=Categories!$A$13,Categories!$B$13,IF($E83=Categories!$A$14,Categories!$B$14,IF($E83=Categories!$A$15,Categories!$B$15,IF($E83=Categories!$A$16,Categories!$B$16,IF($E83=Categories!$A$17,Categories!$B$17,IF($E83=Categories!$A$18,Categories!$B$18,IF($E83=Categories!$A$19,Categories!$B$19)))))))))))))))))))</f>
        <v>0</v>
      </c>
      <c r="G83" s="9" t="str">
        <f t="shared" si="19"/>
        <v/>
      </c>
      <c r="H83" s="1" t="str">
        <f t="shared" si="20"/>
        <v/>
      </c>
      <c r="I83" s="1" t="str">
        <f t="shared" si="21"/>
        <v/>
      </c>
      <c r="J83" s="1" t="str">
        <f t="shared" si="22"/>
        <v/>
      </c>
      <c r="K83" s="13" t="str">
        <f t="shared" si="23"/>
        <v/>
      </c>
      <c r="L83" s="9" t="str">
        <f t="shared" si="24"/>
        <v/>
      </c>
      <c r="M83" s="1" t="str">
        <f t="shared" si="25"/>
        <v/>
      </c>
      <c r="N83" s="1" t="str">
        <f t="shared" si="26"/>
        <v/>
      </c>
      <c r="O83" s="1" t="str">
        <f t="shared" si="27"/>
        <v/>
      </c>
      <c r="P83" s="1" t="str">
        <f t="shared" si="28"/>
        <v/>
      </c>
      <c r="Q83" s="1" t="str">
        <f t="shared" si="29"/>
        <v/>
      </c>
      <c r="R83" s="1" t="str">
        <f t="shared" si="30"/>
        <v/>
      </c>
      <c r="S83" s="1" t="str">
        <f t="shared" si="31"/>
        <v/>
      </c>
      <c r="T83" s="1" t="str">
        <f t="shared" si="32"/>
        <v/>
      </c>
      <c r="U83" s="1" t="str">
        <f t="shared" si="33"/>
        <v/>
      </c>
      <c r="V83" s="1" t="str">
        <f t="shared" si="34"/>
        <v/>
      </c>
      <c r="W83" s="26" t="str">
        <f t="shared" si="35"/>
        <v/>
      </c>
      <c r="X83" s="13" t="str">
        <f t="shared" si="36"/>
        <v/>
      </c>
      <c r="Y83" s="9">
        <f t="shared" si="37"/>
        <v>0</v>
      </c>
    </row>
    <row r="84" spans="1:25" x14ac:dyDescent="0.25">
      <c r="A84" s="28"/>
      <c r="B84" s="29"/>
      <c r="C84" s="30"/>
      <c r="D84" s="31"/>
      <c r="E84" s="29" t="s">
        <v>16</v>
      </c>
      <c r="F84" s="13" t="b">
        <f>IF($E84=Categories!$A$1,"",IF($E84=Categories!$A$2,Categories!$B$2,IF($E84=Categories!$A$3,Categories!$B$3,IF($E84=Categories!$A$4,Categories!$B$4,IF($E84=Categories!$A$5,Categories!$B$5,IF($E84=Categories!$A$6,Categories!$B$6,IF($E84=Categories!$A$7,Categories!$B$7,IF($E84=Categories!$A$8,Categories!$B$8,IF($E84=Categories!$A$9,Categories!$B$9,IF($E84=Categories!$A$10,Categories!$B$10,IF($E84=Categories!$A$11,Categories!$B$11,IF($E84=Categories!$A$12,Categories!$B$12,IF($E84=Categories!$A$13,Categories!$B$13,IF($E84=Categories!$A$14,Categories!$B$14,IF($E84=Categories!$A$15,Categories!$B$15,IF($E84=Categories!$A$16,Categories!$B$16,IF($E84=Categories!$A$17,Categories!$B$17,IF($E84=Categories!$A$18,Categories!$B$18,IF($E84=Categories!$A$19,Categories!$B$19)))))))))))))))))))</f>
        <v>0</v>
      </c>
      <c r="G84" s="9" t="str">
        <f t="shared" si="19"/>
        <v/>
      </c>
      <c r="H84" s="1" t="str">
        <f t="shared" si="20"/>
        <v/>
      </c>
      <c r="I84" s="1" t="str">
        <f t="shared" si="21"/>
        <v/>
      </c>
      <c r="J84" s="1" t="str">
        <f t="shared" si="22"/>
        <v/>
      </c>
      <c r="K84" s="13" t="str">
        <f t="shared" si="23"/>
        <v/>
      </c>
      <c r="L84" s="9" t="str">
        <f t="shared" si="24"/>
        <v/>
      </c>
      <c r="M84" s="1" t="str">
        <f t="shared" si="25"/>
        <v/>
      </c>
      <c r="N84" s="1" t="str">
        <f t="shared" si="26"/>
        <v/>
      </c>
      <c r="O84" s="1" t="str">
        <f t="shared" si="27"/>
        <v/>
      </c>
      <c r="P84" s="1" t="str">
        <f t="shared" si="28"/>
        <v/>
      </c>
      <c r="Q84" s="1" t="str">
        <f t="shared" si="29"/>
        <v/>
      </c>
      <c r="R84" s="1" t="str">
        <f t="shared" si="30"/>
        <v/>
      </c>
      <c r="S84" s="1" t="str">
        <f t="shared" si="31"/>
        <v/>
      </c>
      <c r="T84" s="1" t="str">
        <f t="shared" si="32"/>
        <v/>
      </c>
      <c r="U84" s="1" t="str">
        <f t="shared" si="33"/>
        <v/>
      </c>
      <c r="V84" s="1" t="str">
        <f t="shared" si="34"/>
        <v/>
      </c>
      <c r="W84" s="26" t="str">
        <f t="shared" si="35"/>
        <v/>
      </c>
      <c r="X84" s="13" t="str">
        <f t="shared" si="36"/>
        <v/>
      </c>
      <c r="Y84" s="9">
        <f t="shared" si="37"/>
        <v>0</v>
      </c>
    </row>
    <row r="85" spans="1:25" x14ac:dyDescent="0.25">
      <c r="A85" s="28"/>
      <c r="B85" s="29"/>
      <c r="C85" s="30"/>
      <c r="D85" s="31"/>
      <c r="E85" s="29" t="s">
        <v>16</v>
      </c>
      <c r="F85" s="13" t="b">
        <f>IF($E85=Categories!$A$1,"",IF($E85=Categories!$A$2,Categories!$B$2,IF($E85=Categories!$A$3,Categories!$B$3,IF($E85=Categories!$A$4,Categories!$B$4,IF($E85=Categories!$A$5,Categories!$B$5,IF($E85=Categories!$A$6,Categories!$B$6,IF($E85=Categories!$A$7,Categories!$B$7,IF($E85=Categories!$A$8,Categories!$B$8,IF($E85=Categories!$A$9,Categories!$B$9,IF($E85=Categories!$A$10,Categories!$B$10,IF($E85=Categories!$A$11,Categories!$B$11,IF($E85=Categories!$A$12,Categories!$B$12,IF($E85=Categories!$A$13,Categories!$B$13,IF($E85=Categories!$A$14,Categories!$B$14,IF($E85=Categories!$A$15,Categories!$B$15,IF($E85=Categories!$A$16,Categories!$B$16,IF($E85=Categories!$A$17,Categories!$B$17,IF($E85=Categories!$A$18,Categories!$B$18,IF($E85=Categories!$A$19,Categories!$B$19)))))))))))))))))))</f>
        <v>0</v>
      </c>
      <c r="G85" s="9" t="str">
        <f t="shared" si="19"/>
        <v/>
      </c>
      <c r="H85" s="1" t="str">
        <f t="shared" si="20"/>
        <v/>
      </c>
      <c r="I85" s="1" t="str">
        <f t="shared" si="21"/>
        <v/>
      </c>
      <c r="J85" s="1" t="str">
        <f t="shared" si="22"/>
        <v/>
      </c>
      <c r="K85" s="13" t="str">
        <f t="shared" si="23"/>
        <v/>
      </c>
      <c r="L85" s="9" t="str">
        <f t="shared" si="24"/>
        <v/>
      </c>
      <c r="M85" s="1" t="str">
        <f t="shared" si="25"/>
        <v/>
      </c>
      <c r="N85" s="1" t="str">
        <f t="shared" si="26"/>
        <v/>
      </c>
      <c r="O85" s="1" t="str">
        <f t="shared" si="27"/>
        <v/>
      </c>
      <c r="P85" s="1" t="str">
        <f t="shared" si="28"/>
        <v/>
      </c>
      <c r="Q85" s="1" t="str">
        <f t="shared" si="29"/>
        <v/>
      </c>
      <c r="R85" s="1" t="str">
        <f t="shared" si="30"/>
        <v/>
      </c>
      <c r="S85" s="1" t="str">
        <f t="shared" si="31"/>
        <v/>
      </c>
      <c r="T85" s="1" t="str">
        <f t="shared" si="32"/>
        <v/>
      </c>
      <c r="U85" s="1" t="str">
        <f t="shared" si="33"/>
        <v/>
      </c>
      <c r="V85" s="1" t="str">
        <f t="shared" si="34"/>
        <v/>
      </c>
      <c r="W85" s="26" t="str">
        <f t="shared" si="35"/>
        <v/>
      </c>
      <c r="X85" s="13" t="str">
        <f t="shared" si="36"/>
        <v/>
      </c>
      <c r="Y85" s="9">
        <f t="shared" si="37"/>
        <v>0</v>
      </c>
    </row>
    <row r="86" spans="1:25" x14ac:dyDescent="0.25">
      <c r="A86" s="28"/>
      <c r="B86" s="29"/>
      <c r="C86" s="30"/>
      <c r="D86" s="31"/>
      <c r="E86" s="29" t="s">
        <v>16</v>
      </c>
      <c r="F86" s="13" t="b">
        <f>IF($E86=Categories!$A$1,"",IF($E86=Categories!$A$2,Categories!$B$2,IF($E86=Categories!$A$3,Categories!$B$3,IF($E86=Categories!$A$4,Categories!$B$4,IF($E86=Categories!$A$5,Categories!$B$5,IF($E86=Categories!$A$6,Categories!$B$6,IF($E86=Categories!$A$7,Categories!$B$7,IF($E86=Categories!$A$8,Categories!$B$8,IF($E86=Categories!$A$9,Categories!$B$9,IF($E86=Categories!$A$10,Categories!$B$10,IF($E86=Categories!$A$11,Categories!$B$11,IF($E86=Categories!$A$12,Categories!$B$12,IF($E86=Categories!$A$13,Categories!$B$13,IF($E86=Categories!$A$14,Categories!$B$14,IF($E86=Categories!$A$15,Categories!$B$15,IF($E86=Categories!$A$16,Categories!$B$16,IF($E86=Categories!$A$17,Categories!$B$17,IF($E86=Categories!$A$18,Categories!$B$18,IF($E86=Categories!$A$19,Categories!$B$19)))))))))))))))))))</f>
        <v>0</v>
      </c>
      <c r="G86" s="9" t="str">
        <f t="shared" si="19"/>
        <v/>
      </c>
      <c r="H86" s="1" t="str">
        <f t="shared" si="20"/>
        <v/>
      </c>
      <c r="I86" s="1" t="str">
        <f t="shared" si="21"/>
        <v/>
      </c>
      <c r="J86" s="1" t="str">
        <f t="shared" si="22"/>
        <v/>
      </c>
      <c r="K86" s="13" t="str">
        <f t="shared" si="23"/>
        <v/>
      </c>
      <c r="L86" s="9" t="str">
        <f t="shared" si="24"/>
        <v/>
      </c>
      <c r="M86" s="1" t="str">
        <f t="shared" si="25"/>
        <v/>
      </c>
      <c r="N86" s="1" t="str">
        <f t="shared" si="26"/>
        <v/>
      </c>
      <c r="O86" s="1" t="str">
        <f t="shared" si="27"/>
        <v/>
      </c>
      <c r="P86" s="1" t="str">
        <f t="shared" si="28"/>
        <v/>
      </c>
      <c r="Q86" s="1" t="str">
        <f t="shared" si="29"/>
        <v/>
      </c>
      <c r="R86" s="1" t="str">
        <f t="shared" si="30"/>
        <v/>
      </c>
      <c r="S86" s="1" t="str">
        <f t="shared" si="31"/>
        <v/>
      </c>
      <c r="T86" s="1" t="str">
        <f t="shared" si="32"/>
        <v/>
      </c>
      <c r="U86" s="1" t="str">
        <f t="shared" si="33"/>
        <v/>
      </c>
      <c r="V86" s="1" t="str">
        <f t="shared" si="34"/>
        <v/>
      </c>
      <c r="W86" s="26" t="str">
        <f t="shared" si="35"/>
        <v/>
      </c>
      <c r="X86" s="13" t="str">
        <f t="shared" si="36"/>
        <v/>
      </c>
      <c r="Y86" s="9">
        <f t="shared" si="37"/>
        <v>0</v>
      </c>
    </row>
    <row r="87" spans="1:25" x14ac:dyDescent="0.25">
      <c r="A87" s="28"/>
      <c r="B87" s="29"/>
      <c r="C87" s="30"/>
      <c r="D87" s="31"/>
      <c r="E87" s="29" t="s">
        <v>16</v>
      </c>
      <c r="F87" s="13" t="b">
        <f>IF($E87=Categories!$A$1,"",IF($E87=Categories!$A$2,Categories!$B$2,IF($E87=Categories!$A$3,Categories!$B$3,IF($E87=Categories!$A$4,Categories!$B$4,IF($E87=Categories!$A$5,Categories!$B$5,IF($E87=Categories!$A$6,Categories!$B$6,IF($E87=Categories!$A$7,Categories!$B$7,IF($E87=Categories!$A$8,Categories!$B$8,IF($E87=Categories!$A$9,Categories!$B$9,IF($E87=Categories!$A$10,Categories!$B$10,IF($E87=Categories!$A$11,Categories!$B$11,IF($E87=Categories!$A$12,Categories!$B$12,IF($E87=Categories!$A$13,Categories!$B$13,IF($E87=Categories!$A$14,Categories!$B$14,IF($E87=Categories!$A$15,Categories!$B$15,IF($E87=Categories!$A$16,Categories!$B$16,IF($E87=Categories!$A$17,Categories!$B$17,IF($E87=Categories!$A$18,Categories!$B$18,IF($E87=Categories!$A$19,Categories!$B$19)))))))))))))))))))</f>
        <v>0</v>
      </c>
      <c r="G87" s="9" t="str">
        <f t="shared" si="19"/>
        <v/>
      </c>
      <c r="H87" s="1" t="str">
        <f t="shared" si="20"/>
        <v/>
      </c>
      <c r="I87" s="1" t="str">
        <f t="shared" si="21"/>
        <v/>
      </c>
      <c r="J87" s="1" t="str">
        <f t="shared" si="22"/>
        <v/>
      </c>
      <c r="K87" s="13" t="str">
        <f t="shared" si="23"/>
        <v/>
      </c>
      <c r="L87" s="9" t="str">
        <f t="shared" si="24"/>
        <v/>
      </c>
      <c r="M87" s="1" t="str">
        <f t="shared" si="25"/>
        <v/>
      </c>
      <c r="N87" s="1" t="str">
        <f t="shared" si="26"/>
        <v/>
      </c>
      <c r="O87" s="1" t="str">
        <f t="shared" si="27"/>
        <v/>
      </c>
      <c r="P87" s="1" t="str">
        <f t="shared" si="28"/>
        <v/>
      </c>
      <c r="Q87" s="1" t="str">
        <f t="shared" si="29"/>
        <v/>
      </c>
      <c r="R87" s="1" t="str">
        <f t="shared" si="30"/>
        <v/>
      </c>
      <c r="S87" s="1" t="str">
        <f t="shared" si="31"/>
        <v/>
      </c>
      <c r="T87" s="1" t="str">
        <f t="shared" si="32"/>
        <v/>
      </c>
      <c r="U87" s="1" t="str">
        <f t="shared" si="33"/>
        <v/>
      </c>
      <c r="V87" s="1" t="str">
        <f t="shared" si="34"/>
        <v/>
      </c>
      <c r="W87" s="26" t="str">
        <f t="shared" si="35"/>
        <v/>
      </c>
      <c r="X87" s="13" t="str">
        <f t="shared" si="36"/>
        <v/>
      </c>
      <c r="Y87" s="9">
        <f t="shared" si="37"/>
        <v>0</v>
      </c>
    </row>
    <row r="88" spans="1:25" x14ac:dyDescent="0.25">
      <c r="A88" s="28"/>
      <c r="B88" s="29"/>
      <c r="C88" s="30"/>
      <c r="D88" s="31"/>
      <c r="E88" s="29" t="s">
        <v>16</v>
      </c>
      <c r="F88" s="13" t="b">
        <f>IF($E88=Categories!$A$1,"",IF($E88=Categories!$A$2,Categories!$B$2,IF($E88=Categories!$A$3,Categories!$B$3,IF($E88=Categories!$A$4,Categories!$B$4,IF($E88=Categories!$A$5,Categories!$B$5,IF($E88=Categories!$A$6,Categories!$B$6,IF($E88=Categories!$A$7,Categories!$B$7,IF($E88=Categories!$A$8,Categories!$B$8,IF($E88=Categories!$A$9,Categories!$B$9,IF($E88=Categories!$A$10,Categories!$B$10,IF($E88=Categories!$A$11,Categories!$B$11,IF($E88=Categories!$A$12,Categories!$B$12,IF($E88=Categories!$A$13,Categories!$B$13,IF($E88=Categories!$A$14,Categories!$B$14,IF($E88=Categories!$A$15,Categories!$B$15,IF($E88=Categories!$A$16,Categories!$B$16,IF($E88=Categories!$A$17,Categories!$B$17,IF($E88=Categories!$A$18,Categories!$B$18,IF($E88=Categories!$A$19,Categories!$B$19)))))))))))))))))))</f>
        <v>0</v>
      </c>
      <c r="G88" s="9" t="str">
        <f t="shared" si="19"/>
        <v/>
      </c>
      <c r="H88" s="1" t="str">
        <f t="shared" si="20"/>
        <v/>
      </c>
      <c r="I88" s="1" t="str">
        <f t="shared" si="21"/>
        <v/>
      </c>
      <c r="J88" s="1" t="str">
        <f t="shared" si="22"/>
        <v/>
      </c>
      <c r="K88" s="13" t="str">
        <f t="shared" si="23"/>
        <v/>
      </c>
      <c r="L88" s="9" t="str">
        <f t="shared" si="24"/>
        <v/>
      </c>
      <c r="M88" s="1" t="str">
        <f t="shared" si="25"/>
        <v/>
      </c>
      <c r="N88" s="1" t="str">
        <f t="shared" si="26"/>
        <v/>
      </c>
      <c r="O88" s="1" t="str">
        <f t="shared" si="27"/>
        <v/>
      </c>
      <c r="P88" s="1" t="str">
        <f t="shared" si="28"/>
        <v/>
      </c>
      <c r="Q88" s="1" t="str">
        <f t="shared" si="29"/>
        <v/>
      </c>
      <c r="R88" s="1" t="str">
        <f t="shared" si="30"/>
        <v/>
      </c>
      <c r="S88" s="1" t="str">
        <f t="shared" si="31"/>
        <v/>
      </c>
      <c r="T88" s="1" t="str">
        <f t="shared" si="32"/>
        <v/>
      </c>
      <c r="U88" s="1" t="str">
        <f t="shared" si="33"/>
        <v/>
      </c>
      <c r="V88" s="1" t="str">
        <f t="shared" si="34"/>
        <v/>
      </c>
      <c r="W88" s="26" t="str">
        <f t="shared" si="35"/>
        <v/>
      </c>
      <c r="X88" s="13" t="str">
        <f t="shared" si="36"/>
        <v/>
      </c>
      <c r="Y88" s="9">
        <f t="shared" si="37"/>
        <v>0</v>
      </c>
    </row>
    <row r="89" spans="1:25" x14ac:dyDescent="0.25">
      <c r="A89" s="28"/>
      <c r="B89" s="29"/>
      <c r="C89" s="30"/>
      <c r="D89" s="31"/>
      <c r="E89" s="29" t="s">
        <v>16</v>
      </c>
      <c r="F89" s="13" t="b">
        <f>IF($E89=Categories!$A$1,"",IF($E89=Categories!$A$2,Categories!$B$2,IF($E89=Categories!$A$3,Categories!$B$3,IF($E89=Categories!$A$4,Categories!$B$4,IF($E89=Categories!$A$5,Categories!$B$5,IF($E89=Categories!$A$6,Categories!$B$6,IF($E89=Categories!$A$7,Categories!$B$7,IF($E89=Categories!$A$8,Categories!$B$8,IF($E89=Categories!$A$9,Categories!$B$9,IF($E89=Categories!$A$10,Categories!$B$10,IF($E89=Categories!$A$11,Categories!$B$11,IF($E89=Categories!$A$12,Categories!$B$12,IF($E89=Categories!$A$13,Categories!$B$13,IF($E89=Categories!$A$14,Categories!$B$14,IF($E89=Categories!$A$15,Categories!$B$15,IF($E89=Categories!$A$16,Categories!$B$16,IF($E89=Categories!$A$17,Categories!$B$17,IF($E89=Categories!$A$18,Categories!$B$18,IF($E89=Categories!$A$19,Categories!$B$19)))))))))))))))))))</f>
        <v>0</v>
      </c>
      <c r="G89" s="9" t="str">
        <f t="shared" si="19"/>
        <v/>
      </c>
      <c r="H89" s="1" t="str">
        <f t="shared" si="20"/>
        <v/>
      </c>
      <c r="I89" s="1" t="str">
        <f t="shared" si="21"/>
        <v/>
      </c>
      <c r="J89" s="1" t="str">
        <f t="shared" si="22"/>
        <v/>
      </c>
      <c r="K89" s="13" t="str">
        <f t="shared" si="23"/>
        <v/>
      </c>
      <c r="L89" s="9" t="str">
        <f t="shared" si="24"/>
        <v/>
      </c>
      <c r="M89" s="1" t="str">
        <f t="shared" si="25"/>
        <v/>
      </c>
      <c r="N89" s="1" t="str">
        <f t="shared" si="26"/>
        <v/>
      </c>
      <c r="O89" s="1" t="str">
        <f t="shared" si="27"/>
        <v/>
      </c>
      <c r="P89" s="1" t="str">
        <f t="shared" si="28"/>
        <v/>
      </c>
      <c r="Q89" s="1" t="str">
        <f t="shared" si="29"/>
        <v/>
      </c>
      <c r="R89" s="1" t="str">
        <f t="shared" si="30"/>
        <v/>
      </c>
      <c r="S89" s="1" t="str">
        <f t="shared" si="31"/>
        <v/>
      </c>
      <c r="T89" s="1" t="str">
        <f t="shared" si="32"/>
        <v/>
      </c>
      <c r="U89" s="1" t="str">
        <f t="shared" si="33"/>
        <v/>
      </c>
      <c r="V89" s="1" t="str">
        <f t="shared" si="34"/>
        <v/>
      </c>
      <c r="W89" s="26" t="str">
        <f t="shared" si="35"/>
        <v/>
      </c>
      <c r="X89" s="13" t="str">
        <f t="shared" si="36"/>
        <v/>
      </c>
      <c r="Y89" s="9">
        <f t="shared" si="37"/>
        <v>0</v>
      </c>
    </row>
    <row r="90" spans="1:25" x14ac:dyDescent="0.25">
      <c r="A90" s="28"/>
      <c r="B90" s="29"/>
      <c r="C90" s="30"/>
      <c r="D90" s="31"/>
      <c r="E90" s="29" t="s">
        <v>16</v>
      </c>
      <c r="F90" s="13" t="b">
        <f>IF($E90=Categories!$A$1,"",IF($E90=Categories!$A$2,Categories!$B$2,IF($E90=Categories!$A$3,Categories!$B$3,IF($E90=Categories!$A$4,Categories!$B$4,IF($E90=Categories!$A$5,Categories!$B$5,IF($E90=Categories!$A$6,Categories!$B$6,IF($E90=Categories!$A$7,Categories!$B$7,IF($E90=Categories!$A$8,Categories!$B$8,IF($E90=Categories!$A$9,Categories!$B$9,IF($E90=Categories!$A$10,Categories!$B$10,IF($E90=Categories!$A$11,Categories!$B$11,IF($E90=Categories!$A$12,Categories!$B$12,IF($E90=Categories!$A$13,Categories!$B$13,IF($E90=Categories!$A$14,Categories!$B$14,IF($E90=Categories!$A$15,Categories!$B$15,IF($E90=Categories!$A$16,Categories!$B$16,IF($E90=Categories!$A$17,Categories!$B$17,IF($E90=Categories!$A$18,Categories!$B$18,IF($E90=Categories!$A$19,Categories!$B$19)))))))))))))))))))</f>
        <v>0</v>
      </c>
      <c r="G90" s="9" t="str">
        <f t="shared" si="19"/>
        <v/>
      </c>
      <c r="H90" s="1" t="str">
        <f t="shared" si="20"/>
        <v/>
      </c>
      <c r="I90" s="1" t="str">
        <f t="shared" si="21"/>
        <v/>
      </c>
      <c r="J90" s="1" t="str">
        <f t="shared" si="22"/>
        <v/>
      </c>
      <c r="K90" s="13" t="str">
        <f t="shared" si="23"/>
        <v/>
      </c>
      <c r="L90" s="9" t="str">
        <f t="shared" si="24"/>
        <v/>
      </c>
      <c r="M90" s="1" t="str">
        <f t="shared" si="25"/>
        <v/>
      </c>
      <c r="N90" s="1" t="str">
        <f t="shared" si="26"/>
        <v/>
      </c>
      <c r="O90" s="1" t="str">
        <f t="shared" si="27"/>
        <v/>
      </c>
      <c r="P90" s="1" t="str">
        <f t="shared" si="28"/>
        <v/>
      </c>
      <c r="Q90" s="1" t="str">
        <f t="shared" si="29"/>
        <v/>
      </c>
      <c r="R90" s="1" t="str">
        <f t="shared" si="30"/>
        <v/>
      </c>
      <c r="S90" s="1" t="str">
        <f t="shared" si="31"/>
        <v/>
      </c>
      <c r="T90" s="1" t="str">
        <f t="shared" si="32"/>
        <v/>
      </c>
      <c r="U90" s="1" t="str">
        <f t="shared" si="33"/>
        <v/>
      </c>
      <c r="V90" s="1" t="str">
        <f t="shared" si="34"/>
        <v/>
      </c>
      <c r="W90" s="26" t="str">
        <f t="shared" si="35"/>
        <v/>
      </c>
      <c r="X90" s="13" t="str">
        <f t="shared" si="36"/>
        <v/>
      </c>
      <c r="Y90" s="9">
        <f t="shared" si="37"/>
        <v>0</v>
      </c>
    </row>
    <row r="91" spans="1:25" x14ac:dyDescent="0.25">
      <c r="A91" s="28"/>
      <c r="B91" s="29"/>
      <c r="C91" s="30"/>
      <c r="D91" s="31"/>
      <c r="E91" s="29" t="s">
        <v>16</v>
      </c>
      <c r="F91" s="13" t="b">
        <f>IF($E91=Categories!$A$1,"",IF($E91=Categories!$A$2,Categories!$B$2,IF($E91=Categories!$A$3,Categories!$B$3,IF($E91=Categories!$A$4,Categories!$B$4,IF($E91=Categories!$A$5,Categories!$B$5,IF($E91=Categories!$A$6,Categories!$B$6,IF($E91=Categories!$A$7,Categories!$B$7,IF($E91=Categories!$A$8,Categories!$B$8,IF($E91=Categories!$A$9,Categories!$B$9,IF($E91=Categories!$A$10,Categories!$B$10,IF($E91=Categories!$A$11,Categories!$B$11,IF($E91=Categories!$A$12,Categories!$B$12,IF($E91=Categories!$A$13,Categories!$B$13,IF($E91=Categories!$A$14,Categories!$B$14,IF($E91=Categories!$A$15,Categories!$B$15,IF($E91=Categories!$A$16,Categories!$B$16,IF($E91=Categories!$A$17,Categories!$B$17,IF($E91=Categories!$A$18,Categories!$B$18,IF($E91=Categories!$A$19,Categories!$B$19)))))))))))))))))))</f>
        <v>0</v>
      </c>
      <c r="G91" s="9" t="str">
        <f t="shared" si="19"/>
        <v/>
      </c>
      <c r="H91" s="1" t="str">
        <f t="shared" si="20"/>
        <v/>
      </c>
      <c r="I91" s="1" t="str">
        <f t="shared" si="21"/>
        <v/>
      </c>
      <c r="J91" s="1" t="str">
        <f t="shared" si="22"/>
        <v/>
      </c>
      <c r="K91" s="13" t="str">
        <f t="shared" si="23"/>
        <v/>
      </c>
      <c r="L91" s="9" t="str">
        <f t="shared" si="24"/>
        <v/>
      </c>
      <c r="M91" s="1" t="str">
        <f t="shared" si="25"/>
        <v/>
      </c>
      <c r="N91" s="1" t="str">
        <f t="shared" si="26"/>
        <v/>
      </c>
      <c r="O91" s="1" t="str">
        <f t="shared" si="27"/>
        <v/>
      </c>
      <c r="P91" s="1" t="str">
        <f t="shared" si="28"/>
        <v/>
      </c>
      <c r="Q91" s="1" t="str">
        <f t="shared" si="29"/>
        <v/>
      </c>
      <c r="R91" s="1" t="str">
        <f t="shared" si="30"/>
        <v/>
      </c>
      <c r="S91" s="1" t="str">
        <f t="shared" si="31"/>
        <v/>
      </c>
      <c r="T91" s="1" t="str">
        <f t="shared" si="32"/>
        <v/>
      </c>
      <c r="U91" s="1" t="str">
        <f t="shared" si="33"/>
        <v/>
      </c>
      <c r="V91" s="1" t="str">
        <f t="shared" si="34"/>
        <v/>
      </c>
      <c r="W91" s="26" t="str">
        <f t="shared" si="35"/>
        <v/>
      </c>
      <c r="X91" s="13" t="str">
        <f t="shared" si="36"/>
        <v/>
      </c>
      <c r="Y91" s="9">
        <f t="shared" si="37"/>
        <v>0</v>
      </c>
    </row>
    <row r="92" spans="1:25" x14ac:dyDescent="0.25">
      <c r="A92" s="28"/>
      <c r="B92" s="29"/>
      <c r="C92" s="30"/>
      <c r="D92" s="31"/>
      <c r="E92" s="29" t="s">
        <v>16</v>
      </c>
      <c r="F92" s="13" t="b">
        <f>IF($E92=Categories!$A$1,"",IF($E92=Categories!$A$2,Categories!$B$2,IF($E92=Categories!$A$3,Categories!$B$3,IF($E92=Categories!$A$4,Categories!$B$4,IF($E92=Categories!$A$5,Categories!$B$5,IF($E92=Categories!$A$6,Categories!$B$6,IF($E92=Categories!$A$7,Categories!$B$7,IF($E92=Categories!$A$8,Categories!$B$8,IF($E92=Categories!$A$9,Categories!$B$9,IF($E92=Categories!$A$10,Categories!$B$10,IF($E92=Categories!$A$11,Categories!$B$11,IF($E92=Categories!$A$12,Categories!$B$12,IF($E92=Categories!$A$13,Categories!$B$13,IF($E92=Categories!$A$14,Categories!$B$14,IF($E92=Categories!$A$15,Categories!$B$15,IF($E92=Categories!$A$16,Categories!$B$16,IF($E92=Categories!$A$17,Categories!$B$17,IF($E92=Categories!$A$18,Categories!$B$18,IF($E92=Categories!$A$19,Categories!$B$19)))))))))))))))))))</f>
        <v>0</v>
      </c>
      <c r="G92" s="9" t="str">
        <f t="shared" si="19"/>
        <v/>
      </c>
      <c r="H92" s="1" t="str">
        <f t="shared" si="20"/>
        <v/>
      </c>
      <c r="I92" s="1" t="str">
        <f t="shared" si="21"/>
        <v/>
      </c>
      <c r="J92" s="1" t="str">
        <f t="shared" si="22"/>
        <v/>
      </c>
      <c r="K92" s="13" t="str">
        <f t="shared" si="23"/>
        <v/>
      </c>
      <c r="L92" s="9" t="str">
        <f t="shared" si="24"/>
        <v/>
      </c>
      <c r="M92" s="1" t="str">
        <f t="shared" si="25"/>
        <v/>
      </c>
      <c r="N92" s="1" t="str">
        <f t="shared" si="26"/>
        <v/>
      </c>
      <c r="O92" s="1" t="str">
        <f t="shared" si="27"/>
        <v/>
      </c>
      <c r="P92" s="1" t="str">
        <f t="shared" si="28"/>
        <v/>
      </c>
      <c r="Q92" s="1" t="str">
        <f t="shared" si="29"/>
        <v/>
      </c>
      <c r="R92" s="1" t="str">
        <f t="shared" si="30"/>
        <v/>
      </c>
      <c r="S92" s="1" t="str">
        <f t="shared" si="31"/>
        <v/>
      </c>
      <c r="T92" s="1" t="str">
        <f t="shared" si="32"/>
        <v/>
      </c>
      <c r="U92" s="1" t="str">
        <f t="shared" si="33"/>
        <v/>
      </c>
      <c r="V92" s="1" t="str">
        <f t="shared" si="34"/>
        <v/>
      </c>
      <c r="W92" s="26" t="str">
        <f t="shared" si="35"/>
        <v/>
      </c>
      <c r="X92" s="13" t="str">
        <f t="shared" si="36"/>
        <v/>
      </c>
      <c r="Y92" s="9">
        <f t="shared" si="37"/>
        <v>0</v>
      </c>
    </row>
    <row r="93" spans="1:25" x14ac:dyDescent="0.25">
      <c r="A93" s="28"/>
      <c r="B93" s="29"/>
      <c r="C93" s="30"/>
      <c r="D93" s="31"/>
      <c r="E93" s="29" t="s">
        <v>16</v>
      </c>
      <c r="F93" s="13" t="b">
        <f>IF($E93=Categories!$A$1,"",IF($E93=Categories!$A$2,Categories!$B$2,IF($E93=Categories!$A$3,Categories!$B$3,IF($E93=Categories!$A$4,Categories!$B$4,IF($E93=Categories!$A$5,Categories!$B$5,IF($E93=Categories!$A$6,Categories!$B$6,IF($E93=Categories!$A$7,Categories!$B$7,IF($E93=Categories!$A$8,Categories!$B$8,IF($E93=Categories!$A$9,Categories!$B$9,IF($E93=Categories!$A$10,Categories!$B$10,IF($E93=Categories!$A$11,Categories!$B$11,IF($E93=Categories!$A$12,Categories!$B$12,IF($E93=Categories!$A$13,Categories!$B$13,IF($E93=Categories!$A$14,Categories!$B$14,IF($E93=Categories!$A$15,Categories!$B$15,IF($E93=Categories!$A$16,Categories!$B$16,IF($E93=Categories!$A$17,Categories!$B$17,IF($E93=Categories!$A$18,Categories!$B$18,IF($E93=Categories!$A$19,Categories!$B$19)))))))))))))))))))</f>
        <v>0</v>
      </c>
      <c r="G93" s="9" t="str">
        <f t="shared" si="19"/>
        <v/>
      </c>
      <c r="H93" s="1" t="str">
        <f t="shared" si="20"/>
        <v/>
      </c>
      <c r="I93" s="1" t="str">
        <f t="shared" si="21"/>
        <v/>
      </c>
      <c r="J93" s="1" t="str">
        <f t="shared" si="22"/>
        <v/>
      </c>
      <c r="K93" s="13" t="str">
        <f t="shared" si="23"/>
        <v/>
      </c>
      <c r="L93" s="9" t="str">
        <f t="shared" si="24"/>
        <v/>
      </c>
      <c r="M93" s="1" t="str">
        <f t="shared" si="25"/>
        <v/>
      </c>
      <c r="N93" s="1" t="str">
        <f t="shared" si="26"/>
        <v/>
      </c>
      <c r="O93" s="1" t="str">
        <f t="shared" si="27"/>
        <v/>
      </c>
      <c r="P93" s="1" t="str">
        <f t="shared" si="28"/>
        <v/>
      </c>
      <c r="Q93" s="1" t="str">
        <f t="shared" si="29"/>
        <v/>
      </c>
      <c r="R93" s="1" t="str">
        <f t="shared" si="30"/>
        <v/>
      </c>
      <c r="S93" s="1" t="str">
        <f t="shared" si="31"/>
        <v/>
      </c>
      <c r="T93" s="1" t="str">
        <f t="shared" si="32"/>
        <v/>
      </c>
      <c r="U93" s="1" t="str">
        <f t="shared" si="33"/>
        <v/>
      </c>
      <c r="V93" s="1" t="str">
        <f t="shared" si="34"/>
        <v/>
      </c>
      <c r="W93" s="26" t="str">
        <f t="shared" si="35"/>
        <v/>
      </c>
      <c r="X93" s="13" t="str">
        <f t="shared" si="36"/>
        <v/>
      </c>
      <c r="Y93" s="9">
        <f t="shared" si="37"/>
        <v>0</v>
      </c>
    </row>
    <row r="94" spans="1:25" x14ac:dyDescent="0.25">
      <c r="A94" s="28"/>
      <c r="B94" s="29"/>
      <c r="C94" s="30"/>
      <c r="D94" s="31"/>
      <c r="E94" s="29" t="s">
        <v>16</v>
      </c>
      <c r="F94" s="13" t="b">
        <f>IF($E94=Categories!$A$1,"",IF($E94=Categories!$A$2,Categories!$B$2,IF($E94=Categories!$A$3,Categories!$B$3,IF($E94=Categories!$A$4,Categories!$B$4,IF($E94=Categories!$A$5,Categories!$B$5,IF($E94=Categories!$A$6,Categories!$B$6,IF($E94=Categories!$A$7,Categories!$B$7,IF($E94=Categories!$A$8,Categories!$B$8,IF($E94=Categories!$A$9,Categories!$B$9,IF($E94=Categories!$A$10,Categories!$B$10,IF($E94=Categories!$A$11,Categories!$B$11,IF($E94=Categories!$A$12,Categories!$B$12,IF($E94=Categories!$A$13,Categories!$B$13,IF($E94=Categories!$A$14,Categories!$B$14,IF($E94=Categories!$A$15,Categories!$B$15,IF($E94=Categories!$A$16,Categories!$B$16,IF($E94=Categories!$A$17,Categories!$B$17,IF($E94=Categories!$A$18,Categories!$B$18,IF($E94=Categories!$A$19,Categories!$B$19)))))))))))))))))))</f>
        <v>0</v>
      </c>
      <c r="G94" s="9" t="str">
        <f t="shared" si="19"/>
        <v/>
      </c>
      <c r="H94" s="1" t="str">
        <f t="shared" si="20"/>
        <v/>
      </c>
      <c r="I94" s="1" t="str">
        <f t="shared" si="21"/>
        <v/>
      </c>
      <c r="J94" s="1" t="str">
        <f t="shared" si="22"/>
        <v/>
      </c>
      <c r="K94" s="13" t="str">
        <f t="shared" si="23"/>
        <v/>
      </c>
      <c r="L94" s="9" t="str">
        <f t="shared" si="24"/>
        <v/>
      </c>
      <c r="M94" s="1" t="str">
        <f t="shared" si="25"/>
        <v/>
      </c>
      <c r="N94" s="1" t="str">
        <f t="shared" si="26"/>
        <v/>
      </c>
      <c r="O94" s="1" t="str">
        <f t="shared" si="27"/>
        <v/>
      </c>
      <c r="P94" s="1" t="str">
        <f t="shared" si="28"/>
        <v/>
      </c>
      <c r="Q94" s="1" t="str">
        <f t="shared" si="29"/>
        <v/>
      </c>
      <c r="R94" s="1" t="str">
        <f t="shared" si="30"/>
        <v/>
      </c>
      <c r="S94" s="1" t="str">
        <f t="shared" si="31"/>
        <v/>
      </c>
      <c r="T94" s="1" t="str">
        <f t="shared" si="32"/>
        <v/>
      </c>
      <c r="U94" s="1" t="str">
        <f t="shared" si="33"/>
        <v/>
      </c>
      <c r="V94" s="1" t="str">
        <f t="shared" si="34"/>
        <v/>
      </c>
      <c r="W94" s="26" t="str">
        <f t="shared" si="35"/>
        <v/>
      </c>
      <c r="X94" s="13" t="str">
        <f t="shared" si="36"/>
        <v/>
      </c>
      <c r="Y94" s="9">
        <f t="shared" si="37"/>
        <v>0</v>
      </c>
    </row>
    <row r="95" spans="1:25" x14ac:dyDescent="0.25">
      <c r="A95" s="28"/>
      <c r="B95" s="29"/>
      <c r="C95" s="30"/>
      <c r="D95" s="31"/>
      <c r="E95" s="29" t="s">
        <v>16</v>
      </c>
      <c r="F95" s="13" t="b">
        <f>IF($E95=Categories!$A$1,"",IF($E95=Categories!$A$2,Categories!$B$2,IF($E95=Categories!$A$3,Categories!$B$3,IF($E95=Categories!$A$4,Categories!$B$4,IF($E95=Categories!$A$5,Categories!$B$5,IF($E95=Categories!$A$6,Categories!$B$6,IF($E95=Categories!$A$7,Categories!$B$7,IF($E95=Categories!$A$8,Categories!$B$8,IF($E95=Categories!$A$9,Categories!$B$9,IF($E95=Categories!$A$10,Categories!$B$10,IF($E95=Categories!$A$11,Categories!$B$11,IF($E95=Categories!$A$12,Categories!$B$12,IF($E95=Categories!$A$13,Categories!$B$13,IF($E95=Categories!$A$14,Categories!$B$14,IF($E95=Categories!$A$15,Categories!$B$15,IF($E95=Categories!$A$16,Categories!$B$16,IF($E95=Categories!$A$17,Categories!$B$17,IF($E95=Categories!$A$18,Categories!$B$18,IF($E95=Categories!$A$19,Categories!$B$19)))))))))))))))))))</f>
        <v>0</v>
      </c>
      <c r="G95" s="9" t="str">
        <f t="shared" si="19"/>
        <v/>
      </c>
      <c r="H95" s="1" t="str">
        <f t="shared" si="20"/>
        <v/>
      </c>
      <c r="I95" s="1" t="str">
        <f t="shared" si="21"/>
        <v/>
      </c>
      <c r="J95" s="1" t="str">
        <f t="shared" si="22"/>
        <v/>
      </c>
      <c r="K95" s="13" t="str">
        <f t="shared" si="23"/>
        <v/>
      </c>
      <c r="L95" s="9" t="str">
        <f t="shared" si="24"/>
        <v/>
      </c>
      <c r="M95" s="1" t="str">
        <f t="shared" si="25"/>
        <v/>
      </c>
      <c r="N95" s="1" t="str">
        <f t="shared" si="26"/>
        <v/>
      </c>
      <c r="O95" s="1" t="str">
        <f t="shared" si="27"/>
        <v/>
      </c>
      <c r="P95" s="1" t="str">
        <f t="shared" si="28"/>
        <v/>
      </c>
      <c r="Q95" s="1" t="str">
        <f t="shared" si="29"/>
        <v/>
      </c>
      <c r="R95" s="1" t="str">
        <f t="shared" si="30"/>
        <v/>
      </c>
      <c r="S95" s="1" t="str">
        <f t="shared" si="31"/>
        <v/>
      </c>
      <c r="T95" s="1" t="str">
        <f t="shared" si="32"/>
        <v/>
      </c>
      <c r="U95" s="1" t="str">
        <f t="shared" si="33"/>
        <v/>
      </c>
      <c r="V95" s="1" t="str">
        <f t="shared" si="34"/>
        <v/>
      </c>
      <c r="W95" s="26" t="str">
        <f t="shared" si="35"/>
        <v/>
      </c>
      <c r="X95" s="13" t="str">
        <f t="shared" si="36"/>
        <v/>
      </c>
      <c r="Y95" s="9">
        <f t="shared" si="37"/>
        <v>0</v>
      </c>
    </row>
    <row r="96" spans="1:25" x14ac:dyDescent="0.25">
      <c r="A96" s="11"/>
      <c r="B96" s="16" t="s">
        <v>30</v>
      </c>
      <c r="C96" s="11"/>
      <c r="D96" s="11"/>
      <c r="E96" s="11"/>
      <c r="F96" s="21"/>
      <c r="G96" s="18">
        <f>SUM(G6:G95)</f>
        <v>0</v>
      </c>
      <c r="H96" s="18">
        <f t="shared" ref="H96:X96" si="38">SUM(H6:H95)</f>
        <v>0</v>
      </c>
      <c r="I96" s="18">
        <f t="shared" si="38"/>
        <v>0</v>
      </c>
      <c r="J96" s="18">
        <f t="shared" si="38"/>
        <v>0</v>
      </c>
      <c r="K96" s="19">
        <f t="shared" si="38"/>
        <v>0</v>
      </c>
      <c r="L96" s="20">
        <f t="shared" si="38"/>
        <v>0</v>
      </c>
      <c r="M96" s="18">
        <f t="shared" si="38"/>
        <v>0</v>
      </c>
      <c r="N96" s="18">
        <f t="shared" si="38"/>
        <v>0</v>
      </c>
      <c r="O96" s="18">
        <f t="shared" si="38"/>
        <v>0</v>
      </c>
      <c r="P96" s="18">
        <f t="shared" si="38"/>
        <v>0</v>
      </c>
      <c r="Q96" s="18">
        <f t="shared" si="38"/>
        <v>0</v>
      </c>
      <c r="R96" s="18">
        <f t="shared" si="38"/>
        <v>0</v>
      </c>
      <c r="S96" s="18">
        <f t="shared" si="38"/>
        <v>0</v>
      </c>
      <c r="T96" s="18">
        <f t="shared" si="38"/>
        <v>0</v>
      </c>
      <c r="U96" s="18">
        <f t="shared" si="38"/>
        <v>0</v>
      </c>
      <c r="V96" s="18">
        <f t="shared" si="38"/>
        <v>0</v>
      </c>
      <c r="W96" s="18">
        <f t="shared" si="38"/>
        <v>0</v>
      </c>
      <c r="X96" s="18">
        <f t="shared" si="38"/>
        <v>0</v>
      </c>
      <c r="Y96" s="18"/>
    </row>
  </sheetData>
  <mergeCells count="1">
    <mergeCell ref="A4:E4"/>
  </mergeCells>
  <printOptions gridLines="1"/>
  <pageMargins left="0.23622047244094491" right="0.23622047244094491" top="0.74803149606299213" bottom="0.74803149606299213" header="0.31496062992125984" footer="0.31496062992125984"/>
  <pageSetup paperSize="9" scale="50" fitToHeight="2" orientation="landscape" r:id="rId1"/>
  <extLst>
    <ext xmlns:x14="http://schemas.microsoft.com/office/spreadsheetml/2009/9/main" uri="{CCE6A557-97BC-4b89-ADB6-D9C93CAAB3DF}">
      <x14:dataValidations xmlns:xm="http://schemas.microsoft.com/office/excel/2006/main" count="1">
        <x14:dataValidation type="list" allowBlank="1" showErrorMessage="1" xr:uid="{00000000-0002-0000-0600-000000000000}">
          <x14:formula1>
            <xm:f>Categories!$A$1:$A$19</xm:f>
          </x14:formula1>
          <xm:sqref>E6:E95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Y96"/>
  <sheetViews>
    <sheetView workbookViewId="0">
      <pane xSplit="6" ySplit="5" topLeftCell="G6" activePane="bottomRight" state="frozen"/>
      <selection activeCell="B78" sqref="B78"/>
      <selection pane="topRight" activeCell="B78" sqref="B78"/>
      <selection pane="bottomLeft" activeCell="B78" sqref="B78"/>
      <selection pane="bottomRight" activeCell="B78" sqref="B78"/>
    </sheetView>
  </sheetViews>
  <sheetFormatPr defaultRowHeight="15" x14ac:dyDescent="0.25"/>
  <cols>
    <col min="1" max="1" width="10.7109375" bestFit="1" customWidth="1"/>
    <col min="2" max="2" width="13.7109375" customWidth="1"/>
    <col min="3" max="3" width="12" customWidth="1"/>
    <col min="5" max="5" width="15.28515625" customWidth="1"/>
    <col min="6" max="6" width="12.7109375" hidden="1" customWidth="1"/>
    <col min="7" max="25" width="11.7109375" customWidth="1"/>
  </cols>
  <sheetData>
    <row r="1" spans="1:25" ht="23.25" x14ac:dyDescent="0.35">
      <c r="A1" s="3" t="s">
        <v>45</v>
      </c>
      <c r="D1" s="8" t="str">
        <f>Instructions!C3</f>
        <v>Lucy's Tailored Tails</v>
      </c>
      <c r="Y1" s="9"/>
    </row>
    <row r="2" spans="1:25" ht="15" customHeight="1" x14ac:dyDescent="0.35">
      <c r="A2" s="3"/>
      <c r="D2" s="8"/>
      <c r="Y2" s="9"/>
    </row>
    <row r="3" spans="1:25" x14ac:dyDescent="0.25">
      <c r="R3" t="s">
        <v>0</v>
      </c>
      <c r="Y3" s="9">
        <f>IF(Instructions!C7="June",Instructions!C6,May!Y95)</f>
        <v>0</v>
      </c>
    </row>
    <row r="4" spans="1:25" x14ac:dyDescent="0.25">
      <c r="A4" s="39" t="s">
        <v>111</v>
      </c>
      <c r="B4" s="40"/>
      <c r="C4" s="40"/>
      <c r="D4" s="40"/>
      <c r="E4" s="41"/>
      <c r="F4" s="12"/>
      <c r="G4" s="17" t="s">
        <v>31</v>
      </c>
      <c r="H4" s="11"/>
      <c r="I4" s="11"/>
      <c r="J4" s="11"/>
      <c r="K4" s="12"/>
      <c r="L4" s="17" t="s">
        <v>33</v>
      </c>
      <c r="M4" s="11"/>
      <c r="N4" s="11"/>
      <c r="O4" s="11"/>
      <c r="P4" s="11"/>
      <c r="Q4" s="11"/>
      <c r="R4" s="11"/>
      <c r="S4" s="11"/>
      <c r="T4" s="11"/>
      <c r="U4" s="11"/>
      <c r="V4" s="11"/>
      <c r="W4" s="21"/>
      <c r="X4" s="12"/>
      <c r="Y4" s="10"/>
    </row>
    <row r="5" spans="1:25" ht="30" x14ac:dyDescent="0.25">
      <c r="A5" s="34" t="s">
        <v>1</v>
      </c>
      <c r="B5" s="35" t="s">
        <v>39</v>
      </c>
      <c r="C5" s="34" t="s">
        <v>2</v>
      </c>
      <c r="D5" s="34" t="s">
        <v>3</v>
      </c>
      <c r="E5" s="34" t="s">
        <v>105</v>
      </c>
      <c r="F5" s="12"/>
      <c r="G5" s="10" t="str">
        <f>Categories!A2</f>
        <v>Shop Sales</v>
      </c>
      <c r="H5" s="11" t="str">
        <f>Categories!A3</f>
        <v>Income 2</v>
      </c>
      <c r="I5" s="11" t="str">
        <f>Categories!A4</f>
        <v>Income 3</v>
      </c>
      <c r="J5" s="11" t="str">
        <f>Categories!A5</f>
        <v>Income 4</v>
      </c>
      <c r="K5" s="12" t="str">
        <f>Categories!A6</f>
        <v>Income 5</v>
      </c>
      <c r="L5" s="10" t="str">
        <f>Categories!A7</f>
        <v>Website Fees</v>
      </c>
      <c r="M5" s="11" t="str">
        <f>Categories!A8</f>
        <v>Exp 2</v>
      </c>
      <c r="N5" s="11" t="str">
        <f>Categories!A9</f>
        <v>Exp 3</v>
      </c>
      <c r="O5" s="11" t="str">
        <f>Categories!A10</f>
        <v>Exp 4</v>
      </c>
      <c r="P5" s="11" t="str">
        <f>Categories!A11</f>
        <v>Exp 5</v>
      </c>
      <c r="Q5" s="11" t="str">
        <f>Categories!A12</f>
        <v>Exp 6</v>
      </c>
      <c r="R5" s="11" t="str">
        <f>Categories!A13</f>
        <v>Exp 7</v>
      </c>
      <c r="S5" s="11" t="str">
        <f>Categories!A14</f>
        <v>Exp 8</v>
      </c>
      <c r="T5" s="11" t="str">
        <f>Categories!A15</f>
        <v>Exp 9</v>
      </c>
      <c r="U5" s="11" t="str">
        <f>Categories!A16</f>
        <v>Exp 10</v>
      </c>
      <c r="V5" s="11" t="str">
        <f>Categories!A17</f>
        <v>Exp 11</v>
      </c>
      <c r="W5" s="21" t="str">
        <f>Categories!A18</f>
        <v>Exp 12</v>
      </c>
      <c r="X5" s="12" t="str">
        <f>Categories!A19</f>
        <v>Exp 13</v>
      </c>
      <c r="Y5" s="10" t="s">
        <v>4</v>
      </c>
    </row>
    <row r="6" spans="1:25" x14ac:dyDescent="0.25">
      <c r="A6" s="28"/>
      <c r="B6" s="29"/>
      <c r="C6" s="30"/>
      <c r="D6" s="31"/>
      <c r="E6" s="29" t="s">
        <v>16</v>
      </c>
      <c r="F6" s="13" t="b">
        <f>IF($E6=Categories!$A$1,"",IF($E6=Categories!$A$2,Categories!$B$2,IF($E6=Categories!$A$3,Categories!$B$3,IF($E6=Categories!$A$4,Categories!$B$4,IF($E6=Categories!$A$5,Categories!$B$5,IF($E6=Categories!$A$6,Categories!$B$6,IF($E6=Categories!$A$7,Categories!$B$7,IF($E6=Categories!$A$8,Categories!$B$8,IF($E6=Categories!$A$9,Categories!$B$9,IF($E6=Categories!$A$10,Categories!$B$10,IF($E6=Categories!$A$11,Categories!$B$11,IF($E6=Categories!$A$12,Categories!$B$12,IF($E6=Categories!$A$13,Categories!$B$13,IF($E6=Categories!$A$14,Categories!$B$14,IF($E6=Categories!$A$15,Categories!$B$15,IF($E6=Categories!$A$16,Categories!$B$16,IF($E6=Categories!$A$17,Categories!$B$17,IF($E6=Categories!$A$18,Categories!$B$18,IF($E6=Categories!$A$19,Categories!$B$19)))))))))))))))))))</f>
        <v>0</v>
      </c>
      <c r="G6" s="9" t="str">
        <f>IF($F6="Inc1",$D6,"")</f>
        <v/>
      </c>
      <c r="H6" s="1" t="str">
        <f>IF($F6="Inc2",$D6,"")</f>
        <v/>
      </c>
      <c r="I6" s="1" t="str">
        <f>IF($F6="Int",$D6,"")</f>
        <v/>
      </c>
      <c r="J6" s="1" t="str">
        <f>IF($F6="Inc4",$D6,"")</f>
        <v/>
      </c>
      <c r="K6" s="13" t="str">
        <f>IF($F6="Inc5",$D6,"")</f>
        <v/>
      </c>
      <c r="L6" s="9" t="str">
        <f>IF($F6="ExpA",$D6,"")</f>
        <v/>
      </c>
      <c r="M6" s="1" t="str">
        <f>IF($F6="ExpB",$D6,"")</f>
        <v/>
      </c>
      <c r="N6" s="1" t="str">
        <f>IF($F6="ExpC",$D6,"")</f>
        <v/>
      </c>
      <c r="O6" s="1" t="str">
        <f>IF($F6="ExpD",$D6,"")</f>
        <v/>
      </c>
      <c r="P6" s="1" t="str">
        <f>IF($F6="ExpE",$D6,"")</f>
        <v/>
      </c>
      <c r="Q6" s="1" t="str">
        <f>IF($F6="ExpF",$D6,"")</f>
        <v/>
      </c>
      <c r="R6" s="1" t="str">
        <f>IF($F6="ExpG",$D6,"")</f>
        <v/>
      </c>
      <c r="S6" s="1" t="str">
        <f>IF($F6="ExpH",$D6,"")</f>
        <v/>
      </c>
      <c r="T6" s="1" t="str">
        <f>IF($F6="ExpI",$D6,"")</f>
        <v/>
      </c>
      <c r="U6" s="1" t="str">
        <f>IF($F6="ExpJ",$D6,"")</f>
        <v/>
      </c>
      <c r="V6" s="1" t="str">
        <f>IF($F6="ExpK",$D6,"")</f>
        <v/>
      </c>
      <c r="W6" s="26" t="str">
        <f>IF($F6="ExpL",$D6,"")</f>
        <v/>
      </c>
      <c r="X6" s="13" t="str">
        <f>IF($F6="Expm",$D6,"")</f>
        <v/>
      </c>
      <c r="Y6" s="9">
        <f>$Y$3+SUM(G6:K6)-SUM(L6:X6)</f>
        <v>0</v>
      </c>
    </row>
    <row r="7" spans="1:25" x14ac:dyDescent="0.25">
      <c r="A7" s="28"/>
      <c r="B7" s="29"/>
      <c r="C7" s="30"/>
      <c r="D7" s="31"/>
      <c r="E7" s="29" t="s">
        <v>16</v>
      </c>
      <c r="F7" s="13" t="b">
        <f>IF($E7=Categories!$A$1,"",IF($E7=Categories!$A$2,Categories!$B$2,IF($E7=Categories!$A$3,Categories!$B$3,IF($E7=Categories!$A$4,Categories!$B$4,IF($E7=Categories!$A$5,Categories!$B$5,IF($E7=Categories!$A$6,Categories!$B$6,IF($E7=Categories!$A$7,Categories!$B$7,IF($E7=Categories!$A$8,Categories!$B$8,IF($E7=Categories!$A$9,Categories!$B$9,IF($E7=Categories!$A$10,Categories!$B$10,IF($E7=Categories!$A$11,Categories!$B$11,IF($E7=Categories!$A$12,Categories!$B$12,IF($E7=Categories!$A$13,Categories!$B$13,IF($E7=Categories!$A$14,Categories!$B$14,IF($E7=Categories!$A$15,Categories!$B$15,IF($E7=Categories!$A$16,Categories!$B$16,IF($E7=Categories!$A$17,Categories!$B$17,IF($E7=Categories!$A$18,Categories!$B$18,IF($E7=Categories!$A$19,Categories!$B$19)))))))))))))))))))</f>
        <v>0</v>
      </c>
      <c r="G7" s="9" t="str">
        <f t="shared" ref="G7:G70" si="0">IF($F7="Inc1",$D7,"")</f>
        <v/>
      </c>
      <c r="H7" s="1" t="str">
        <f t="shared" ref="H7:H70" si="1">IF($F7="Inc2",$D7,"")</f>
        <v/>
      </c>
      <c r="I7" s="1" t="str">
        <f t="shared" ref="I7:I70" si="2">IF($F7="Int",$D7,"")</f>
        <v/>
      </c>
      <c r="J7" s="1" t="str">
        <f t="shared" ref="J7:J70" si="3">IF($F7="Inc4",$D7,"")</f>
        <v/>
      </c>
      <c r="K7" s="13" t="str">
        <f t="shared" ref="K7:K70" si="4">IF($F7="Inc5",$D7,"")</f>
        <v/>
      </c>
      <c r="L7" s="9" t="str">
        <f t="shared" ref="L7:L70" si="5">IF($F7="ExpA",$D7,"")</f>
        <v/>
      </c>
      <c r="M7" s="1" t="str">
        <f t="shared" ref="M7:M70" si="6">IF($F7="ExpB",$D7,"")</f>
        <v/>
      </c>
      <c r="N7" s="1" t="str">
        <f t="shared" ref="N7:N70" si="7">IF($F7="ExpC",$D7,"")</f>
        <v/>
      </c>
      <c r="O7" s="1" t="str">
        <f t="shared" ref="O7:O70" si="8">IF($F7="ExpD",$D7,"")</f>
        <v/>
      </c>
      <c r="P7" s="1" t="str">
        <f t="shared" ref="P7:P70" si="9">IF($F7="ExpE",$D7,"")</f>
        <v/>
      </c>
      <c r="Q7" s="1" t="str">
        <f t="shared" ref="Q7:Q70" si="10">IF($F7="ExpF",$D7,"")</f>
        <v/>
      </c>
      <c r="R7" s="1" t="str">
        <f t="shared" ref="R7:R70" si="11">IF($F7="ExpG",$D7,"")</f>
        <v/>
      </c>
      <c r="S7" s="1" t="str">
        <f t="shared" ref="S7:S70" si="12">IF($F7="ExpH",$D7,"")</f>
        <v/>
      </c>
      <c r="T7" s="1" t="str">
        <f t="shared" ref="T7:T70" si="13">IF($F7="ExpI",$D7,"")</f>
        <v/>
      </c>
      <c r="U7" s="1" t="str">
        <f t="shared" ref="U7:U70" si="14">IF($F7="ExpJ",$D7,"")</f>
        <v/>
      </c>
      <c r="V7" s="1" t="str">
        <f t="shared" ref="V7:V70" si="15">IF($F7="ExpK",$D7,"")</f>
        <v/>
      </c>
      <c r="W7" s="26" t="str">
        <f t="shared" ref="W7:W70" si="16">IF($F7="ExpL",$D7,"")</f>
        <v/>
      </c>
      <c r="X7" s="13" t="str">
        <f t="shared" ref="X7:X70" si="17">IF($F7="Expm",$D7,"")</f>
        <v/>
      </c>
      <c r="Y7" s="9">
        <f>Y6+SUM(G7:K7)-SUM(L7:X7)</f>
        <v>0</v>
      </c>
    </row>
    <row r="8" spans="1:25" x14ac:dyDescent="0.25">
      <c r="A8" s="28"/>
      <c r="B8" s="29"/>
      <c r="C8" s="30"/>
      <c r="D8" s="31"/>
      <c r="E8" s="29" t="s">
        <v>16</v>
      </c>
      <c r="F8" s="13" t="b">
        <f>IF($E8=Categories!$A$1,"",IF($E8=Categories!$A$2,Categories!$B$2,IF($E8=Categories!$A$3,Categories!$B$3,IF($E8=Categories!$A$4,Categories!$B$4,IF($E8=Categories!$A$5,Categories!$B$5,IF($E8=Categories!$A$6,Categories!$B$6,IF($E8=Categories!$A$7,Categories!$B$7,IF($E8=Categories!$A$8,Categories!$B$8,IF($E8=Categories!$A$9,Categories!$B$9,IF($E8=Categories!$A$10,Categories!$B$10,IF($E8=Categories!$A$11,Categories!$B$11,IF($E8=Categories!$A$12,Categories!$B$12,IF($E8=Categories!$A$13,Categories!$B$13,IF($E8=Categories!$A$14,Categories!$B$14,IF($E8=Categories!$A$15,Categories!$B$15,IF($E8=Categories!$A$16,Categories!$B$16,IF($E8=Categories!$A$17,Categories!$B$17,IF($E8=Categories!$A$18,Categories!$B$18,IF($E8=Categories!$A$19,Categories!$B$19)))))))))))))))))))</f>
        <v>0</v>
      </c>
      <c r="G8" s="9" t="str">
        <f t="shared" si="0"/>
        <v/>
      </c>
      <c r="H8" s="1" t="str">
        <f t="shared" si="1"/>
        <v/>
      </c>
      <c r="I8" s="1" t="str">
        <f t="shared" si="2"/>
        <v/>
      </c>
      <c r="J8" s="1" t="str">
        <f t="shared" si="3"/>
        <v/>
      </c>
      <c r="K8" s="13" t="str">
        <f t="shared" si="4"/>
        <v/>
      </c>
      <c r="L8" s="9" t="str">
        <f t="shared" si="5"/>
        <v/>
      </c>
      <c r="M8" s="1" t="str">
        <f t="shared" si="6"/>
        <v/>
      </c>
      <c r="N8" s="1" t="str">
        <f t="shared" si="7"/>
        <v/>
      </c>
      <c r="O8" s="1" t="str">
        <f t="shared" si="8"/>
        <v/>
      </c>
      <c r="P8" s="1" t="str">
        <f t="shared" si="9"/>
        <v/>
      </c>
      <c r="Q8" s="1" t="str">
        <f t="shared" si="10"/>
        <v/>
      </c>
      <c r="R8" s="1" t="str">
        <f t="shared" si="11"/>
        <v/>
      </c>
      <c r="S8" s="1" t="str">
        <f t="shared" si="12"/>
        <v/>
      </c>
      <c r="T8" s="1" t="str">
        <f t="shared" si="13"/>
        <v/>
      </c>
      <c r="U8" s="1" t="str">
        <f t="shared" si="14"/>
        <v/>
      </c>
      <c r="V8" s="1" t="str">
        <f t="shared" si="15"/>
        <v/>
      </c>
      <c r="W8" s="26" t="str">
        <f t="shared" si="16"/>
        <v/>
      </c>
      <c r="X8" s="13" t="str">
        <f t="shared" si="17"/>
        <v/>
      </c>
      <c r="Y8" s="9">
        <f t="shared" ref="Y8:Y71" si="18">Y7+SUM(G8:K8)-SUM(L8:X8)</f>
        <v>0</v>
      </c>
    </row>
    <row r="9" spans="1:25" x14ac:dyDescent="0.25">
      <c r="A9" s="28"/>
      <c r="B9" s="29"/>
      <c r="C9" s="30"/>
      <c r="D9" s="31"/>
      <c r="E9" s="29" t="s">
        <v>16</v>
      </c>
      <c r="F9" s="13" t="b">
        <f>IF($E9=Categories!$A$1,"",IF($E9=Categories!$A$2,Categories!$B$2,IF($E9=Categories!$A$3,Categories!$B$3,IF($E9=Categories!$A$4,Categories!$B$4,IF($E9=Categories!$A$5,Categories!$B$5,IF($E9=Categories!$A$6,Categories!$B$6,IF($E9=Categories!$A$7,Categories!$B$7,IF($E9=Categories!$A$8,Categories!$B$8,IF($E9=Categories!$A$9,Categories!$B$9,IF($E9=Categories!$A$10,Categories!$B$10,IF($E9=Categories!$A$11,Categories!$B$11,IF($E9=Categories!$A$12,Categories!$B$12,IF($E9=Categories!$A$13,Categories!$B$13,IF($E9=Categories!$A$14,Categories!$B$14,IF($E9=Categories!$A$15,Categories!$B$15,IF($E9=Categories!$A$16,Categories!$B$16,IF($E9=Categories!$A$17,Categories!$B$17,IF($E9=Categories!$A$18,Categories!$B$18,IF($E9=Categories!$A$19,Categories!$B$19)))))))))))))))))))</f>
        <v>0</v>
      </c>
      <c r="G9" s="9" t="str">
        <f t="shared" si="0"/>
        <v/>
      </c>
      <c r="H9" s="1" t="str">
        <f t="shared" si="1"/>
        <v/>
      </c>
      <c r="I9" s="1" t="str">
        <f t="shared" si="2"/>
        <v/>
      </c>
      <c r="J9" s="1" t="str">
        <f t="shared" si="3"/>
        <v/>
      </c>
      <c r="K9" s="13" t="str">
        <f t="shared" si="4"/>
        <v/>
      </c>
      <c r="L9" s="9" t="str">
        <f t="shared" si="5"/>
        <v/>
      </c>
      <c r="M9" s="1" t="str">
        <f t="shared" si="6"/>
        <v/>
      </c>
      <c r="N9" s="1" t="str">
        <f t="shared" si="7"/>
        <v/>
      </c>
      <c r="O9" s="1" t="str">
        <f t="shared" si="8"/>
        <v/>
      </c>
      <c r="P9" s="1" t="str">
        <f t="shared" si="9"/>
        <v/>
      </c>
      <c r="Q9" s="1" t="str">
        <f t="shared" si="10"/>
        <v/>
      </c>
      <c r="R9" s="1" t="str">
        <f t="shared" si="11"/>
        <v/>
      </c>
      <c r="S9" s="1" t="str">
        <f t="shared" si="12"/>
        <v/>
      </c>
      <c r="T9" s="1" t="str">
        <f t="shared" si="13"/>
        <v/>
      </c>
      <c r="U9" s="1" t="str">
        <f t="shared" si="14"/>
        <v/>
      </c>
      <c r="V9" s="1" t="str">
        <f t="shared" si="15"/>
        <v/>
      </c>
      <c r="W9" s="26" t="str">
        <f t="shared" si="16"/>
        <v/>
      </c>
      <c r="X9" s="13" t="str">
        <f t="shared" si="17"/>
        <v/>
      </c>
      <c r="Y9" s="9">
        <f t="shared" si="18"/>
        <v>0</v>
      </c>
    </row>
    <row r="10" spans="1:25" x14ac:dyDescent="0.25">
      <c r="A10" s="28"/>
      <c r="B10" s="29"/>
      <c r="C10" s="30"/>
      <c r="D10" s="31"/>
      <c r="E10" s="29" t="s">
        <v>16</v>
      </c>
      <c r="F10" s="13" t="b">
        <f>IF($E10=Categories!$A$1,"",IF($E10=Categories!$A$2,Categories!$B$2,IF($E10=Categories!$A$3,Categories!$B$3,IF($E10=Categories!$A$4,Categories!$B$4,IF($E10=Categories!$A$5,Categories!$B$5,IF($E10=Categories!$A$6,Categories!$B$6,IF($E10=Categories!$A$7,Categories!$B$7,IF($E10=Categories!$A$8,Categories!$B$8,IF($E10=Categories!$A$9,Categories!$B$9,IF($E10=Categories!$A$10,Categories!$B$10,IF($E10=Categories!$A$11,Categories!$B$11,IF($E10=Categories!$A$12,Categories!$B$12,IF($E10=Categories!$A$13,Categories!$B$13,IF($E10=Categories!$A$14,Categories!$B$14,IF($E10=Categories!$A$15,Categories!$B$15,IF($E10=Categories!$A$16,Categories!$B$16,IF($E10=Categories!$A$17,Categories!$B$17,IF($E10=Categories!$A$18,Categories!$B$18,IF($E10=Categories!$A$19,Categories!$B$19)))))))))))))))))))</f>
        <v>0</v>
      </c>
      <c r="G10" s="9" t="str">
        <f t="shared" si="0"/>
        <v/>
      </c>
      <c r="H10" s="1" t="str">
        <f t="shared" si="1"/>
        <v/>
      </c>
      <c r="I10" s="1" t="str">
        <f t="shared" si="2"/>
        <v/>
      </c>
      <c r="J10" s="1" t="str">
        <f t="shared" si="3"/>
        <v/>
      </c>
      <c r="K10" s="13" t="str">
        <f t="shared" si="4"/>
        <v/>
      </c>
      <c r="L10" s="9" t="str">
        <f t="shared" si="5"/>
        <v/>
      </c>
      <c r="M10" s="1" t="str">
        <f t="shared" si="6"/>
        <v/>
      </c>
      <c r="N10" s="1" t="str">
        <f t="shared" si="7"/>
        <v/>
      </c>
      <c r="O10" s="1" t="str">
        <f t="shared" si="8"/>
        <v/>
      </c>
      <c r="P10" s="1" t="str">
        <f t="shared" si="9"/>
        <v/>
      </c>
      <c r="Q10" s="1" t="str">
        <f t="shared" si="10"/>
        <v/>
      </c>
      <c r="R10" s="1" t="str">
        <f t="shared" si="11"/>
        <v/>
      </c>
      <c r="S10" s="1" t="str">
        <f t="shared" si="12"/>
        <v/>
      </c>
      <c r="T10" s="1" t="str">
        <f t="shared" si="13"/>
        <v/>
      </c>
      <c r="U10" s="1" t="str">
        <f t="shared" si="14"/>
        <v/>
      </c>
      <c r="V10" s="1" t="str">
        <f t="shared" si="15"/>
        <v/>
      </c>
      <c r="W10" s="26" t="str">
        <f t="shared" si="16"/>
        <v/>
      </c>
      <c r="X10" s="13" t="str">
        <f t="shared" si="17"/>
        <v/>
      </c>
      <c r="Y10" s="9">
        <f t="shared" si="18"/>
        <v>0</v>
      </c>
    </row>
    <row r="11" spans="1:25" x14ac:dyDescent="0.25">
      <c r="A11" s="28"/>
      <c r="B11" s="29"/>
      <c r="C11" s="30"/>
      <c r="D11" s="31"/>
      <c r="E11" s="29" t="s">
        <v>16</v>
      </c>
      <c r="F11" s="13" t="b">
        <f>IF($E11=Categories!$A$1,"",IF($E11=Categories!$A$2,Categories!$B$2,IF($E11=Categories!$A$3,Categories!$B$3,IF($E11=Categories!$A$4,Categories!$B$4,IF($E11=Categories!$A$5,Categories!$B$5,IF($E11=Categories!$A$6,Categories!$B$6,IF($E11=Categories!$A$7,Categories!$B$7,IF($E11=Categories!$A$8,Categories!$B$8,IF($E11=Categories!$A$9,Categories!$B$9,IF($E11=Categories!$A$10,Categories!$B$10,IF($E11=Categories!$A$11,Categories!$B$11,IF($E11=Categories!$A$12,Categories!$B$12,IF($E11=Categories!$A$13,Categories!$B$13,IF($E11=Categories!$A$14,Categories!$B$14,IF($E11=Categories!$A$15,Categories!$B$15,IF($E11=Categories!$A$16,Categories!$B$16,IF($E11=Categories!$A$17,Categories!$B$17,IF($E11=Categories!$A$18,Categories!$B$18,IF($E11=Categories!$A$19,Categories!$B$19)))))))))))))))))))</f>
        <v>0</v>
      </c>
      <c r="G11" s="9" t="str">
        <f t="shared" si="0"/>
        <v/>
      </c>
      <c r="H11" s="1" t="str">
        <f t="shared" si="1"/>
        <v/>
      </c>
      <c r="I11" s="1" t="str">
        <f t="shared" si="2"/>
        <v/>
      </c>
      <c r="J11" s="1" t="str">
        <f t="shared" si="3"/>
        <v/>
      </c>
      <c r="K11" s="13" t="str">
        <f t="shared" si="4"/>
        <v/>
      </c>
      <c r="L11" s="9" t="str">
        <f t="shared" si="5"/>
        <v/>
      </c>
      <c r="M11" s="1" t="str">
        <f t="shared" si="6"/>
        <v/>
      </c>
      <c r="N11" s="1" t="str">
        <f t="shared" si="7"/>
        <v/>
      </c>
      <c r="O11" s="1" t="str">
        <f t="shared" si="8"/>
        <v/>
      </c>
      <c r="P11" s="1" t="str">
        <f t="shared" si="9"/>
        <v/>
      </c>
      <c r="Q11" s="1" t="str">
        <f t="shared" si="10"/>
        <v/>
      </c>
      <c r="R11" s="1" t="str">
        <f t="shared" si="11"/>
        <v/>
      </c>
      <c r="S11" s="1" t="str">
        <f t="shared" si="12"/>
        <v/>
      </c>
      <c r="T11" s="1" t="str">
        <f t="shared" si="13"/>
        <v/>
      </c>
      <c r="U11" s="1" t="str">
        <f t="shared" si="14"/>
        <v/>
      </c>
      <c r="V11" s="1" t="str">
        <f t="shared" si="15"/>
        <v/>
      </c>
      <c r="W11" s="26" t="str">
        <f t="shared" si="16"/>
        <v/>
      </c>
      <c r="X11" s="13" t="str">
        <f t="shared" si="17"/>
        <v/>
      </c>
      <c r="Y11" s="9">
        <f t="shared" si="18"/>
        <v>0</v>
      </c>
    </row>
    <row r="12" spans="1:25" x14ac:dyDescent="0.25">
      <c r="A12" s="28"/>
      <c r="B12" s="29"/>
      <c r="C12" s="30"/>
      <c r="D12" s="31"/>
      <c r="E12" s="29" t="s">
        <v>16</v>
      </c>
      <c r="F12" s="13" t="b">
        <f>IF($E12=Categories!$A$1,"",IF($E12=Categories!$A$2,Categories!$B$2,IF($E12=Categories!$A$3,Categories!$B$3,IF($E12=Categories!$A$4,Categories!$B$4,IF($E12=Categories!$A$5,Categories!$B$5,IF($E12=Categories!$A$6,Categories!$B$6,IF($E12=Categories!$A$7,Categories!$B$7,IF($E12=Categories!$A$8,Categories!$B$8,IF($E12=Categories!$A$9,Categories!$B$9,IF($E12=Categories!$A$10,Categories!$B$10,IF($E12=Categories!$A$11,Categories!$B$11,IF($E12=Categories!$A$12,Categories!$B$12,IF($E12=Categories!$A$13,Categories!$B$13,IF($E12=Categories!$A$14,Categories!$B$14,IF($E12=Categories!$A$15,Categories!$B$15,IF($E12=Categories!$A$16,Categories!$B$16,IF($E12=Categories!$A$17,Categories!$B$17,IF($E12=Categories!$A$18,Categories!$B$18,IF($E12=Categories!$A$19,Categories!$B$19)))))))))))))))))))</f>
        <v>0</v>
      </c>
      <c r="G12" s="9" t="str">
        <f t="shared" si="0"/>
        <v/>
      </c>
      <c r="H12" s="1" t="str">
        <f t="shared" si="1"/>
        <v/>
      </c>
      <c r="I12" s="1" t="str">
        <f t="shared" si="2"/>
        <v/>
      </c>
      <c r="J12" s="1" t="str">
        <f t="shared" si="3"/>
        <v/>
      </c>
      <c r="K12" s="13" t="str">
        <f t="shared" si="4"/>
        <v/>
      </c>
      <c r="L12" s="9" t="str">
        <f t="shared" si="5"/>
        <v/>
      </c>
      <c r="M12" s="1" t="str">
        <f t="shared" si="6"/>
        <v/>
      </c>
      <c r="N12" s="1" t="str">
        <f t="shared" si="7"/>
        <v/>
      </c>
      <c r="O12" s="1" t="str">
        <f t="shared" si="8"/>
        <v/>
      </c>
      <c r="P12" s="1" t="str">
        <f t="shared" si="9"/>
        <v/>
      </c>
      <c r="Q12" s="1" t="str">
        <f t="shared" si="10"/>
        <v/>
      </c>
      <c r="R12" s="1" t="str">
        <f t="shared" si="11"/>
        <v/>
      </c>
      <c r="S12" s="1" t="str">
        <f t="shared" si="12"/>
        <v/>
      </c>
      <c r="T12" s="1" t="str">
        <f t="shared" si="13"/>
        <v/>
      </c>
      <c r="U12" s="1" t="str">
        <f t="shared" si="14"/>
        <v/>
      </c>
      <c r="V12" s="1" t="str">
        <f t="shared" si="15"/>
        <v/>
      </c>
      <c r="W12" s="26" t="str">
        <f t="shared" si="16"/>
        <v/>
      </c>
      <c r="X12" s="13" t="str">
        <f t="shared" si="17"/>
        <v/>
      </c>
      <c r="Y12" s="9">
        <f t="shared" si="18"/>
        <v>0</v>
      </c>
    </row>
    <row r="13" spans="1:25" x14ac:dyDescent="0.25">
      <c r="A13" s="28"/>
      <c r="B13" s="29"/>
      <c r="C13" s="30"/>
      <c r="D13" s="31"/>
      <c r="E13" s="29" t="s">
        <v>16</v>
      </c>
      <c r="F13" s="13" t="b">
        <f>IF($E13=Categories!$A$1,"",IF($E13=Categories!$A$2,Categories!$B$2,IF($E13=Categories!$A$3,Categories!$B$3,IF($E13=Categories!$A$4,Categories!$B$4,IF($E13=Categories!$A$5,Categories!$B$5,IF($E13=Categories!$A$6,Categories!$B$6,IF($E13=Categories!$A$7,Categories!$B$7,IF($E13=Categories!$A$8,Categories!$B$8,IF($E13=Categories!$A$9,Categories!$B$9,IF($E13=Categories!$A$10,Categories!$B$10,IF($E13=Categories!$A$11,Categories!$B$11,IF($E13=Categories!$A$12,Categories!$B$12,IF($E13=Categories!$A$13,Categories!$B$13,IF($E13=Categories!$A$14,Categories!$B$14,IF($E13=Categories!$A$15,Categories!$B$15,IF($E13=Categories!$A$16,Categories!$B$16,IF($E13=Categories!$A$17,Categories!$B$17,IF($E13=Categories!$A$18,Categories!$B$18,IF($E13=Categories!$A$19,Categories!$B$19)))))))))))))))))))</f>
        <v>0</v>
      </c>
      <c r="G13" s="9" t="str">
        <f t="shared" si="0"/>
        <v/>
      </c>
      <c r="H13" s="1" t="str">
        <f t="shared" si="1"/>
        <v/>
      </c>
      <c r="I13" s="1" t="str">
        <f t="shared" si="2"/>
        <v/>
      </c>
      <c r="J13" s="1" t="str">
        <f t="shared" si="3"/>
        <v/>
      </c>
      <c r="K13" s="13" t="str">
        <f t="shared" si="4"/>
        <v/>
      </c>
      <c r="L13" s="9" t="str">
        <f t="shared" si="5"/>
        <v/>
      </c>
      <c r="M13" s="1" t="str">
        <f t="shared" si="6"/>
        <v/>
      </c>
      <c r="N13" s="1" t="str">
        <f t="shared" si="7"/>
        <v/>
      </c>
      <c r="O13" s="1" t="str">
        <f t="shared" si="8"/>
        <v/>
      </c>
      <c r="P13" s="1" t="str">
        <f t="shared" si="9"/>
        <v/>
      </c>
      <c r="Q13" s="1" t="str">
        <f t="shared" si="10"/>
        <v/>
      </c>
      <c r="R13" s="1" t="str">
        <f t="shared" si="11"/>
        <v/>
      </c>
      <c r="S13" s="1" t="str">
        <f t="shared" si="12"/>
        <v/>
      </c>
      <c r="T13" s="1" t="str">
        <f t="shared" si="13"/>
        <v/>
      </c>
      <c r="U13" s="1" t="str">
        <f t="shared" si="14"/>
        <v/>
      </c>
      <c r="V13" s="1" t="str">
        <f t="shared" si="15"/>
        <v/>
      </c>
      <c r="W13" s="26" t="str">
        <f t="shared" si="16"/>
        <v/>
      </c>
      <c r="X13" s="13" t="str">
        <f t="shared" si="17"/>
        <v/>
      </c>
      <c r="Y13" s="9">
        <f t="shared" si="18"/>
        <v>0</v>
      </c>
    </row>
    <row r="14" spans="1:25" x14ac:dyDescent="0.25">
      <c r="A14" s="28"/>
      <c r="B14" s="29"/>
      <c r="C14" s="30"/>
      <c r="D14" s="31"/>
      <c r="E14" s="29" t="s">
        <v>16</v>
      </c>
      <c r="F14" s="13" t="b">
        <f>IF($E14=Categories!$A$1,"",IF($E14=Categories!$A$2,Categories!$B$2,IF($E14=Categories!$A$3,Categories!$B$3,IF($E14=Categories!$A$4,Categories!$B$4,IF($E14=Categories!$A$5,Categories!$B$5,IF($E14=Categories!$A$6,Categories!$B$6,IF($E14=Categories!$A$7,Categories!$B$7,IF($E14=Categories!$A$8,Categories!$B$8,IF($E14=Categories!$A$9,Categories!$B$9,IF($E14=Categories!$A$10,Categories!$B$10,IF($E14=Categories!$A$11,Categories!$B$11,IF($E14=Categories!$A$12,Categories!$B$12,IF($E14=Categories!$A$13,Categories!$B$13,IF($E14=Categories!$A$14,Categories!$B$14,IF($E14=Categories!$A$15,Categories!$B$15,IF($E14=Categories!$A$16,Categories!$B$16,IF($E14=Categories!$A$17,Categories!$B$17,IF($E14=Categories!$A$18,Categories!$B$18,IF($E14=Categories!$A$19,Categories!$B$19)))))))))))))))))))</f>
        <v>0</v>
      </c>
      <c r="G14" s="9" t="str">
        <f t="shared" si="0"/>
        <v/>
      </c>
      <c r="H14" s="1" t="str">
        <f t="shared" si="1"/>
        <v/>
      </c>
      <c r="I14" s="1" t="str">
        <f t="shared" si="2"/>
        <v/>
      </c>
      <c r="J14" s="1" t="str">
        <f t="shared" si="3"/>
        <v/>
      </c>
      <c r="K14" s="13" t="str">
        <f t="shared" si="4"/>
        <v/>
      </c>
      <c r="L14" s="9" t="str">
        <f t="shared" si="5"/>
        <v/>
      </c>
      <c r="M14" s="1" t="str">
        <f t="shared" si="6"/>
        <v/>
      </c>
      <c r="N14" s="1" t="str">
        <f t="shared" si="7"/>
        <v/>
      </c>
      <c r="O14" s="1" t="str">
        <f t="shared" si="8"/>
        <v/>
      </c>
      <c r="P14" s="1" t="str">
        <f t="shared" si="9"/>
        <v/>
      </c>
      <c r="Q14" s="1" t="str">
        <f t="shared" si="10"/>
        <v/>
      </c>
      <c r="R14" s="1" t="str">
        <f t="shared" si="11"/>
        <v/>
      </c>
      <c r="S14" s="1" t="str">
        <f t="shared" si="12"/>
        <v/>
      </c>
      <c r="T14" s="1" t="str">
        <f t="shared" si="13"/>
        <v/>
      </c>
      <c r="U14" s="1" t="str">
        <f t="shared" si="14"/>
        <v/>
      </c>
      <c r="V14" s="1" t="str">
        <f t="shared" si="15"/>
        <v/>
      </c>
      <c r="W14" s="26" t="str">
        <f t="shared" si="16"/>
        <v/>
      </c>
      <c r="X14" s="13" t="str">
        <f t="shared" si="17"/>
        <v/>
      </c>
      <c r="Y14" s="9">
        <f t="shared" si="18"/>
        <v>0</v>
      </c>
    </row>
    <row r="15" spans="1:25" x14ac:dyDescent="0.25">
      <c r="A15" s="28"/>
      <c r="B15" s="29"/>
      <c r="C15" s="30"/>
      <c r="D15" s="31"/>
      <c r="E15" s="29" t="s">
        <v>16</v>
      </c>
      <c r="F15" s="13" t="b">
        <f>IF($E15=Categories!$A$1,"",IF($E15=Categories!$A$2,Categories!$B$2,IF($E15=Categories!$A$3,Categories!$B$3,IF($E15=Categories!$A$4,Categories!$B$4,IF($E15=Categories!$A$5,Categories!$B$5,IF($E15=Categories!$A$6,Categories!$B$6,IF($E15=Categories!$A$7,Categories!$B$7,IF($E15=Categories!$A$8,Categories!$B$8,IF($E15=Categories!$A$9,Categories!$B$9,IF($E15=Categories!$A$10,Categories!$B$10,IF($E15=Categories!$A$11,Categories!$B$11,IF($E15=Categories!$A$12,Categories!$B$12,IF($E15=Categories!$A$13,Categories!$B$13,IF($E15=Categories!$A$14,Categories!$B$14,IF($E15=Categories!$A$15,Categories!$B$15,IF($E15=Categories!$A$16,Categories!$B$16,IF($E15=Categories!$A$17,Categories!$B$17,IF($E15=Categories!$A$18,Categories!$B$18,IF($E15=Categories!$A$19,Categories!$B$19)))))))))))))))))))</f>
        <v>0</v>
      </c>
      <c r="G15" s="9" t="str">
        <f t="shared" si="0"/>
        <v/>
      </c>
      <c r="H15" s="1" t="str">
        <f t="shared" si="1"/>
        <v/>
      </c>
      <c r="I15" s="1" t="str">
        <f t="shared" si="2"/>
        <v/>
      </c>
      <c r="J15" s="1" t="str">
        <f t="shared" si="3"/>
        <v/>
      </c>
      <c r="K15" s="13" t="str">
        <f t="shared" si="4"/>
        <v/>
      </c>
      <c r="L15" s="9" t="str">
        <f t="shared" si="5"/>
        <v/>
      </c>
      <c r="M15" s="1" t="str">
        <f t="shared" si="6"/>
        <v/>
      </c>
      <c r="N15" s="1" t="str">
        <f t="shared" si="7"/>
        <v/>
      </c>
      <c r="O15" s="1" t="str">
        <f t="shared" si="8"/>
        <v/>
      </c>
      <c r="P15" s="1" t="str">
        <f t="shared" si="9"/>
        <v/>
      </c>
      <c r="Q15" s="1" t="str">
        <f t="shared" si="10"/>
        <v/>
      </c>
      <c r="R15" s="1" t="str">
        <f t="shared" si="11"/>
        <v/>
      </c>
      <c r="S15" s="1" t="str">
        <f t="shared" si="12"/>
        <v/>
      </c>
      <c r="T15" s="1" t="str">
        <f t="shared" si="13"/>
        <v/>
      </c>
      <c r="U15" s="1" t="str">
        <f t="shared" si="14"/>
        <v/>
      </c>
      <c r="V15" s="1" t="str">
        <f t="shared" si="15"/>
        <v/>
      </c>
      <c r="W15" s="26" t="str">
        <f t="shared" si="16"/>
        <v/>
      </c>
      <c r="X15" s="13" t="str">
        <f t="shared" si="17"/>
        <v/>
      </c>
      <c r="Y15" s="9">
        <f t="shared" si="18"/>
        <v>0</v>
      </c>
    </row>
    <row r="16" spans="1:25" x14ac:dyDescent="0.25">
      <c r="A16" s="28"/>
      <c r="B16" s="29"/>
      <c r="C16" s="30"/>
      <c r="D16" s="31"/>
      <c r="E16" s="29" t="s">
        <v>16</v>
      </c>
      <c r="F16" s="13" t="b">
        <f>IF($E16=Categories!$A$1,"",IF($E16=Categories!$A$2,Categories!$B$2,IF($E16=Categories!$A$3,Categories!$B$3,IF($E16=Categories!$A$4,Categories!$B$4,IF($E16=Categories!$A$5,Categories!$B$5,IF($E16=Categories!$A$6,Categories!$B$6,IF($E16=Categories!$A$7,Categories!$B$7,IF($E16=Categories!$A$8,Categories!$B$8,IF($E16=Categories!$A$9,Categories!$B$9,IF($E16=Categories!$A$10,Categories!$B$10,IF($E16=Categories!$A$11,Categories!$B$11,IF($E16=Categories!$A$12,Categories!$B$12,IF($E16=Categories!$A$13,Categories!$B$13,IF($E16=Categories!$A$14,Categories!$B$14,IF($E16=Categories!$A$15,Categories!$B$15,IF($E16=Categories!$A$16,Categories!$B$16,IF($E16=Categories!$A$17,Categories!$B$17,IF($E16=Categories!$A$18,Categories!$B$18,IF($E16=Categories!$A$19,Categories!$B$19)))))))))))))))))))</f>
        <v>0</v>
      </c>
      <c r="G16" s="9" t="str">
        <f t="shared" si="0"/>
        <v/>
      </c>
      <c r="H16" s="1" t="str">
        <f t="shared" si="1"/>
        <v/>
      </c>
      <c r="I16" s="1" t="str">
        <f t="shared" si="2"/>
        <v/>
      </c>
      <c r="J16" s="1" t="str">
        <f t="shared" si="3"/>
        <v/>
      </c>
      <c r="K16" s="13" t="str">
        <f t="shared" si="4"/>
        <v/>
      </c>
      <c r="L16" s="9" t="str">
        <f t="shared" si="5"/>
        <v/>
      </c>
      <c r="M16" s="1" t="str">
        <f t="shared" si="6"/>
        <v/>
      </c>
      <c r="N16" s="1" t="str">
        <f t="shared" si="7"/>
        <v/>
      </c>
      <c r="O16" s="1" t="str">
        <f t="shared" si="8"/>
        <v/>
      </c>
      <c r="P16" s="1" t="str">
        <f t="shared" si="9"/>
        <v/>
      </c>
      <c r="Q16" s="1" t="str">
        <f t="shared" si="10"/>
        <v/>
      </c>
      <c r="R16" s="1" t="str">
        <f t="shared" si="11"/>
        <v/>
      </c>
      <c r="S16" s="1" t="str">
        <f t="shared" si="12"/>
        <v/>
      </c>
      <c r="T16" s="1" t="str">
        <f t="shared" si="13"/>
        <v/>
      </c>
      <c r="U16" s="1" t="str">
        <f t="shared" si="14"/>
        <v/>
      </c>
      <c r="V16" s="1" t="str">
        <f t="shared" si="15"/>
        <v/>
      </c>
      <c r="W16" s="26" t="str">
        <f t="shared" si="16"/>
        <v/>
      </c>
      <c r="X16" s="13" t="str">
        <f t="shared" si="17"/>
        <v/>
      </c>
      <c r="Y16" s="9">
        <f t="shared" si="18"/>
        <v>0</v>
      </c>
    </row>
    <row r="17" spans="1:25" x14ac:dyDescent="0.25">
      <c r="A17" s="28"/>
      <c r="B17" s="29"/>
      <c r="C17" s="30"/>
      <c r="D17" s="31"/>
      <c r="E17" s="29" t="s">
        <v>16</v>
      </c>
      <c r="F17" s="13" t="b">
        <f>IF($E17=Categories!$A$1,"",IF($E17=Categories!$A$2,Categories!$B$2,IF($E17=Categories!$A$3,Categories!$B$3,IF($E17=Categories!$A$4,Categories!$B$4,IF($E17=Categories!$A$5,Categories!$B$5,IF($E17=Categories!$A$6,Categories!$B$6,IF($E17=Categories!$A$7,Categories!$B$7,IF($E17=Categories!$A$8,Categories!$B$8,IF($E17=Categories!$A$9,Categories!$B$9,IF($E17=Categories!$A$10,Categories!$B$10,IF($E17=Categories!$A$11,Categories!$B$11,IF($E17=Categories!$A$12,Categories!$B$12,IF($E17=Categories!$A$13,Categories!$B$13,IF($E17=Categories!$A$14,Categories!$B$14,IF($E17=Categories!$A$15,Categories!$B$15,IF($E17=Categories!$A$16,Categories!$B$16,IF($E17=Categories!$A$17,Categories!$B$17,IF($E17=Categories!$A$18,Categories!$B$18,IF($E17=Categories!$A$19,Categories!$B$19)))))))))))))))))))</f>
        <v>0</v>
      </c>
      <c r="G17" s="9" t="str">
        <f t="shared" si="0"/>
        <v/>
      </c>
      <c r="H17" s="1" t="str">
        <f t="shared" si="1"/>
        <v/>
      </c>
      <c r="I17" s="1" t="str">
        <f t="shared" si="2"/>
        <v/>
      </c>
      <c r="J17" s="1" t="str">
        <f t="shared" si="3"/>
        <v/>
      </c>
      <c r="K17" s="13" t="str">
        <f t="shared" si="4"/>
        <v/>
      </c>
      <c r="L17" s="9" t="str">
        <f t="shared" si="5"/>
        <v/>
      </c>
      <c r="M17" s="1" t="str">
        <f t="shared" si="6"/>
        <v/>
      </c>
      <c r="N17" s="1" t="str">
        <f t="shared" si="7"/>
        <v/>
      </c>
      <c r="O17" s="1" t="str">
        <f t="shared" si="8"/>
        <v/>
      </c>
      <c r="P17" s="1" t="str">
        <f t="shared" si="9"/>
        <v/>
      </c>
      <c r="Q17" s="1" t="str">
        <f t="shared" si="10"/>
        <v/>
      </c>
      <c r="R17" s="1" t="str">
        <f t="shared" si="11"/>
        <v/>
      </c>
      <c r="S17" s="1" t="str">
        <f t="shared" si="12"/>
        <v/>
      </c>
      <c r="T17" s="1" t="str">
        <f t="shared" si="13"/>
        <v/>
      </c>
      <c r="U17" s="1" t="str">
        <f t="shared" si="14"/>
        <v/>
      </c>
      <c r="V17" s="1" t="str">
        <f t="shared" si="15"/>
        <v/>
      </c>
      <c r="W17" s="26" t="str">
        <f t="shared" si="16"/>
        <v/>
      </c>
      <c r="X17" s="13" t="str">
        <f t="shared" si="17"/>
        <v/>
      </c>
      <c r="Y17" s="9">
        <f t="shared" si="18"/>
        <v>0</v>
      </c>
    </row>
    <row r="18" spans="1:25" x14ac:dyDescent="0.25">
      <c r="A18" s="28"/>
      <c r="B18" s="29"/>
      <c r="C18" s="30"/>
      <c r="D18" s="31"/>
      <c r="E18" s="29" t="s">
        <v>16</v>
      </c>
      <c r="F18" s="13" t="b">
        <f>IF($E18=Categories!$A$1,"",IF($E18=Categories!$A$2,Categories!$B$2,IF($E18=Categories!$A$3,Categories!$B$3,IF($E18=Categories!$A$4,Categories!$B$4,IF($E18=Categories!$A$5,Categories!$B$5,IF($E18=Categories!$A$6,Categories!$B$6,IF($E18=Categories!$A$7,Categories!$B$7,IF($E18=Categories!$A$8,Categories!$B$8,IF($E18=Categories!$A$9,Categories!$B$9,IF($E18=Categories!$A$10,Categories!$B$10,IF($E18=Categories!$A$11,Categories!$B$11,IF($E18=Categories!$A$12,Categories!$B$12,IF($E18=Categories!$A$13,Categories!$B$13,IF($E18=Categories!$A$14,Categories!$B$14,IF($E18=Categories!$A$15,Categories!$B$15,IF($E18=Categories!$A$16,Categories!$B$16,IF($E18=Categories!$A$17,Categories!$B$17,IF($E18=Categories!$A$18,Categories!$B$18,IF($E18=Categories!$A$19,Categories!$B$19)))))))))))))))))))</f>
        <v>0</v>
      </c>
      <c r="G18" s="9" t="str">
        <f t="shared" si="0"/>
        <v/>
      </c>
      <c r="H18" s="1" t="str">
        <f t="shared" si="1"/>
        <v/>
      </c>
      <c r="I18" s="1" t="str">
        <f t="shared" si="2"/>
        <v/>
      </c>
      <c r="J18" s="1" t="str">
        <f t="shared" si="3"/>
        <v/>
      </c>
      <c r="K18" s="13" t="str">
        <f t="shared" si="4"/>
        <v/>
      </c>
      <c r="L18" s="9" t="str">
        <f t="shared" si="5"/>
        <v/>
      </c>
      <c r="M18" s="1" t="str">
        <f t="shared" si="6"/>
        <v/>
      </c>
      <c r="N18" s="1" t="str">
        <f t="shared" si="7"/>
        <v/>
      </c>
      <c r="O18" s="1" t="str">
        <f t="shared" si="8"/>
        <v/>
      </c>
      <c r="P18" s="1" t="str">
        <f t="shared" si="9"/>
        <v/>
      </c>
      <c r="Q18" s="1" t="str">
        <f t="shared" si="10"/>
        <v/>
      </c>
      <c r="R18" s="1" t="str">
        <f t="shared" si="11"/>
        <v/>
      </c>
      <c r="S18" s="1" t="str">
        <f t="shared" si="12"/>
        <v/>
      </c>
      <c r="T18" s="1" t="str">
        <f t="shared" si="13"/>
        <v/>
      </c>
      <c r="U18" s="1" t="str">
        <f t="shared" si="14"/>
        <v/>
      </c>
      <c r="V18" s="1" t="str">
        <f t="shared" si="15"/>
        <v/>
      </c>
      <c r="W18" s="26" t="str">
        <f t="shared" si="16"/>
        <v/>
      </c>
      <c r="X18" s="13" t="str">
        <f t="shared" si="17"/>
        <v/>
      </c>
      <c r="Y18" s="9">
        <f t="shared" si="18"/>
        <v>0</v>
      </c>
    </row>
    <row r="19" spans="1:25" x14ac:dyDescent="0.25">
      <c r="A19" s="28"/>
      <c r="B19" s="29"/>
      <c r="C19" s="30"/>
      <c r="D19" s="31"/>
      <c r="E19" s="29" t="s">
        <v>16</v>
      </c>
      <c r="F19" s="13" t="b">
        <f>IF($E19=Categories!$A$1,"",IF($E19=Categories!$A$2,Categories!$B$2,IF($E19=Categories!$A$3,Categories!$B$3,IF($E19=Categories!$A$4,Categories!$B$4,IF($E19=Categories!$A$5,Categories!$B$5,IF($E19=Categories!$A$6,Categories!$B$6,IF($E19=Categories!$A$7,Categories!$B$7,IF($E19=Categories!$A$8,Categories!$B$8,IF($E19=Categories!$A$9,Categories!$B$9,IF($E19=Categories!$A$10,Categories!$B$10,IF($E19=Categories!$A$11,Categories!$B$11,IF($E19=Categories!$A$12,Categories!$B$12,IF($E19=Categories!$A$13,Categories!$B$13,IF($E19=Categories!$A$14,Categories!$B$14,IF($E19=Categories!$A$15,Categories!$B$15,IF($E19=Categories!$A$16,Categories!$B$16,IF($E19=Categories!$A$17,Categories!$B$17,IF($E19=Categories!$A$18,Categories!$B$18,IF($E19=Categories!$A$19,Categories!$B$19)))))))))))))))))))</f>
        <v>0</v>
      </c>
      <c r="G19" s="9" t="str">
        <f t="shared" si="0"/>
        <v/>
      </c>
      <c r="H19" s="1" t="str">
        <f t="shared" si="1"/>
        <v/>
      </c>
      <c r="I19" s="1" t="str">
        <f t="shared" si="2"/>
        <v/>
      </c>
      <c r="J19" s="1" t="str">
        <f t="shared" si="3"/>
        <v/>
      </c>
      <c r="K19" s="13" t="str">
        <f t="shared" si="4"/>
        <v/>
      </c>
      <c r="L19" s="9" t="str">
        <f t="shared" si="5"/>
        <v/>
      </c>
      <c r="M19" s="1" t="str">
        <f t="shared" si="6"/>
        <v/>
      </c>
      <c r="N19" s="1" t="str">
        <f t="shared" si="7"/>
        <v/>
      </c>
      <c r="O19" s="1" t="str">
        <f t="shared" si="8"/>
        <v/>
      </c>
      <c r="P19" s="1" t="str">
        <f t="shared" si="9"/>
        <v/>
      </c>
      <c r="Q19" s="1" t="str">
        <f t="shared" si="10"/>
        <v/>
      </c>
      <c r="R19" s="1" t="str">
        <f t="shared" si="11"/>
        <v/>
      </c>
      <c r="S19" s="1" t="str">
        <f t="shared" si="12"/>
        <v/>
      </c>
      <c r="T19" s="1" t="str">
        <f t="shared" si="13"/>
        <v/>
      </c>
      <c r="U19" s="1" t="str">
        <f t="shared" si="14"/>
        <v/>
      </c>
      <c r="V19" s="1" t="str">
        <f t="shared" si="15"/>
        <v/>
      </c>
      <c r="W19" s="26" t="str">
        <f t="shared" si="16"/>
        <v/>
      </c>
      <c r="X19" s="13" t="str">
        <f t="shared" si="17"/>
        <v/>
      </c>
      <c r="Y19" s="9">
        <f t="shared" si="18"/>
        <v>0</v>
      </c>
    </row>
    <row r="20" spans="1:25" x14ac:dyDescent="0.25">
      <c r="A20" s="28"/>
      <c r="B20" s="29"/>
      <c r="C20" s="30"/>
      <c r="D20" s="31"/>
      <c r="E20" s="29" t="s">
        <v>16</v>
      </c>
      <c r="F20" s="13" t="b">
        <f>IF($E20=Categories!$A$1,"",IF($E20=Categories!$A$2,Categories!$B$2,IF($E20=Categories!$A$3,Categories!$B$3,IF($E20=Categories!$A$4,Categories!$B$4,IF($E20=Categories!$A$5,Categories!$B$5,IF($E20=Categories!$A$6,Categories!$B$6,IF($E20=Categories!$A$7,Categories!$B$7,IF($E20=Categories!$A$8,Categories!$B$8,IF($E20=Categories!$A$9,Categories!$B$9,IF($E20=Categories!$A$10,Categories!$B$10,IF($E20=Categories!$A$11,Categories!$B$11,IF($E20=Categories!$A$12,Categories!$B$12,IF($E20=Categories!$A$13,Categories!$B$13,IF($E20=Categories!$A$14,Categories!$B$14,IF($E20=Categories!$A$15,Categories!$B$15,IF($E20=Categories!$A$16,Categories!$B$16,IF($E20=Categories!$A$17,Categories!$B$17,IF($E20=Categories!$A$18,Categories!$B$18,IF($E20=Categories!$A$19,Categories!$B$19)))))))))))))))))))</f>
        <v>0</v>
      </c>
      <c r="G20" s="9" t="str">
        <f t="shared" si="0"/>
        <v/>
      </c>
      <c r="H20" s="1" t="str">
        <f t="shared" si="1"/>
        <v/>
      </c>
      <c r="I20" s="1" t="str">
        <f t="shared" si="2"/>
        <v/>
      </c>
      <c r="J20" s="1" t="str">
        <f t="shared" si="3"/>
        <v/>
      </c>
      <c r="K20" s="13" t="str">
        <f t="shared" si="4"/>
        <v/>
      </c>
      <c r="L20" s="9" t="str">
        <f t="shared" si="5"/>
        <v/>
      </c>
      <c r="M20" s="1" t="str">
        <f t="shared" si="6"/>
        <v/>
      </c>
      <c r="N20" s="1" t="str">
        <f t="shared" si="7"/>
        <v/>
      </c>
      <c r="O20" s="1" t="str">
        <f t="shared" si="8"/>
        <v/>
      </c>
      <c r="P20" s="1" t="str">
        <f t="shared" si="9"/>
        <v/>
      </c>
      <c r="Q20" s="1" t="str">
        <f t="shared" si="10"/>
        <v/>
      </c>
      <c r="R20" s="1" t="str">
        <f t="shared" si="11"/>
        <v/>
      </c>
      <c r="S20" s="1" t="str">
        <f t="shared" si="12"/>
        <v/>
      </c>
      <c r="T20" s="1" t="str">
        <f t="shared" si="13"/>
        <v/>
      </c>
      <c r="U20" s="1" t="str">
        <f t="shared" si="14"/>
        <v/>
      </c>
      <c r="V20" s="1" t="str">
        <f t="shared" si="15"/>
        <v/>
      </c>
      <c r="W20" s="26" t="str">
        <f t="shared" si="16"/>
        <v/>
      </c>
      <c r="X20" s="13" t="str">
        <f t="shared" si="17"/>
        <v/>
      </c>
      <c r="Y20" s="9">
        <f t="shared" si="18"/>
        <v>0</v>
      </c>
    </row>
    <row r="21" spans="1:25" x14ac:dyDescent="0.25">
      <c r="A21" s="28"/>
      <c r="B21" s="29"/>
      <c r="C21" s="30"/>
      <c r="D21" s="31"/>
      <c r="E21" s="29" t="s">
        <v>16</v>
      </c>
      <c r="F21" s="13" t="b">
        <f>IF($E21=Categories!$A$1,"",IF($E21=Categories!$A$2,Categories!$B$2,IF($E21=Categories!$A$3,Categories!$B$3,IF($E21=Categories!$A$4,Categories!$B$4,IF($E21=Categories!$A$5,Categories!$B$5,IF($E21=Categories!$A$6,Categories!$B$6,IF($E21=Categories!$A$7,Categories!$B$7,IF($E21=Categories!$A$8,Categories!$B$8,IF($E21=Categories!$A$9,Categories!$B$9,IF($E21=Categories!$A$10,Categories!$B$10,IF($E21=Categories!$A$11,Categories!$B$11,IF($E21=Categories!$A$12,Categories!$B$12,IF($E21=Categories!$A$13,Categories!$B$13,IF($E21=Categories!$A$14,Categories!$B$14,IF($E21=Categories!$A$15,Categories!$B$15,IF($E21=Categories!$A$16,Categories!$B$16,IF($E21=Categories!$A$17,Categories!$B$17,IF($E21=Categories!$A$18,Categories!$B$18,IF($E21=Categories!$A$19,Categories!$B$19)))))))))))))))))))</f>
        <v>0</v>
      </c>
      <c r="G21" s="9" t="str">
        <f t="shared" si="0"/>
        <v/>
      </c>
      <c r="H21" s="1" t="str">
        <f t="shared" si="1"/>
        <v/>
      </c>
      <c r="I21" s="1" t="str">
        <f t="shared" si="2"/>
        <v/>
      </c>
      <c r="J21" s="1" t="str">
        <f t="shared" si="3"/>
        <v/>
      </c>
      <c r="K21" s="13" t="str">
        <f t="shared" si="4"/>
        <v/>
      </c>
      <c r="L21" s="9" t="str">
        <f t="shared" si="5"/>
        <v/>
      </c>
      <c r="M21" s="1" t="str">
        <f t="shared" si="6"/>
        <v/>
      </c>
      <c r="N21" s="1" t="str">
        <f t="shared" si="7"/>
        <v/>
      </c>
      <c r="O21" s="1" t="str">
        <f t="shared" si="8"/>
        <v/>
      </c>
      <c r="P21" s="1" t="str">
        <f t="shared" si="9"/>
        <v/>
      </c>
      <c r="Q21" s="1" t="str">
        <f t="shared" si="10"/>
        <v/>
      </c>
      <c r="R21" s="1" t="str">
        <f t="shared" si="11"/>
        <v/>
      </c>
      <c r="S21" s="1" t="str">
        <f t="shared" si="12"/>
        <v/>
      </c>
      <c r="T21" s="1" t="str">
        <f t="shared" si="13"/>
        <v/>
      </c>
      <c r="U21" s="1" t="str">
        <f t="shared" si="14"/>
        <v/>
      </c>
      <c r="V21" s="1" t="str">
        <f t="shared" si="15"/>
        <v/>
      </c>
      <c r="W21" s="26" t="str">
        <f t="shared" si="16"/>
        <v/>
      </c>
      <c r="X21" s="13" t="str">
        <f t="shared" si="17"/>
        <v/>
      </c>
      <c r="Y21" s="9">
        <f t="shared" si="18"/>
        <v>0</v>
      </c>
    </row>
    <row r="22" spans="1:25" x14ac:dyDescent="0.25">
      <c r="A22" s="28"/>
      <c r="B22" s="29"/>
      <c r="C22" s="30"/>
      <c r="D22" s="31"/>
      <c r="E22" s="29" t="s">
        <v>16</v>
      </c>
      <c r="F22" s="13" t="b">
        <f>IF($E22=Categories!$A$1,"",IF($E22=Categories!$A$2,Categories!$B$2,IF($E22=Categories!$A$3,Categories!$B$3,IF($E22=Categories!$A$4,Categories!$B$4,IF($E22=Categories!$A$5,Categories!$B$5,IF($E22=Categories!$A$6,Categories!$B$6,IF($E22=Categories!$A$7,Categories!$B$7,IF($E22=Categories!$A$8,Categories!$B$8,IF($E22=Categories!$A$9,Categories!$B$9,IF($E22=Categories!$A$10,Categories!$B$10,IF($E22=Categories!$A$11,Categories!$B$11,IF($E22=Categories!$A$12,Categories!$B$12,IF($E22=Categories!$A$13,Categories!$B$13,IF($E22=Categories!$A$14,Categories!$B$14,IF($E22=Categories!$A$15,Categories!$B$15,IF($E22=Categories!$A$16,Categories!$B$16,IF($E22=Categories!$A$17,Categories!$B$17,IF($E22=Categories!$A$18,Categories!$B$18,IF($E22=Categories!$A$19,Categories!$B$19)))))))))))))))))))</f>
        <v>0</v>
      </c>
      <c r="G22" s="9" t="str">
        <f t="shared" si="0"/>
        <v/>
      </c>
      <c r="H22" s="1" t="str">
        <f t="shared" si="1"/>
        <v/>
      </c>
      <c r="I22" s="1" t="str">
        <f t="shared" si="2"/>
        <v/>
      </c>
      <c r="J22" s="1" t="str">
        <f t="shared" si="3"/>
        <v/>
      </c>
      <c r="K22" s="13" t="str">
        <f t="shared" si="4"/>
        <v/>
      </c>
      <c r="L22" s="9" t="str">
        <f t="shared" si="5"/>
        <v/>
      </c>
      <c r="M22" s="1" t="str">
        <f t="shared" si="6"/>
        <v/>
      </c>
      <c r="N22" s="1" t="str">
        <f t="shared" si="7"/>
        <v/>
      </c>
      <c r="O22" s="1" t="str">
        <f t="shared" si="8"/>
        <v/>
      </c>
      <c r="P22" s="1" t="str">
        <f t="shared" si="9"/>
        <v/>
      </c>
      <c r="Q22" s="1" t="str">
        <f t="shared" si="10"/>
        <v/>
      </c>
      <c r="R22" s="1" t="str">
        <f t="shared" si="11"/>
        <v/>
      </c>
      <c r="S22" s="1" t="str">
        <f t="shared" si="12"/>
        <v/>
      </c>
      <c r="T22" s="1" t="str">
        <f t="shared" si="13"/>
        <v/>
      </c>
      <c r="U22" s="1" t="str">
        <f t="shared" si="14"/>
        <v/>
      </c>
      <c r="V22" s="1" t="str">
        <f t="shared" si="15"/>
        <v/>
      </c>
      <c r="W22" s="26" t="str">
        <f t="shared" si="16"/>
        <v/>
      </c>
      <c r="X22" s="13" t="str">
        <f t="shared" si="17"/>
        <v/>
      </c>
      <c r="Y22" s="9">
        <f t="shared" si="18"/>
        <v>0</v>
      </c>
    </row>
    <row r="23" spans="1:25" x14ac:dyDescent="0.25">
      <c r="A23" s="28"/>
      <c r="B23" s="29"/>
      <c r="C23" s="30"/>
      <c r="D23" s="31"/>
      <c r="E23" s="29" t="s">
        <v>16</v>
      </c>
      <c r="F23" s="13" t="b">
        <f>IF($E23=Categories!$A$1,"",IF($E23=Categories!$A$2,Categories!$B$2,IF($E23=Categories!$A$3,Categories!$B$3,IF($E23=Categories!$A$4,Categories!$B$4,IF($E23=Categories!$A$5,Categories!$B$5,IF($E23=Categories!$A$6,Categories!$B$6,IF($E23=Categories!$A$7,Categories!$B$7,IF($E23=Categories!$A$8,Categories!$B$8,IF($E23=Categories!$A$9,Categories!$B$9,IF($E23=Categories!$A$10,Categories!$B$10,IF($E23=Categories!$A$11,Categories!$B$11,IF($E23=Categories!$A$12,Categories!$B$12,IF($E23=Categories!$A$13,Categories!$B$13,IF($E23=Categories!$A$14,Categories!$B$14,IF($E23=Categories!$A$15,Categories!$B$15,IF($E23=Categories!$A$16,Categories!$B$16,IF($E23=Categories!$A$17,Categories!$B$17,IF($E23=Categories!$A$18,Categories!$B$18,IF($E23=Categories!$A$19,Categories!$B$19)))))))))))))))))))</f>
        <v>0</v>
      </c>
      <c r="G23" s="9" t="str">
        <f t="shared" si="0"/>
        <v/>
      </c>
      <c r="H23" s="1" t="str">
        <f t="shared" si="1"/>
        <v/>
      </c>
      <c r="I23" s="1" t="str">
        <f t="shared" si="2"/>
        <v/>
      </c>
      <c r="J23" s="1" t="str">
        <f t="shared" si="3"/>
        <v/>
      </c>
      <c r="K23" s="13" t="str">
        <f t="shared" si="4"/>
        <v/>
      </c>
      <c r="L23" s="9" t="str">
        <f t="shared" si="5"/>
        <v/>
      </c>
      <c r="M23" s="1" t="str">
        <f t="shared" si="6"/>
        <v/>
      </c>
      <c r="N23" s="1" t="str">
        <f t="shared" si="7"/>
        <v/>
      </c>
      <c r="O23" s="1" t="str">
        <f t="shared" si="8"/>
        <v/>
      </c>
      <c r="P23" s="1" t="str">
        <f t="shared" si="9"/>
        <v/>
      </c>
      <c r="Q23" s="1" t="str">
        <f t="shared" si="10"/>
        <v/>
      </c>
      <c r="R23" s="1" t="str">
        <f t="shared" si="11"/>
        <v/>
      </c>
      <c r="S23" s="1" t="str">
        <f t="shared" si="12"/>
        <v/>
      </c>
      <c r="T23" s="1" t="str">
        <f t="shared" si="13"/>
        <v/>
      </c>
      <c r="U23" s="1" t="str">
        <f t="shared" si="14"/>
        <v/>
      </c>
      <c r="V23" s="1" t="str">
        <f t="shared" si="15"/>
        <v/>
      </c>
      <c r="W23" s="26" t="str">
        <f t="shared" si="16"/>
        <v/>
      </c>
      <c r="X23" s="13" t="str">
        <f t="shared" si="17"/>
        <v/>
      </c>
      <c r="Y23" s="9">
        <f t="shared" si="18"/>
        <v>0</v>
      </c>
    </row>
    <row r="24" spans="1:25" x14ac:dyDescent="0.25">
      <c r="A24" s="28"/>
      <c r="B24" s="29"/>
      <c r="C24" s="30"/>
      <c r="D24" s="31"/>
      <c r="E24" s="29" t="s">
        <v>16</v>
      </c>
      <c r="F24" s="13" t="b">
        <f>IF($E24=Categories!$A$1,"",IF($E24=Categories!$A$2,Categories!$B$2,IF($E24=Categories!$A$3,Categories!$B$3,IF($E24=Categories!$A$4,Categories!$B$4,IF($E24=Categories!$A$5,Categories!$B$5,IF($E24=Categories!$A$6,Categories!$B$6,IF($E24=Categories!$A$7,Categories!$B$7,IF($E24=Categories!$A$8,Categories!$B$8,IF($E24=Categories!$A$9,Categories!$B$9,IF($E24=Categories!$A$10,Categories!$B$10,IF($E24=Categories!$A$11,Categories!$B$11,IF($E24=Categories!$A$12,Categories!$B$12,IF($E24=Categories!$A$13,Categories!$B$13,IF($E24=Categories!$A$14,Categories!$B$14,IF($E24=Categories!$A$15,Categories!$B$15,IF($E24=Categories!$A$16,Categories!$B$16,IF($E24=Categories!$A$17,Categories!$B$17,IF($E24=Categories!$A$18,Categories!$B$18,IF($E24=Categories!$A$19,Categories!$B$19)))))))))))))))))))</f>
        <v>0</v>
      </c>
      <c r="G24" s="9" t="str">
        <f t="shared" si="0"/>
        <v/>
      </c>
      <c r="H24" s="1" t="str">
        <f t="shared" si="1"/>
        <v/>
      </c>
      <c r="I24" s="1" t="str">
        <f t="shared" si="2"/>
        <v/>
      </c>
      <c r="J24" s="1" t="str">
        <f t="shared" si="3"/>
        <v/>
      </c>
      <c r="K24" s="13" t="str">
        <f t="shared" si="4"/>
        <v/>
      </c>
      <c r="L24" s="9" t="str">
        <f t="shared" si="5"/>
        <v/>
      </c>
      <c r="M24" s="1" t="str">
        <f t="shared" si="6"/>
        <v/>
      </c>
      <c r="N24" s="1" t="str">
        <f t="shared" si="7"/>
        <v/>
      </c>
      <c r="O24" s="1" t="str">
        <f t="shared" si="8"/>
        <v/>
      </c>
      <c r="P24" s="1" t="str">
        <f t="shared" si="9"/>
        <v/>
      </c>
      <c r="Q24" s="1" t="str">
        <f t="shared" si="10"/>
        <v/>
      </c>
      <c r="R24" s="1" t="str">
        <f t="shared" si="11"/>
        <v/>
      </c>
      <c r="S24" s="1" t="str">
        <f t="shared" si="12"/>
        <v/>
      </c>
      <c r="T24" s="1" t="str">
        <f t="shared" si="13"/>
        <v/>
      </c>
      <c r="U24" s="1" t="str">
        <f t="shared" si="14"/>
        <v/>
      </c>
      <c r="V24" s="1" t="str">
        <f t="shared" si="15"/>
        <v/>
      </c>
      <c r="W24" s="26" t="str">
        <f t="shared" si="16"/>
        <v/>
      </c>
      <c r="X24" s="13" t="str">
        <f t="shared" si="17"/>
        <v/>
      </c>
      <c r="Y24" s="9">
        <f t="shared" si="18"/>
        <v>0</v>
      </c>
    </row>
    <row r="25" spans="1:25" x14ac:dyDescent="0.25">
      <c r="A25" s="28"/>
      <c r="B25" s="29"/>
      <c r="C25" s="30"/>
      <c r="D25" s="31"/>
      <c r="E25" s="29" t="s">
        <v>16</v>
      </c>
      <c r="F25" s="13" t="b">
        <f>IF($E25=Categories!$A$1,"",IF($E25=Categories!$A$2,Categories!$B$2,IF($E25=Categories!$A$3,Categories!$B$3,IF($E25=Categories!$A$4,Categories!$B$4,IF($E25=Categories!$A$5,Categories!$B$5,IF($E25=Categories!$A$6,Categories!$B$6,IF($E25=Categories!$A$7,Categories!$B$7,IF($E25=Categories!$A$8,Categories!$B$8,IF($E25=Categories!$A$9,Categories!$B$9,IF($E25=Categories!$A$10,Categories!$B$10,IF($E25=Categories!$A$11,Categories!$B$11,IF($E25=Categories!$A$12,Categories!$B$12,IF($E25=Categories!$A$13,Categories!$B$13,IF($E25=Categories!$A$14,Categories!$B$14,IF($E25=Categories!$A$15,Categories!$B$15,IF($E25=Categories!$A$16,Categories!$B$16,IF($E25=Categories!$A$17,Categories!$B$17,IF($E25=Categories!$A$18,Categories!$B$18,IF($E25=Categories!$A$19,Categories!$B$19)))))))))))))))))))</f>
        <v>0</v>
      </c>
      <c r="G25" s="9" t="str">
        <f t="shared" si="0"/>
        <v/>
      </c>
      <c r="H25" s="1" t="str">
        <f t="shared" si="1"/>
        <v/>
      </c>
      <c r="I25" s="1" t="str">
        <f t="shared" si="2"/>
        <v/>
      </c>
      <c r="J25" s="1" t="str">
        <f t="shared" si="3"/>
        <v/>
      </c>
      <c r="K25" s="13" t="str">
        <f t="shared" si="4"/>
        <v/>
      </c>
      <c r="L25" s="9" t="str">
        <f t="shared" si="5"/>
        <v/>
      </c>
      <c r="M25" s="1" t="str">
        <f t="shared" si="6"/>
        <v/>
      </c>
      <c r="N25" s="1" t="str">
        <f t="shared" si="7"/>
        <v/>
      </c>
      <c r="O25" s="1" t="str">
        <f t="shared" si="8"/>
        <v/>
      </c>
      <c r="P25" s="1" t="str">
        <f t="shared" si="9"/>
        <v/>
      </c>
      <c r="Q25" s="1" t="str">
        <f t="shared" si="10"/>
        <v/>
      </c>
      <c r="R25" s="1" t="str">
        <f t="shared" si="11"/>
        <v/>
      </c>
      <c r="S25" s="1" t="str">
        <f t="shared" si="12"/>
        <v/>
      </c>
      <c r="T25" s="1" t="str">
        <f t="shared" si="13"/>
        <v/>
      </c>
      <c r="U25" s="1" t="str">
        <f t="shared" si="14"/>
        <v/>
      </c>
      <c r="V25" s="1" t="str">
        <f t="shared" si="15"/>
        <v/>
      </c>
      <c r="W25" s="26" t="str">
        <f t="shared" si="16"/>
        <v/>
      </c>
      <c r="X25" s="13" t="str">
        <f t="shared" si="17"/>
        <v/>
      </c>
      <c r="Y25" s="9">
        <f t="shared" si="18"/>
        <v>0</v>
      </c>
    </row>
    <row r="26" spans="1:25" x14ac:dyDescent="0.25">
      <c r="A26" s="28"/>
      <c r="B26" s="29"/>
      <c r="C26" s="30"/>
      <c r="D26" s="31"/>
      <c r="E26" s="29" t="s">
        <v>16</v>
      </c>
      <c r="F26" s="13" t="b">
        <f>IF($E26=Categories!$A$1,"",IF($E26=Categories!$A$2,Categories!$B$2,IF($E26=Categories!$A$3,Categories!$B$3,IF($E26=Categories!$A$4,Categories!$B$4,IF($E26=Categories!$A$5,Categories!$B$5,IF($E26=Categories!$A$6,Categories!$B$6,IF($E26=Categories!$A$7,Categories!$B$7,IF($E26=Categories!$A$8,Categories!$B$8,IF($E26=Categories!$A$9,Categories!$B$9,IF($E26=Categories!$A$10,Categories!$B$10,IF($E26=Categories!$A$11,Categories!$B$11,IF($E26=Categories!$A$12,Categories!$B$12,IF($E26=Categories!$A$13,Categories!$B$13,IF($E26=Categories!$A$14,Categories!$B$14,IF($E26=Categories!$A$15,Categories!$B$15,IF($E26=Categories!$A$16,Categories!$B$16,IF($E26=Categories!$A$17,Categories!$B$17,IF($E26=Categories!$A$18,Categories!$B$18,IF($E26=Categories!$A$19,Categories!$B$19)))))))))))))))))))</f>
        <v>0</v>
      </c>
      <c r="G26" s="9" t="str">
        <f t="shared" si="0"/>
        <v/>
      </c>
      <c r="H26" s="1" t="str">
        <f t="shared" si="1"/>
        <v/>
      </c>
      <c r="I26" s="1" t="str">
        <f t="shared" si="2"/>
        <v/>
      </c>
      <c r="J26" s="1" t="str">
        <f t="shared" si="3"/>
        <v/>
      </c>
      <c r="K26" s="13" t="str">
        <f t="shared" si="4"/>
        <v/>
      </c>
      <c r="L26" s="9" t="str">
        <f t="shared" si="5"/>
        <v/>
      </c>
      <c r="M26" s="1" t="str">
        <f t="shared" si="6"/>
        <v/>
      </c>
      <c r="N26" s="1" t="str">
        <f t="shared" si="7"/>
        <v/>
      </c>
      <c r="O26" s="1" t="str">
        <f t="shared" si="8"/>
        <v/>
      </c>
      <c r="P26" s="1" t="str">
        <f t="shared" si="9"/>
        <v/>
      </c>
      <c r="Q26" s="1" t="str">
        <f t="shared" si="10"/>
        <v/>
      </c>
      <c r="R26" s="1" t="str">
        <f t="shared" si="11"/>
        <v/>
      </c>
      <c r="S26" s="1" t="str">
        <f t="shared" si="12"/>
        <v/>
      </c>
      <c r="T26" s="1" t="str">
        <f t="shared" si="13"/>
        <v/>
      </c>
      <c r="U26" s="1" t="str">
        <f t="shared" si="14"/>
        <v/>
      </c>
      <c r="V26" s="1" t="str">
        <f t="shared" si="15"/>
        <v/>
      </c>
      <c r="W26" s="26" t="str">
        <f t="shared" si="16"/>
        <v/>
      </c>
      <c r="X26" s="13" t="str">
        <f t="shared" si="17"/>
        <v/>
      </c>
      <c r="Y26" s="9">
        <f t="shared" si="18"/>
        <v>0</v>
      </c>
    </row>
    <row r="27" spans="1:25" x14ac:dyDescent="0.25">
      <c r="A27" s="28"/>
      <c r="B27" s="29"/>
      <c r="C27" s="30"/>
      <c r="D27" s="31"/>
      <c r="E27" s="29" t="s">
        <v>16</v>
      </c>
      <c r="F27" s="13" t="b">
        <f>IF($E27=Categories!$A$1,"",IF($E27=Categories!$A$2,Categories!$B$2,IF($E27=Categories!$A$3,Categories!$B$3,IF($E27=Categories!$A$4,Categories!$B$4,IF($E27=Categories!$A$5,Categories!$B$5,IF($E27=Categories!$A$6,Categories!$B$6,IF($E27=Categories!$A$7,Categories!$B$7,IF($E27=Categories!$A$8,Categories!$B$8,IF($E27=Categories!$A$9,Categories!$B$9,IF($E27=Categories!$A$10,Categories!$B$10,IF($E27=Categories!$A$11,Categories!$B$11,IF($E27=Categories!$A$12,Categories!$B$12,IF($E27=Categories!$A$13,Categories!$B$13,IF($E27=Categories!$A$14,Categories!$B$14,IF($E27=Categories!$A$15,Categories!$B$15,IF($E27=Categories!$A$16,Categories!$B$16,IF($E27=Categories!$A$17,Categories!$B$17,IF($E27=Categories!$A$18,Categories!$B$18,IF($E27=Categories!$A$19,Categories!$B$19)))))))))))))))))))</f>
        <v>0</v>
      </c>
      <c r="G27" s="9" t="str">
        <f t="shared" si="0"/>
        <v/>
      </c>
      <c r="H27" s="1" t="str">
        <f t="shared" si="1"/>
        <v/>
      </c>
      <c r="I27" s="1" t="str">
        <f t="shared" si="2"/>
        <v/>
      </c>
      <c r="J27" s="1" t="str">
        <f t="shared" si="3"/>
        <v/>
      </c>
      <c r="K27" s="13" t="str">
        <f t="shared" si="4"/>
        <v/>
      </c>
      <c r="L27" s="9" t="str">
        <f t="shared" si="5"/>
        <v/>
      </c>
      <c r="M27" s="1" t="str">
        <f t="shared" si="6"/>
        <v/>
      </c>
      <c r="N27" s="1" t="str">
        <f t="shared" si="7"/>
        <v/>
      </c>
      <c r="O27" s="1" t="str">
        <f t="shared" si="8"/>
        <v/>
      </c>
      <c r="P27" s="1" t="str">
        <f t="shared" si="9"/>
        <v/>
      </c>
      <c r="Q27" s="1" t="str">
        <f t="shared" si="10"/>
        <v/>
      </c>
      <c r="R27" s="1" t="str">
        <f t="shared" si="11"/>
        <v/>
      </c>
      <c r="S27" s="1" t="str">
        <f t="shared" si="12"/>
        <v/>
      </c>
      <c r="T27" s="1" t="str">
        <f t="shared" si="13"/>
        <v/>
      </c>
      <c r="U27" s="1" t="str">
        <f t="shared" si="14"/>
        <v/>
      </c>
      <c r="V27" s="1" t="str">
        <f t="shared" si="15"/>
        <v/>
      </c>
      <c r="W27" s="26" t="str">
        <f t="shared" si="16"/>
        <v/>
      </c>
      <c r="X27" s="13" t="str">
        <f t="shared" si="17"/>
        <v/>
      </c>
      <c r="Y27" s="9">
        <f t="shared" si="18"/>
        <v>0</v>
      </c>
    </row>
    <row r="28" spans="1:25" x14ac:dyDescent="0.25">
      <c r="A28" s="28"/>
      <c r="B28" s="29"/>
      <c r="C28" s="30"/>
      <c r="D28" s="31"/>
      <c r="E28" s="29" t="s">
        <v>16</v>
      </c>
      <c r="F28" s="13" t="b">
        <f>IF($E28=Categories!$A$1,"",IF($E28=Categories!$A$2,Categories!$B$2,IF($E28=Categories!$A$3,Categories!$B$3,IF($E28=Categories!$A$4,Categories!$B$4,IF($E28=Categories!$A$5,Categories!$B$5,IF($E28=Categories!$A$6,Categories!$B$6,IF($E28=Categories!$A$7,Categories!$B$7,IF($E28=Categories!$A$8,Categories!$B$8,IF($E28=Categories!$A$9,Categories!$B$9,IF($E28=Categories!$A$10,Categories!$B$10,IF($E28=Categories!$A$11,Categories!$B$11,IF($E28=Categories!$A$12,Categories!$B$12,IF($E28=Categories!$A$13,Categories!$B$13,IF($E28=Categories!$A$14,Categories!$B$14,IF($E28=Categories!$A$15,Categories!$B$15,IF($E28=Categories!$A$16,Categories!$B$16,IF($E28=Categories!$A$17,Categories!$B$17,IF($E28=Categories!$A$18,Categories!$B$18,IF($E28=Categories!$A$19,Categories!$B$19)))))))))))))))))))</f>
        <v>0</v>
      </c>
      <c r="G28" s="9" t="str">
        <f t="shared" si="0"/>
        <v/>
      </c>
      <c r="H28" s="1" t="str">
        <f t="shared" si="1"/>
        <v/>
      </c>
      <c r="I28" s="1" t="str">
        <f t="shared" si="2"/>
        <v/>
      </c>
      <c r="J28" s="1" t="str">
        <f t="shared" si="3"/>
        <v/>
      </c>
      <c r="K28" s="13" t="str">
        <f t="shared" si="4"/>
        <v/>
      </c>
      <c r="L28" s="9" t="str">
        <f t="shared" si="5"/>
        <v/>
      </c>
      <c r="M28" s="1" t="str">
        <f t="shared" si="6"/>
        <v/>
      </c>
      <c r="N28" s="1" t="str">
        <f t="shared" si="7"/>
        <v/>
      </c>
      <c r="O28" s="1" t="str">
        <f t="shared" si="8"/>
        <v/>
      </c>
      <c r="P28" s="1" t="str">
        <f t="shared" si="9"/>
        <v/>
      </c>
      <c r="Q28" s="1" t="str">
        <f t="shared" si="10"/>
        <v/>
      </c>
      <c r="R28" s="1" t="str">
        <f t="shared" si="11"/>
        <v/>
      </c>
      <c r="S28" s="1" t="str">
        <f t="shared" si="12"/>
        <v/>
      </c>
      <c r="T28" s="1" t="str">
        <f t="shared" si="13"/>
        <v/>
      </c>
      <c r="U28" s="1" t="str">
        <f t="shared" si="14"/>
        <v/>
      </c>
      <c r="V28" s="1" t="str">
        <f t="shared" si="15"/>
        <v/>
      </c>
      <c r="W28" s="26" t="str">
        <f t="shared" si="16"/>
        <v/>
      </c>
      <c r="X28" s="13" t="str">
        <f t="shared" si="17"/>
        <v/>
      </c>
      <c r="Y28" s="9">
        <f t="shared" si="18"/>
        <v>0</v>
      </c>
    </row>
    <row r="29" spans="1:25" x14ac:dyDescent="0.25">
      <c r="A29" s="28"/>
      <c r="B29" s="29"/>
      <c r="C29" s="30"/>
      <c r="D29" s="31"/>
      <c r="E29" s="29" t="s">
        <v>16</v>
      </c>
      <c r="F29" s="13" t="b">
        <f>IF($E29=Categories!$A$1,"",IF($E29=Categories!$A$2,Categories!$B$2,IF($E29=Categories!$A$3,Categories!$B$3,IF($E29=Categories!$A$4,Categories!$B$4,IF($E29=Categories!$A$5,Categories!$B$5,IF($E29=Categories!$A$6,Categories!$B$6,IF($E29=Categories!$A$7,Categories!$B$7,IF($E29=Categories!$A$8,Categories!$B$8,IF($E29=Categories!$A$9,Categories!$B$9,IF($E29=Categories!$A$10,Categories!$B$10,IF($E29=Categories!$A$11,Categories!$B$11,IF($E29=Categories!$A$12,Categories!$B$12,IF($E29=Categories!$A$13,Categories!$B$13,IF($E29=Categories!$A$14,Categories!$B$14,IF($E29=Categories!$A$15,Categories!$B$15,IF($E29=Categories!$A$16,Categories!$B$16,IF($E29=Categories!$A$17,Categories!$B$17,IF($E29=Categories!$A$18,Categories!$B$18,IF($E29=Categories!$A$19,Categories!$B$19)))))))))))))))))))</f>
        <v>0</v>
      </c>
      <c r="G29" s="9" t="str">
        <f t="shared" si="0"/>
        <v/>
      </c>
      <c r="H29" s="1" t="str">
        <f t="shared" si="1"/>
        <v/>
      </c>
      <c r="I29" s="1" t="str">
        <f t="shared" si="2"/>
        <v/>
      </c>
      <c r="J29" s="1" t="str">
        <f t="shared" si="3"/>
        <v/>
      </c>
      <c r="K29" s="13" t="str">
        <f t="shared" si="4"/>
        <v/>
      </c>
      <c r="L29" s="9" t="str">
        <f t="shared" si="5"/>
        <v/>
      </c>
      <c r="M29" s="1" t="str">
        <f t="shared" si="6"/>
        <v/>
      </c>
      <c r="N29" s="1" t="str">
        <f t="shared" si="7"/>
        <v/>
      </c>
      <c r="O29" s="1" t="str">
        <f t="shared" si="8"/>
        <v/>
      </c>
      <c r="P29" s="1" t="str">
        <f t="shared" si="9"/>
        <v/>
      </c>
      <c r="Q29" s="1" t="str">
        <f t="shared" si="10"/>
        <v/>
      </c>
      <c r="R29" s="1" t="str">
        <f t="shared" si="11"/>
        <v/>
      </c>
      <c r="S29" s="1" t="str">
        <f t="shared" si="12"/>
        <v/>
      </c>
      <c r="T29" s="1" t="str">
        <f t="shared" si="13"/>
        <v/>
      </c>
      <c r="U29" s="1" t="str">
        <f t="shared" si="14"/>
        <v/>
      </c>
      <c r="V29" s="1" t="str">
        <f t="shared" si="15"/>
        <v/>
      </c>
      <c r="W29" s="26" t="str">
        <f t="shared" si="16"/>
        <v/>
      </c>
      <c r="X29" s="13" t="str">
        <f t="shared" si="17"/>
        <v/>
      </c>
      <c r="Y29" s="9">
        <f t="shared" si="18"/>
        <v>0</v>
      </c>
    </row>
    <row r="30" spans="1:25" x14ac:dyDescent="0.25">
      <c r="A30" s="28"/>
      <c r="B30" s="29"/>
      <c r="C30" s="30"/>
      <c r="D30" s="31"/>
      <c r="E30" s="29" t="s">
        <v>16</v>
      </c>
      <c r="F30" s="13" t="b">
        <f>IF($E30=Categories!$A$1,"",IF($E30=Categories!$A$2,Categories!$B$2,IF($E30=Categories!$A$3,Categories!$B$3,IF($E30=Categories!$A$4,Categories!$B$4,IF($E30=Categories!$A$5,Categories!$B$5,IF($E30=Categories!$A$6,Categories!$B$6,IF($E30=Categories!$A$7,Categories!$B$7,IF($E30=Categories!$A$8,Categories!$B$8,IF($E30=Categories!$A$9,Categories!$B$9,IF($E30=Categories!$A$10,Categories!$B$10,IF($E30=Categories!$A$11,Categories!$B$11,IF($E30=Categories!$A$12,Categories!$B$12,IF($E30=Categories!$A$13,Categories!$B$13,IF($E30=Categories!$A$14,Categories!$B$14,IF($E30=Categories!$A$15,Categories!$B$15,IF($E30=Categories!$A$16,Categories!$B$16,IF($E30=Categories!$A$17,Categories!$B$17,IF($E30=Categories!$A$18,Categories!$B$18,IF($E30=Categories!$A$19,Categories!$B$19)))))))))))))))))))</f>
        <v>0</v>
      </c>
      <c r="G30" s="9" t="str">
        <f t="shared" si="0"/>
        <v/>
      </c>
      <c r="H30" s="1" t="str">
        <f t="shared" si="1"/>
        <v/>
      </c>
      <c r="I30" s="1" t="str">
        <f t="shared" si="2"/>
        <v/>
      </c>
      <c r="J30" s="1" t="str">
        <f t="shared" si="3"/>
        <v/>
      </c>
      <c r="K30" s="13" t="str">
        <f t="shared" si="4"/>
        <v/>
      </c>
      <c r="L30" s="9" t="str">
        <f t="shared" si="5"/>
        <v/>
      </c>
      <c r="M30" s="1" t="str">
        <f t="shared" si="6"/>
        <v/>
      </c>
      <c r="N30" s="1" t="str">
        <f t="shared" si="7"/>
        <v/>
      </c>
      <c r="O30" s="1" t="str">
        <f t="shared" si="8"/>
        <v/>
      </c>
      <c r="P30" s="1" t="str">
        <f t="shared" si="9"/>
        <v/>
      </c>
      <c r="Q30" s="1" t="str">
        <f t="shared" si="10"/>
        <v/>
      </c>
      <c r="R30" s="1" t="str">
        <f t="shared" si="11"/>
        <v/>
      </c>
      <c r="S30" s="1" t="str">
        <f t="shared" si="12"/>
        <v/>
      </c>
      <c r="T30" s="1" t="str">
        <f t="shared" si="13"/>
        <v/>
      </c>
      <c r="U30" s="1" t="str">
        <f t="shared" si="14"/>
        <v/>
      </c>
      <c r="V30" s="1" t="str">
        <f t="shared" si="15"/>
        <v/>
      </c>
      <c r="W30" s="26" t="str">
        <f t="shared" si="16"/>
        <v/>
      </c>
      <c r="X30" s="13" t="str">
        <f t="shared" si="17"/>
        <v/>
      </c>
      <c r="Y30" s="9">
        <f t="shared" si="18"/>
        <v>0</v>
      </c>
    </row>
    <row r="31" spans="1:25" x14ac:dyDescent="0.25">
      <c r="A31" s="28"/>
      <c r="B31" s="29"/>
      <c r="C31" s="30"/>
      <c r="D31" s="31"/>
      <c r="E31" s="29" t="s">
        <v>16</v>
      </c>
      <c r="F31" s="13" t="b">
        <f>IF($E31=Categories!$A$1,"",IF($E31=Categories!$A$2,Categories!$B$2,IF($E31=Categories!$A$3,Categories!$B$3,IF($E31=Categories!$A$4,Categories!$B$4,IF($E31=Categories!$A$5,Categories!$B$5,IF($E31=Categories!$A$6,Categories!$B$6,IF($E31=Categories!$A$7,Categories!$B$7,IF($E31=Categories!$A$8,Categories!$B$8,IF($E31=Categories!$A$9,Categories!$B$9,IF($E31=Categories!$A$10,Categories!$B$10,IF($E31=Categories!$A$11,Categories!$B$11,IF($E31=Categories!$A$12,Categories!$B$12,IF($E31=Categories!$A$13,Categories!$B$13,IF($E31=Categories!$A$14,Categories!$B$14,IF($E31=Categories!$A$15,Categories!$B$15,IF($E31=Categories!$A$16,Categories!$B$16,IF($E31=Categories!$A$17,Categories!$B$17,IF($E31=Categories!$A$18,Categories!$B$18,IF($E31=Categories!$A$19,Categories!$B$19)))))))))))))))))))</f>
        <v>0</v>
      </c>
      <c r="G31" s="9" t="str">
        <f t="shared" si="0"/>
        <v/>
      </c>
      <c r="H31" s="1" t="str">
        <f t="shared" si="1"/>
        <v/>
      </c>
      <c r="I31" s="1" t="str">
        <f t="shared" si="2"/>
        <v/>
      </c>
      <c r="J31" s="1" t="str">
        <f t="shared" si="3"/>
        <v/>
      </c>
      <c r="K31" s="13" t="str">
        <f t="shared" si="4"/>
        <v/>
      </c>
      <c r="L31" s="9" t="str">
        <f t="shared" si="5"/>
        <v/>
      </c>
      <c r="M31" s="1" t="str">
        <f t="shared" si="6"/>
        <v/>
      </c>
      <c r="N31" s="1" t="str">
        <f t="shared" si="7"/>
        <v/>
      </c>
      <c r="O31" s="1" t="str">
        <f t="shared" si="8"/>
        <v/>
      </c>
      <c r="P31" s="1" t="str">
        <f t="shared" si="9"/>
        <v/>
      </c>
      <c r="Q31" s="1" t="str">
        <f t="shared" si="10"/>
        <v/>
      </c>
      <c r="R31" s="1" t="str">
        <f t="shared" si="11"/>
        <v/>
      </c>
      <c r="S31" s="1" t="str">
        <f t="shared" si="12"/>
        <v/>
      </c>
      <c r="T31" s="1" t="str">
        <f t="shared" si="13"/>
        <v/>
      </c>
      <c r="U31" s="1" t="str">
        <f t="shared" si="14"/>
        <v/>
      </c>
      <c r="V31" s="1" t="str">
        <f t="shared" si="15"/>
        <v/>
      </c>
      <c r="W31" s="26" t="str">
        <f t="shared" si="16"/>
        <v/>
      </c>
      <c r="X31" s="13" t="str">
        <f t="shared" si="17"/>
        <v/>
      </c>
      <c r="Y31" s="9">
        <f t="shared" si="18"/>
        <v>0</v>
      </c>
    </row>
    <row r="32" spans="1:25" x14ac:dyDescent="0.25">
      <c r="A32" s="28"/>
      <c r="B32" s="29"/>
      <c r="C32" s="30"/>
      <c r="D32" s="31"/>
      <c r="E32" s="29" t="s">
        <v>16</v>
      </c>
      <c r="F32" s="13" t="b">
        <f>IF($E32=Categories!$A$1,"",IF($E32=Categories!$A$2,Categories!$B$2,IF($E32=Categories!$A$3,Categories!$B$3,IF($E32=Categories!$A$4,Categories!$B$4,IF($E32=Categories!$A$5,Categories!$B$5,IF($E32=Categories!$A$6,Categories!$B$6,IF($E32=Categories!$A$7,Categories!$B$7,IF($E32=Categories!$A$8,Categories!$B$8,IF($E32=Categories!$A$9,Categories!$B$9,IF($E32=Categories!$A$10,Categories!$B$10,IF($E32=Categories!$A$11,Categories!$B$11,IF($E32=Categories!$A$12,Categories!$B$12,IF($E32=Categories!$A$13,Categories!$B$13,IF($E32=Categories!$A$14,Categories!$B$14,IF($E32=Categories!$A$15,Categories!$B$15,IF($E32=Categories!$A$16,Categories!$B$16,IF($E32=Categories!$A$17,Categories!$B$17,IF($E32=Categories!$A$18,Categories!$B$18,IF($E32=Categories!$A$19,Categories!$B$19)))))))))))))))))))</f>
        <v>0</v>
      </c>
      <c r="G32" s="9" t="str">
        <f t="shared" si="0"/>
        <v/>
      </c>
      <c r="H32" s="1" t="str">
        <f t="shared" si="1"/>
        <v/>
      </c>
      <c r="I32" s="1" t="str">
        <f t="shared" si="2"/>
        <v/>
      </c>
      <c r="J32" s="1" t="str">
        <f t="shared" si="3"/>
        <v/>
      </c>
      <c r="K32" s="13" t="str">
        <f t="shared" si="4"/>
        <v/>
      </c>
      <c r="L32" s="9" t="str">
        <f t="shared" si="5"/>
        <v/>
      </c>
      <c r="M32" s="1" t="str">
        <f t="shared" si="6"/>
        <v/>
      </c>
      <c r="N32" s="1" t="str">
        <f t="shared" si="7"/>
        <v/>
      </c>
      <c r="O32" s="1" t="str">
        <f t="shared" si="8"/>
        <v/>
      </c>
      <c r="P32" s="1" t="str">
        <f t="shared" si="9"/>
        <v/>
      </c>
      <c r="Q32" s="1" t="str">
        <f t="shared" si="10"/>
        <v/>
      </c>
      <c r="R32" s="1" t="str">
        <f t="shared" si="11"/>
        <v/>
      </c>
      <c r="S32" s="1" t="str">
        <f t="shared" si="12"/>
        <v/>
      </c>
      <c r="T32" s="1" t="str">
        <f t="shared" si="13"/>
        <v/>
      </c>
      <c r="U32" s="1" t="str">
        <f t="shared" si="14"/>
        <v/>
      </c>
      <c r="V32" s="1" t="str">
        <f t="shared" si="15"/>
        <v/>
      </c>
      <c r="W32" s="26" t="str">
        <f t="shared" si="16"/>
        <v/>
      </c>
      <c r="X32" s="13" t="str">
        <f t="shared" si="17"/>
        <v/>
      </c>
      <c r="Y32" s="9">
        <f t="shared" si="18"/>
        <v>0</v>
      </c>
    </row>
    <row r="33" spans="1:25" x14ac:dyDescent="0.25">
      <c r="A33" s="28"/>
      <c r="B33" s="29"/>
      <c r="C33" s="30"/>
      <c r="D33" s="31"/>
      <c r="E33" s="29" t="s">
        <v>16</v>
      </c>
      <c r="F33" s="13" t="b">
        <f>IF($E33=Categories!$A$1,"",IF($E33=Categories!$A$2,Categories!$B$2,IF($E33=Categories!$A$3,Categories!$B$3,IF($E33=Categories!$A$4,Categories!$B$4,IF($E33=Categories!$A$5,Categories!$B$5,IF($E33=Categories!$A$6,Categories!$B$6,IF($E33=Categories!$A$7,Categories!$B$7,IF($E33=Categories!$A$8,Categories!$B$8,IF($E33=Categories!$A$9,Categories!$B$9,IF($E33=Categories!$A$10,Categories!$B$10,IF($E33=Categories!$A$11,Categories!$B$11,IF($E33=Categories!$A$12,Categories!$B$12,IF($E33=Categories!$A$13,Categories!$B$13,IF($E33=Categories!$A$14,Categories!$B$14,IF($E33=Categories!$A$15,Categories!$B$15,IF($E33=Categories!$A$16,Categories!$B$16,IF($E33=Categories!$A$17,Categories!$B$17,IF($E33=Categories!$A$18,Categories!$B$18,IF($E33=Categories!$A$19,Categories!$B$19)))))))))))))))))))</f>
        <v>0</v>
      </c>
      <c r="G33" s="9" t="str">
        <f t="shared" si="0"/>
        <v/>
      </c>
      <c r="H33" s="1" t="str">
        <f t="shared" si="1"/>
        <v/>
      </c>
      <c r="I33" s="1" t="str">
        <f t="shared" si="2"/>
        <v/>
      </c>
      <c r="J33" s="1" t="str">
        <f t="shared" si="3"/>
        <v/>
      </c>
      <c r="K33" s="13" t="str">
        <f t="shared" si="4"/>
        <v/>
      </c>
      <c r="L33" s="9" t="str">
        <f t="shared" si="5"/>
        <v/>
      </c>
      <c r="M33" s="1" t="str">
        <f t="shared" si="6"/>
        <v/>
      </c>
      <c r="N33" s="1" t="str">
        <f t="shared" si="7"/>
        <v/>
      </c>
      <c r="O33" s="1" t="str">
        <f t="shared" si="8"/>
        <v/>
      </c>
      <c r="P33" s="1" t="str">
        <f t="shared" si="9"/>
        <v/>
      </c>
      <c r="Q33" s="1" t="str">
        <f t="shared" si="10"/>
        <v/>
      </c>
      <c r="R33" s="1" t="str">
        <f t="shared" si="11"/>
        <v/>
      </c>
      <c r="S33" s="1" t="str">
        <f t="shared" si="12"/>
        <v/>
      </c>
      <c r="T33" s="1" t="str">
        <f t="shared" si="13"/>
        <v/>
      </c>
      <c r="U33" s="1" t="str">
        <f t="shared" si="14"/>
        <v/>
      </c>
      <c r="V33" s="1" t="str">
        <f t="shared" si="15"/>
        <v/>
      </c>
      <c r="W33" s="26" t="str">
        <f t="shared" si="16"/>
        <v/>
      </c>
      <c r="X33" s="13" t="str">
        <f t="shared" si="17"/>
        <v/>
      </c>
      <c r="Y33" s="9">
        <f t="shared" si="18"/>
        <v>0</v>
      </c>
    </row>
    <row r="34" spans="1:25" x14ac:dyDescent="0.25">
      <c r="A34" s="28"/>
      <c r="B34" s="29"/>
      <c r="C34" s="30"/>
      <c r="D34" s="31"/>
      <c r="E34" s="29" t="s">
        <v>16</v>
      </c>
      <c r="F34" s="13" t="b">
        <f>IF($E34=Categories!$A$1,"",IF($E34=Categories!$A$2,Categories!$B$2,IF($E34=Categories!$A$3,Categories!$B$3,IF($E34=Categories!$A$4,Categories!$B$4,IF($E34=Categories!$A$5,Categories!$B$5,IF($E34=Categories!$A$6,Categories!$B$6,IF($E34=Categories!$A$7,Categories!$B$7,IF($E34=Categories!$A$8,Categories!$B$8,IF($E34=Categories!$A$9,Categories!$B$9,IF($E34=Categories!$A$10,Categories!$B$10,IF($E34=Categories!$A$11,Categories!$B$11,IF($E34=Categories!$A$12,Categories!$B$12,IF($E34=Categories!$A$13,Categories!$B$13,IF($E34=Categories!$A$14,Categories!$B$14,IF($E34=Categories!$A$15,Categories!$B$15,IF($E34=Categories!$A$16,Categories!$B$16,IF($E34=Categories!$A$17,Categories!$B$17,IF($E34=Categories!$A$18,Categories!$B$18,IF($E34=Categories!$A$19,Categories!$B$19)))))))))))))))))))</f>
        <v>0</v>
      </c>
      <c r="G34" s="9" t="str">
        <f t="shared" si="0"/>
        <v/>
      </c>
      <c r="H34" s="1" t="str">
        <f t="shared" si="1"/>
        <v/>
      </c>
      <c r="I34" s="1" t="str">
        <f t="shared" si="2"/>
        <v/>
      </c>
      <c r="J34" s="1" t="str">
        <f t="shared" si="3"/>
        <v/>
      </c>
      <c r="K34" s="13" t="str">
        <f t="shared" si="4"/>
        <v/>
      </c>
      <c r="L34" s="9" t="str">
        <f t="shared" si="5"/>
        <v/>
      </c>
      <c r="M34" s="1" t="str">
        <f t="shared" si="6"/>
        <v/>
      </c>
      <c r="N34" s="1" t="str">
        <f t="shared" si="7"/>
        <v/>
      </c>
      <c r="O34" s="1" t="str">
        <f t="shared" si="8"/>
        <v/>
      </c>
      <c r="P34" s="1" t="str">
        <f t="shared" si="9"/>
        <v/>
      </c>
      <c r="Q34" s="1" t="str">
        <f t="shared" si="10"/>
        <v/>
      </c>
      <c r="R34" s="1" t="str">
        <f t="shared" si="11"/>
        <v/>
      </c>
      <c r="S34" s="1" t="str">
        <f t="shared" si="12"/>
        <v/>
      </c>
      <c r="T34" s="1" t="str">
        <f t="shared" si="13"/>
        <v/>
      </c>
      <c r="U34" s="1" t="str">
        <f t="shared" si="14"/>
        <v/>
      </c>
      <c r="V34" s="1" t="str">
        <f t="shared" si="15"/>
        <v/>
      </c>
      <c r="W34" s="26" t="str">
        <f t="shared" si="16"/>
        <v/>
      </c>
      <c r="X34" s="13" t="str">
        <f t="shared" si="17"/>
        <v/>
      </c>
      <c r="Y34" s="9">
        <f t="shared" si="18"/>
        <v>0</v>
      </c>
    </row>
    <row r="35" spans="1:25" x14ac:dyDescent="0.25">
      <c r="A35" s="28"/>
      <c r="B35" s="29"/>
      <c r="C35" s="30"/>
      <c r="D35" s="31"/>
      <c r="E35" s="29" t="s">
        <v>16</v>
      </c>
      <c r="F35" s="13" t="b">
        <f>IF($E35=Categories!$A$1,"",IF($E35=Categories!$A$2,Categories!$B$2,IF($E35=Categories!$A$3,Categories!$B$3,IF($E35=Categories!$A$4,Categories!$B$4,IF($E35=Categories!$A$5,Categories!$B$5,IF($E35=Categories!$A$6,Categories!$B$6,IF($E35=Categories!$A$7,Categories!$B$7,IF($E35=Categories!$A$8,Categories!$B$8,IF($E35=Categories!$A$9,Categories!$B$9,IF($E35=Categories!$A$10,Categories!$B$10,IF($E35=Categories!$A$11,Categories!$B$11,IF($E35=Categories!$A$12,Categories!$B$12,IF($E35=Categories!$A$13,Categories!$B$13,IF($E35=Categories!$A$14,Categories!$B$14,IF($E35=Categories!$A$15,Categories!$B$15,IF($E35=Categories!$A$16,Categories!$B$16,IF($E35=Categories!$A$17,Categories!$B$17,IF($E35=Categories!$A$18,Categories!$B$18,IF($E35=Categories!$A$19,Categories!$B$19)))))))))))))))))))</f>
        <v>0</v>
      </c>
      <c r="G35" s="9" t="str">
        <f t="shared" si="0"/>
        <v/>
      </c>
      <c r="H35" s="1" t="str">
        <f t="shared" si="1"/>
        <v/>
      </c>
      <c r="I35" s="1" t="str">
        <f t="shared" si="2"/>
        <v/>
      </c>
      <c r="J35" s="1" t="str">
        <f t="shared" si="3"/>
        <v/>
      </c>
      <c r="K35" s="13" t="str">
        <f t="shared" si="4"/>
        <v/>
      </c>
      <c r="L35" s="9" t="str">
        <f t="shared" si="5"/>
        <v/>
      </c>
      <c r="M35" s="1" t="str">
        <f t="shared" si="6"/>
        <v/>
      </c>
      <c r="N35" s="1" t="str">
        <f t="shared" si="7"/>
        <v/>
      </c>
      <c r="O35" s="1" t="str">
        <f t="shared" si="8"/>
        <v/>
      </c>
      <c r="P35" s="1" t="str">
        <f t="shared" si="9"/>
        <v/>
      </c>
      <c r="Q35" s="1" t="str">
        <f t="shared" si="10"/>
        <v/>
      </c>
      <c r="R35" s="1" t="str">
        <f t="shared" si="11"/>
        <v/>
      </c>
      <c r="S35" s="1" t="str">
        <f t="shared" si="12"/>
        <v/>
      </c>
      <c r="T35" s="1" t="str">
        <f t="shared" si="13"/>
        <v/>
      </c>
      <c r="U35" s="1" t="str">
        <f t="shared" si="14"/>
        <v/>
      </c>
      <c r="V35" s="1" t="str">
        <f t="shared" si="15"/>
        <v/>
      </c>
      <c r="W35" s="26" t="str">
        <f t="shared" si="16"/>
        <v/>
      </c>
      <c r="X35" s="13" t="str">
        <f t="shared" si="17"/>
        <v/>
      </c>
      <c r="Y35" s="9">
        <f t="shared" si="18"/>
        <v>0</v>
      </c>
    </row>
    <row r="36" spans="1:25" x14ac:dyDescent="0.25">
      <c r="A36" s="28"/>
      <c r="B36" s="29"/>
      <c r="C36" s="30"/>
      <c r="D36" s="31"/>
      <c r="E36" s="29" t="s">
        <v>16</v>
      </c>
      <c r="F36" s="13" t="b">
        <f>IF($E36=Categories!$A$1,"",IF($E36=Categories!$A$2,Categories!$B$2,IF($E36=Categories!$A$3,Categories!$B$3,IF($E36=Categories!$A$4,Categories!$B$4,IF($E36=Categories!$A$5,Categories!$B$5,IF($E36=Categories!$A$6,Categories!$B$6,IF($E36=Categories!$A$7,Categories!$B$7,IF($E36=Categories!$A$8,Categories!$B$8,IF($E36=Categories!$A$9,Categories!$B$9,IF($E36=Categories!$A$10,Categories!$B$10,IF($E36=Categories!$A$11,Categories!$B$11,IF($E36=Categories!$A$12,Categories!$B$12,IF($E36=Categories!$A$13,Categories!$B$13,IF($E36=Categories!$A$14,Categories!$B$14,IF($E36=Categories!$A$15,Categories!$B$15,IF($E36=Categories!$A$16,Categories!$B$16,IF($E36=Categories!$A$17,Categories!$B$17,IF($E36=Categories!$A$18,Categories!$B$18,IF($E36=Categories!$A$19,Categories!$B$19)))))))))))))))))))</f>
        <v>0</v>
      </c>
      <c r="G36" s="9" t="str">
        <f t="shared" si="0"/>
        <v/>
      </c>
      <c r="H36" s="1" t="str">
        <f t="shared" si="1"/>
        <v/>
      </c>
      <c r="I36" s="1" t="str">
        <f t="shared" si="2"/>
        <v/>
      </c>
      <c r="J36" s="1" t="str">
        <f t="shared" si="3"/>
        <v/>
      </c>
      <c r="K36" s="13" t="str">
        <f t="shared" si="4"/>
        <v/>
      </c>
      <c r="L36" s="9" t="str">
        <f t="shared" si="5"/>
        <v/>
      </c>
      <c r="M36" s="1" t="str">
        <f t="shared" si="6"/>
        <v/>
      </c>
      <c r="N36" s="1" t="str">
        <f t="shared" si="7"/>
        <v/>
      </c>
      <c r="O36" s="1" t="str">
        <f t="shared" si="8"/>
        <v/>
      </c>
      <c r="P36" s="1" t="str">
        <f t="shared" si="9"/>
        <v/>
      </c>
      <c r="Q36" s="1" t="str">
        <f t="shared" si="10"/>
        <v/>
      </c>
      <c r="R36" s="1" t="str">
        <f t="shared" si="11"/>
        <v/>
      </c>
      <c r="S36" s="1" t="str">
        <f t="shared" si="12"/>
        <v/>
      </c>
      <c r="T36" s="1" t="str">
        <f t="shared" si="13"/>
        <v/>
      </c>
      <c r="U36" s="1" t="str">
        <f t="shared" si="14"/>
        <v/>
      </c>
      <c r="V36" s="1" t="str">
        <f t="shared" si="15"/>
        <v/>
      </c>
      <c r="W36" s="26" t="str">
        <f t="shared" si="16"/>
        <v/>
      </c>
      <c r="X36" s="13" t="str">
        <f t="shared" si="17"/>
        <v/>
      </c>
      <c r="Y36" s="9">
        <f t="shared" si="18"/>
        <v>0</v>
      </c>
    </row>
    <row r="37" spans="1:25" x14ac:dyDescent="0.25">
      <c r="A37" s="28"/>
      <c r="B37" s="29"/>
      <c r="C37" s="30"/>
      <c r="D37" s="31"/>
      <c r="E37" s="29" t="s">
        <v>16</v>
      </c>
      <c r="F37" s="13" t="b">
        <f>IF($E37=Categories!$A$1,"",IF($E37=Categories!$A$2,Categories!$B$2,IF($E37=Categories!$A$3,Categories!$B$3,IF($E37=Categories!$A$4,Categories!$B$4,IF($E37=Categories!$A$5,Categories!$B$5,IF($E37=Categories!$A$6,Categories!$B$6,IF($E37=Categories!$A$7,Categories!$B$7,IF($E37=Categories!$A$8,Categories!$B$8,IF($E37=Categories!$A$9,Categories!$B$9,IF($E37=Categories!$A$10,Categories!$B$10,IF($E37=Categories!$A$11,Categories!$B$11,IF($E37=Categories!$A$12,Categories!$B$12,IF($E37=Categories!$A$13,Categories!$B$13,IF($E37=Categories!$A$14,Categories!$B$14,IF($E37=Categories!$A$15,Categories!$B$15,IF($E37=Categories!$A$16,Categories!$B$16,IF($E37=Categories!$A$17,Categories!$B$17,IF($E37=Categories!$A$18,Categories!$B$18,IF($E37=Categories!$A$19,Categories!$B$19)))))))))))))))))))</f>
        <v>0</v>
      </c>
      <c r="G37" s="9" t="str">
        <f t="shared" si="0"/>
        <v/>
      </c>
      <c r="H37" s="1" t="str">
        <f t="shared" si="1"/>
        <v/>
      </c>
      <c r="I37" s="1" t="str">
        <f t="shared" si="2"/>
        <v/>
      </c>
      <c r="J37" s="1" t="str">
        <f t="shared" si="3"/>
        <v/>
      </c>
      <c r="K37" s="13" t="str">
        <f t="shared" si="4"/>
        <v/>
      </c>
      <c r="L37" s="9" t="str">
        <f t="shared" si="5"/>
        <v/>
      </c>
      <c r="M37" s="1" t="str">
        <f t="shared" si="6"/>
        <v/>
      </c>
      <c r="N37" s="1" t="str">
        <f t="shared" si="7"/>
        <v/>
      </c>
      <c r="O37" s="1" t="str">
        <f t="shared" si="8"/>
        <v/>
      </c>
      <c r="P37" s="1" t="str">
        <f t="shared" si="9"/>
        <v/>
      </c>
      <c r="Q37" s="1" t="str">
        <f t="shared" si="10"/>
        <v/>
      </c>
      <c r="R37" s="1" t="str">
        <f t="shared" si="11"/>
        <v/>
      </c>
      <c r="S37" s="1" t="str">
        <f t="shared" si="12"/>
        <v/>
      </c>
      <c r="T37" s="1" t="str">
        <f t="shared" si="13"/>
        <v/>
      </c>
      <c r="U37" s="1" t="str">
        <f t="shared" si="14"/>
        <v/>
      </c>
      <c r="V37" s="1" t="str">
        <f t="shared" si="15"/>
        <v/>
      </c>
      <c r="W37" s="26" t="str">
        <f t="shared" si="16"/>
        <v/>
      </c>
      <c r="X37" s="13" t="str">
        <f t="shared" si="17"/>
        <v/>
      </c>
      <c r="Y37" s="9">
        <f t="shared" si="18"/>
        <v>0</v>
      </c>
    </row>
    <row r="38" spans="1:25" x14ac:dyDescent="0.25">
      <c r="A38" s="28"/>
      <c r="B38" s="29"/>
      <c r="C38" s="30"/>
      <c r="D38" s="31"/>
      <c r="E38" s="29" t="s">
        <v>16</v>
      </c>
      <c r="F38" s="13" t="b">
        <f>IF($E38=Categories!$A$1,"",IF($E38=Categories!$A$2,Categories!$B$2,IF($E38=Categories!$A$3,Categories!$B$3,IF($E38=Categories!$A$4,Categories!$B$4,IF($E38=Categories!$A$5,Categories!$B$5,IF($E38=Categories!$A$6,Categories!$B$6,IF($E38=Categories!$A$7,Categories!$B$7,IF($E38=Categories!$A$8,Categories!$B$8,IF($E38=Categories!$A$9,Categories!$B$9,IF($E38=Categories!$A$10,Categories!$B$10,IF($E38=Categories!$A$11,Categories!$B$11,IF($E38=Categories!$A$12,Categories!$B$12,IF($E38=Categories!$A$13,Categories!$B$13,IF($E38=Categories!$A$14,Categories!$B$14,IF($E38=Categories!$A$15,Categories!$B$15,IF($E38=Categories!$A$16,Categories!$B$16,IF($E38=Categories!$A$17,Categories!$B$17,IF($E38=Categories!$A$18,Categories!$B$18,IF($E38=Categories!$A$19,Categories!$B$19)))))))))))))))))))</f>
        <v>0</v>
      </c>
      <c r="G38" s="9" t="str">
        <f t="shared" si="0"/>
        <v/>
      </c>
      <c r="H38" s="1" t="str">
        <f t="shared" si="1"/>
        <v/>
      </c>
      <c r="I38" s="1" t="str">
        <f t="shared" si="2"/>
        <v/>
      </c>
      <c r="J38" s="1" t="str">
        <f t="shared" si="3"/>
        <v/>
      </c>
      <c r="K38" s="13" t="str">
        <f t="shared" si="4"/>
        <v/>
      </c>
      <c r="L38" s="9" t="str">
        <f t="shared" si="5"/>
        <v/>
      </c>
      <c r="M38" s="1" t="str">
        <f t="shared" si="6"/>
        <v/>
      </c>
      <c r="N38" s="1" t="str">
        <f t="shared" si="7"/>
        <v/>
      </c>
      <c r="O38" s="1" t="str">
        <f t="shared" si="8"/>
        <v/>
      </c>
      <c r="P38" s="1" t="str">
        <f t="shared" si="9"/>
        <v/>
      </c>
      <c r="Q38" s="1" t="str">
        <f t="shared" si="10"/>
        <v/>
      </c>
      <c r="R38" s="1" t="str">
        <f t="shared" si="11"/>
        <v/>
      </c>
      <c r="S38" s="1" t="str">
        <f t="shared" si="12"/>
        <v/>
      </c>
      <c r="T38" s="1" t="str">
        <f t="shared" si="13"/>
        <v/>
      </c>
      <c r="U38" s="1" t="str">
        <f t="shared" si="14"/>
        <v/>
      </c>
      <c r="V38" s="1" t="str">
        <f t="shared" si="15"/>
        <v/>
      </c>
      <c r="W38" s="26" t="str">
        <f t="shared" si="16"/>
        <v/>
      </c>
      <c r="X38" s="13" t="str">
        <f t="shared" si="17"/>
        <v/>
      </c>
      <c r="Y38" s="9">
        <f t="shared" si="18"/>
        <v>0</v>
      </c>
    </row>
    <row r="39" spans="1:25" x14ac:dyDescent="0.25">
      <c r="A39" s="28"/>
      <c r="B39" s="29"/>
      <c r="C39" s="30"/>
      <c r="D39" s="31"/>
      <c r="E39" s="29" t="s">
        <v>16</v>
      </c>
      <c r="F39" s="13" t="b">
        <f>IF($E39=Categories!$A$1,"",IF($E39=Categories!$A$2,Categories!$B$2,IF($E39=Categories!$A$3,Categories!$B$3,IF($E39=Categories!$A$4,Categories!$B$4,IF($E39=Categories!$A$5,Categories!$B$5,IF($E39=Categories!$A$6,Categories!$B$6,IF($E39=Categories!$A$7,Categories!$B$7,IF($E39=Categories!$A$8,Categories!$B$8,IF($E39=Categories!$A$9,Categories!$B$9,IF($E39=Categories!$A$10,Categories!$B$10,IF($E39=Categories!$A$11,Categories!$B$11,IF($E39=Categories!$A$12,Categories!$B$12,IF($E39=Categories!$A$13,Categories!$B$13,IF($E39=Categories!$A$14,Categories!$B$14,IF($E39=Categories!$A$15,Categories!$B$15,IF($E39=Categories!$A$16,Categories!$B$16,IF($E39=Categories!$A$17,Categories!$B$17,IF($E39=Categories!$A$18,Categories!$B$18,IF($E39=Categories!$A$19,Categories!$B$19)))))))))))))))))))</f>
        <v>0</v>
      </c>
      <c r="G39" s="9" t="str">
        <f t="shared" si="0"/>
        <v/>
      </c>
      <c r="H39" s="1" t="str">
        <f t="shared" si="1"/>
        <v/>
      </c>
      <c r="I39" s="1" t="str">
        <f t="shared" si="2"/>
        <v/>
      </c>
      <c r="J39" s="1" t="str">
        <f t="shared" si="3"/>
        <v/>
      </c>
      <c r="K39" s="13" t="str">
        <f t="shared" si="4"/>
        <v/>
      </c>
      <c r="L39" s="9" t="str">
        <f t="shared" si="5"/>
        <v/>
      </c>
      <c r="M39" s="1" t="str">
        <f t="shared" si="6"/>
        <v/>
      </c>
      <c r="N39" s="1" t="str">
        <f t="shared" si="7"/>
        <v/>
      </c>
      <c r="O39" s="1" t="str">
        <f t="shared" si="8"/>
        <v/>
      </c>
      <c r="P39" s="1" t="str">
        <f t="shared" si="9"/>
        <v/>
      </c>
      <c r="Q39" s="1" t="str">
        <f t="shared" si="10"/>
        <v/>
      </c>
      <c r="R39" s="1" t="str">
        <f t="shared" si="11"/>
        <v/>
      </c>
      <c r="S39" s="1" t="str">
        <f t="shared" si="12"/>
        <v/>
      </c>
      <c r="T39" s="1" t="str">
        <f t="shared" si="13"/>
        <v/>
      </c>
      <c r="U39" s="1" t="str">
        <f t="shared" si="14"/>
        <v/>
      </c>
      <c r="V39" s="1" t="str">
        <f t="shared" si="15"/>
        <v/>
      </c>
      <c r="W39" s="26" t="str">
        <f t="shared" si="16"/>
        <v/>
      </c>
      <c r="X39" s="13" t="str">
        <f t="shared" si="17"/>
        <v/>
      </c>
      <c r="Y39" s="9">
        <f t="shared" si="18"/>
        <v>0</v>
      </c>
    </row>
    <row r="40" spans="1:25" x14ac:dyDescent="0.25">
      <c r="A40" s="28"/>
      <c r="B40" s="29"/>
      <c r="C40" s="30"/>
      <c r="D40" s="31"/>
      <c r="E40" s="29" t="s">
        <v>16</v>
      </c>
      <c r="F40" s="13" t="b">
        <f>IF($E40=Categories!$A$1,"",IF($E40=Categories!$A$2,Categories!$B$2,IF($E40=Categories!$A$3,Categories!$B$3,IF($E40=Categories!$A$4,Categories!$B$4,IF($E40=Categories!$A$5,Categories!$B$5,IF($E40=Categories!$A$6,Categories!$B$6,IF($E40=Categories!$A$7,Categories!$B$7,IF($E40=Categories!$A$8,Categories!$B$8,IF($E40=Categories!$A$9,Categories!$B$9,IF($E40=Categories!$A$10,Categories!$B$10,IF($E40=Categories!$A$11,Categories!$B$11,IF($E40=Categories!$A$12,Categories!$B$12,IF($E40=Categories!$A$13,Categories!$B$13,IF($E40=Categories!$A$14,Categories!$B$14,IF($E40=Categories!$A$15,Categories!$B$15,IF($E40=Categories!$A$16,Categories!$B$16,IF($E40=Categories!$A$17,Categories!$B$17,IF($E40=Categories!$A$18,Categories!$B$18,IF($E40=Categories!$A$19,Categories!$B$19)))))))))))))))))))</f>
        <v>0</v>
      </c>
      <c r="G40" s="9" t="str">
        <f t="shared" si="0"/>
        <v/>
      </c>
      <c r="H40" s="1" t="str">
        <f t="shared" si="1"/>
        <v/>
      </c>
      <c r="I40" s="1" t="str">
        <f t="shared" si="2"/>
        <v/>
      </c>
      <c r="J40" s="1" t="str">
        <f t="shared" si="3"/>
        <v/>
      </c>
      <c r="K40" s="13" t="str">
        <f t="shared" si="4"/>
        <v/>
      </c>
      <c r="L40" s="9" t="str">
        <f t="shared" si="5"/>
        <v/>
      </c>
      <c r="M40" s="1" t="str">
        <f t="shared" si="6"/>
        <v/>
      </c>
      <c r="N40" s="1" t="str">
        <f t="shared" si="7"/>
        <v/>
      </c>
      <c r="O40" s="1" t="str">
        <f t="shared" si="8"/>
        <v/>
      </c>
      <c r="P40" s="1" t="str">
        <f t="shared" si="9"/>
        <v/>
      </c>
      <c r="Q40" s="1" t="str">
        <f t="shared" si="10"/>
        <v/>
      </c>
      <c r="R40" s="1" t="str">
        <f t="shared" si="11"/>
        <v/>
      </c>
      <c r="S40" s="1" t="str">
        <f t="shared" si="12"/>
        <v/>
      </c>
      <c r="T40" s="1" t="str">
        <f t="shared" si="13"/>
        <v/>
      </c>
      <c r="U40" s="1" t="str">
        <f t="shared" si="14"/>
        <v/>
      </c>
      <c r="V40" s="1" t="str">
        <f t="shared" si="15"/>
        <v/>
      </c>
      <c r="W40" s="26" t="str">
        <f t="shared" si="16"/>
        <v/>
      </c>
      <c r="X40" s="13" t="str">
        <f t="shared" si="17"/>
        <v/>
      </c>
      <c r="Y40" s="9">
        <f t="shared" si="18"/>
        <v>0</v>
      </c>
    </row>
    <row r="41" spans="1:25" x14ac:dyDescent="0.25">
      <c r="A41" s="28"/>
      <c r="B41" s="29"/>
      <c r="C41" s="30"/>
      <c r="D41" s="31"/>
      <c r="E41" s="29" t="s">
        <v>16</v>
      </c>
      <c r="F41" s="13" t="b">
        <f>IF($E41=Categories!$A$1,"",IF($E41=Categories!$A$2,Categories!$B$2,IF($E41=Categories!$A$3,Categories!$B$3,IF($E41=Categories!$A$4,Categories!$B$4,IF($E41=Categories!$A$5,Categories!$B$5,IF($E41=Categories!$A$6,Categories!$B$6,IF($E41=Categories!$A$7,Categories!$B$7,IF($E41=Categories!$A$8,Categories!$B$8,IF($E41=Categories!$A$9,Categories!$B$9,IF($E41=Categories!$A$10,Categories!$B$10,IF($E41=Categories!$A$11,Categories!$B$11,IF($E41=Categories!$A$12,Categories!$B$12,IF($E41=Categories!$A$13,Categories!$B$13,IF($E41=Categories!$A$14,Categories!$B$14,IF($E41=Categories!$A$15,Categories!$B$15,IF($E41=Categories!$A$16,Categories!$B$16,IF($E41=Categories!$A$17,Categories!$B$17,IF($E41=Categories!$A$18,Categories!$B$18,IF($E41=Categories!$A$19,Categories!$B$19)))))))))))))))))))</f>
        <v>0</v>
      </c>
      <c r="G41" s="9" t="str">
        <f t="shared" si="0"/>
        <v/>
      </c>
      <c r="H41" s="1" t="str">
        <f t="shared" si="1"/>
        <v/>
      </c>
      <c r="I41" s="1" t="str">
        <f t="shared" si="2"/>
        <v/>
      </c>
      <c r="J41" s="1" t="str">
        <f t="shared" si="3"/>
        <v/>
      </c>
      <c r="K41" s="13" t="str">
        <f t="shared" si="4"/>
        <v/>
      </c>
      <c r="L41" s="9" t="str">
        <f t="shared" si="5"/>
        <v/>
      </c>
      <c r="M41" s="1" t="str">
        <f t="shared" si="6"/>
        <v/>
      </c>
      <c r="N41" s="1" t="str">
        <f t="shared" si="7"/>
        <v/>
      </c>
      <c r="O41" s="1" t="str">
        <f t="shared" si="8"/>
        <v/>
      </c>
      <c r="P41" s="1" t="str">
        <f t="shared" si="9"/>
        <v/>
      </c>
      <c r="Q41" s="1" t="str">
        <f t="shared" si="10"/>
        <v/>
      </c>
      <c r="R41" s="1" t="str">
        <f t="shared" si="11"/>
        <v/>
      </c>
      <c r="S41" s="1" t="str">
        <f t="shared" si="12"/>
        <v/>
      </c>
      <c r="T41" s="1" t="str">
        <f t="shared" si="13"/>
        <v/>
      </c>
      <c r="U41" s="1" t="str">
        <f t="shared" si="14"/>
        <v/>
      </c>
      <c r="V41" s="1" t="str">
        <f t="shared" si="15"/>
        <v/>
      </c>
      <c r="W41" s="26" t="str">
        <f t="shared" si="16"/>
        <v/>
      </c>
      <c r="X41" s="13" t="str">
        <f t="shared" si="17"/>
        <v/>
      </c>
      <c r="Y41" s="9">
        <f t="shared" si="18"/>
        <v>0</v>
      </c>
    </row>
    <row r="42" spans="1:25" x14ac:dyDescent="0.25">
      <c r="A42" s="28"/>
      <c r="B42" s="29"/>
      <c r="C42" s="30"/>
      <c r="D42" s="31"/>
      <c r="E42" s="29" t="s">
        <v>16</v>
      </c>
      <c r="F42" s="13" t="b">
        <f>IF($E42=Categories!$A$1,"",IF($E42=Categories!$A$2,Categories!$B$2,IF($E42=Categories!$A$3,Categories!$B$3,IF($E42=Categories!$A$4,Categories!$B$4,IF($E42=Categories!$A$5,Categories!$B$5,IF($E42=Categories!$A$6,Categories!$B$6,IF($E42=Categories!$A$7,Categories!$B$7,IF($E42=Categories!$A$8,Categories!$B$8,IF($E42=Categories!$A$9,Categories!$B$9,IF($E42=Categories!$A$10,Categories!$B$10,IF($E42=Categories!$A$11,Categories!$B$11,IF($E42=Categories!$A$12,Categories!$B$12,IF($E42=Categories!$A$13,Categories!$B$13,IF($E42=Categories!$A$14,Categories!$B$14,IF($E42=Categories!$A$15,Categories!$B$15,IF($E42=Categories!$A$16,Categories!$B$16,IF($E42=Categories!$A$17,Categories!$B$17,IF($E42=Categories!$A$18,Categories!$B$18,IF($E42=Categories!$A$19,Categories!$B$19)))))))))))))))))))</f>
        <v>0</v>
      </c>
      <c r="G42" s="9" t="str">
        <f t="shared" si="0"/>
        <v/>
      </c>
      <c r="H42" s="1" t="str">
        <f t="shared" si="1"/>
        <v/>
      </c>
      <c r="I42" s="1" t="str">
        <f t="shared" si="2"/>
        <v/>
      </c>
      <c r="J42" s="1" t="str">
        <f t="shared" si="3"/>
        <v/>
      </c>
      <c r="K42" s="13" t="str">
        <f t="shared" si="4"/>
        <v/>
      </c>
      <c r="L42" s="9" t="str">
        <f t="shared" si="5"/>
        <v/>
      </c>
      <c r="M42" s="1" t="str">
        <f t="shared" si="6"/>
        <v/>
      </c>
      <c r="N42" s="1" t="str">
        <f t="shared" si="7"/>
        <v/>
      </c>
      <c r="O42" s="1" t="str">
        <f t="shared" si="8"/>
        <v/>
      </c>
      <c r="P42" s="1" t="str">
        <f t="shared" si="9"/>
        <v/>
      </c>
      <c r="Q42" s="1" t="str">
        <f t="shared" si="10"/>
        <v/>
      </c>
      <c r="R42" s="1" t="str">
        <f t="shared" si="11"/>
        <v/>
      </c>
      <c r="S42" s="1" t="str">
        <f t="shared" si="12"/>
        <v/>
      </c>
      <c r="T42" s="1" t="str">
        <f t="shared" si="13"/>
        <v/>
      </c>
      <c r="U42" s="1" t="str">
        <f t="shared" si="14"/>
        <v/>
      </c>
      <c r="V42" s="1" t="str">
        <f t="shared" si="15"/>
        <v/>
      </c>
      <c r="W42" s="26" t="str">
        <f t="shared" si="16"/>
        <v/>
      </c>
      <c r="X42" s="13" t="str">
        <f t="shared" si="17"/>
        <v/>
      </c>
      <c r="Y42" s="9">
        <f t="shared" si="18"/>
        <v>0</v>
      </c>
    </row>
    <row r="43" spans="1:25" x14ac:dyDescent="0.25">
      <c r="A43" s="28"/>
      <c r="B43" s="29"/>
      <c r="C43" s="30"/>
      <c r="D43" s="31"/>
      <c r="E43" s="29" t="s">
        <v>16</v>
      </c>
      <c r="F43" s="13" t="b">
        <f>IF($E43=Categories!$A$1,"",IF($E43=Categories!$A$2,Categories!$B$2,IF($E43=Categories!$A$3,Categories!$B$3,IF($E43=Categories!$A$4,Categories!$B$4,IF($E43=Categories!$A$5,Categories!$B$5,IF($E43=Categories!$A$6,Categories!$B$6,IF($E43=Categories!$A$7,Categories!$B$7,IF($E43=Categories!$A$8,Categories!$B$8,IF($E43=Categories!$A$9,Categories!$B$9,IF($E43=Categories!$A$10,Categories!$B$10,IF($E43=Categories!$A$11,Categories!$B$11,IF($E43=Categories!$A$12,Categories!$B$12,IF($E43=Categories!$A$13,Categories!$B$13,IF($E43=Categories!$A$14,Categories!$B$14,IF($E43=Categories!$A$15,Categories!$B$15,IF($E43=Categories!$A$16,Categories!$B$16,IF($E43=Categories!$A$17,Categories!$B$17,IF($E43=Categories!$A$18,Categories!$B$18,IF($E43=Categories!$A$19,Categories!$B$19)))))))))))))))))))</f>
        <v>0</v>
      </c>
      <c r="G43" s="9" t="str">
        <f t="shared" si="0"/>
        <v/>
      </c>
      <c r="H43" s="1" t="str">
        <f t="shared" si="1"/>
        <v/>
      </c>
      <c r="I43" s="1" t="str">
        <f t="shared" si="2"/>
        <v/>
      </c>
      <c r="J43" s="1" t="str">
        <f t="shared" si="3"/>
        <v/>
      </c>
      <c r="K43" s="13" t="str">
        <f t="shared" si="4"/>
        <v/>
      </c>
      <c r="L43" s="9" t="str">
        <f t="shared" si="5"/>
        <v/>
      </c>
      <c r="M43" s="1" t="str">
        <f t="shared" si="6"/>
        <v/>
      </c>
      <c r="N43" s="1" t="str">
        <f t="shared" si="7"/>
        <v/>
      </c>
      <c r="O43" s="1" t="str">
        <f t="shared" si="8"/>
        <v/>
      </c>
      <c r="P43" s="1" t="str">
        <f t="shared" si="9"/>
        <v/>
      </c>
      <c r="Q43" s="1" t="str">
        <f t="shared" si="10"/>
        <v/>
      </c>
      <c r="R43" s="1" t="str">
        <f t="shared" si="11"/>
        <v/>
      </c>
      <c r="S43" s="1" t="str">
        <f t="shared" si="12"/>
        <v/>
      </c>
      <c r="T43" s="1" t="str">
        <f t="shared" si="13"/>
        <v/>
      </c>
      <c r="U43" s="1" t="str">
        <f t="shared" si="14"/>
        <v/>
      </c>
      <c r="V43" s="1" t="str">
        <f t="shared" si="15"/>
        <v/>
      </c>
      <c r="W43" s="26" t="str">
        <f t="shared" si="16"/>
        <v/>
      </c>
      <c r="X43" s="13" t="str">
        <f t="shared" si="17"/>
        <v/>
      </c>
      <c r="Y43" s="9">
        <f t="shared" si="18"/>
        <v>0</v>
      </c>
    </row>
    <row r="44" spans="1:25" x14ac:dyDescent="0.25">
      <c r="A44" s="28"/>
      <c r="B44" s="29"/>
      <c r="C44" s="30"/>
      <c r="D44" s="31"/>
      <c r="E44" s="29" t="s">
        <v>16</v>
      </c>
      <c r="F44" s="13" t="b">
        <f>IF($E44=Categories!$A$1,"",IF($E44=Categories!$A$2,Categories!$B$2,IF($E44=Categories!$A$3,Categories!$B$3,IF($E44=Categories!$A$4,Categories!$B$4,IF($E44=Categories!$A$5,Categories!$B$5,IF($E44=Categories!$A$6,Categories!$B$6,IF($E44=Categories!$A$7,Categories!$B$7,IF($E44=Categories!$A$8,Categories!$B$8,IF($E44=Categories!$A$9,Categories!$B$9,IF($E44=Categories!$A$10,Categories!$B$10,IF($E44=Categories!$A$11,Categories!$B$11,IF($E44=Categories!$A$12,Categories!$B$12,IF($E44=Categories!$A$13,Categories!$B$13,IF($E44=Categories!$A$14,Categories!$B$14,IF($E44=Categories!$A$15,Categories!$B$15,IF($E44=Categories!$A$16,Categories!$B$16,IF($E44=Categories!$A$17,Categories!$B$17,IF($E44=Categories!$A$18,Categories!$B$18,IF($E44=Categories!$A$19,Categories!$B$19)))))))))))))))))))</f>
        <v>0</v>
      </c>
      <c r="G44" s="9" t="str">
        <f t="shared" si="0"/>
        <v/>
      </c>
      <c r="H44" s="1" t="str">
        <f t="shared" si="1"/>
        <v/>
      </c>
      <c r="I44" s="1" t="str">
        <f t="shared" si="2"/>
        <v/>
      </c>
      <c r="J44" s="1" t="str">
        <f t="shared" si="3"/>
        <v/>
      </c>
      <c r="K44" s="13" t="str">
        <f t="shared" si="4"/>
        <v/>
      </c>
      <c r="L44" s="9" t="str">
        <f t="shared" si="5"/>
        <v/>
      </c>
      <c r="M44" s="1" t="str">
        <f t="shared" si="6"/>
        <v/>
      </c>
      <c r="N44" s="1" t="str">
        <f t="shared" si="7"/>
        <v/>
      </c>
      <c r="O44" s="1" t="str">
        <f t="shared" si="8"/>
        <v/>
      </c>
      <c r="P44" s="1" t="str">
        <f t="shared" si="9"/>
        <v/>
      </c>
      <c r="Q44" s="1" t="str">
        <f t="shared" si="10"/>
        <v/>
      </c>
      <c r="R44" s="1" t="str">
        <f t="shared" si="11"/>
        <v/>
      </c>
      <c r="S44" s="1" t="str">
        <f t="shared" si="12"/>
        <v/>
      </c>
      <c r="T44" s="1" t="str">
        <f t="shared" si="13"/>
        <v/>
      </c>
      <c r="U44" s="1" t="str">
        <f t="shared" si="14"/>
        <v/>
      </c>
      <c r="V44" s="1" t="str">
        <f t="shared" si="15"/>
        <v/>
      </c>
      <c r="W44" s="26" t="str">
        <f t="shared" si="16"/>
        <v/>
      </c>
      <c r="X44" s="13" t="str">
        <f t="shared" si="17"/>
        <v/>
      </c>
      <c r="Y44" s="9">
        <f t="shared" si="18"/>
        <v>0</v>
      </c>
    </row>
    <row r="45" spans="1:25" x14ac:dyDescent="0.25">
      <c r="A45" s="28"/>
      <c r="B45" s="29"/>
      <c r="C45" s="30"/>
      <c r="D45" s="31"/>
      <c r="E45" s="29" t="s">
        <v>16</v>
      </c>
      <c r="F45" s="13" t="b">
        <f>IF($E45=Categories!$A$1,"",IF($E45=Categories!$A$2,Categories!$B$2,IF($E45=Categories!$A$3,Categories!$B$3,IF($E45=Categories!$A$4,Categories!$B$4,IF($E45=Categories!$A$5,Categories!$B$5,IF($E45=Categories!$A$6,Categories!$B$6,IF($E45=Categories!$A$7,Categories!$B$7,IF($E45=Categories!$A$8,Categories!$B$8,IF($E45=Categories!$A$9,Categories!$B$9,IF($E45=Categories!$A$10,Categories!$B$10,IF($E45=Categories!$A$11,Categories!$B$11,IF($E45=Categories!$A$12,Categories!$B$12,IF($E45=Categories!$A$13,Categories!$B$13,IF($E45=Categories!$A$14,Categories!$B$14,IF($E45=Categories!$A$15,Categories!$B$15,IF($E45=Categories!$A$16,Categories!$B$16,IF($E45=Categories!$A$17,Categories!$B$17,IF($E45=Categories!$A$18,Categories!$B$18,IF($E45=Categories!$A$19,Categories!$B$19)))))))))))))))))))</f>
        <v>0</v>
      </c>
      <c r="G45" s="9" t="str">
        <f t="shared" si="0"/>
        <v/>
      </c>
      <c r="H45" s="1" t="str">
        <f t="shared" si="1"/>
        <v/>
      </c>
      <c r="I45" s="1" t="str">
        <f t="shared" si="2"/>
        <v/>
      </c>
      <c r="J45" s="1" t="str">
        <f t="shared" si="3"/>
        <v/>
      </c>
      <c r="K45" s="13" t="str">
        <f t="shared" si="4"/>
        <v/>
      </c>
      <c r="L45" s="9" t="str">
        <f t="shared" si="5"/>
        <v/>
      </c>
      <c r="M45" s="1" t="str">
        <f t="shared" si="6"/>
        <v/>
      </c>
      <c r="N45" s="1" t="str">
        <f t="shared" si="7"/>
        <v/>
      </c>
      <c r="O45" s="1" t="str">
        <f t="shared" si="8"/>
        <v/>
      </c>
      <c r="P45" s="1" t="str">
        <f t="shared" si="9"/>
        <v/>
      </c>
      <c r="Q45" s="1" t="str">
        <f t="shared" si="10"/>
        <v/>
      </c>
      <c r="R45" s="1" t="str">
        <f t="shared" si="11"/>
        <v/>
      </c>
      <c r="S45" s="1" t="str">
        <f t="shared" si="12"/>
        <v/>
      </c>
      <c r="T45" s="1" t="str">
        <f t="shared" si="13"/>
        <v/>
      </c>
      <c r="U45" s="1" t="str">
        <f t="shared" si="14"/>
        <v/>
      </c>
      <c r="V45" s="1" t="str">
        <f t="shared" si="15"/>
        <v/>
      </c>
      <c r="W45" s="26" t="str">
        <f t="shared" si="16"/>
        <v/>
      </c>
      <c r="X45" s="13" t="str">
        <f t="shared" si="17"/>
        <v/>
      </c>
      <c r="Y45" s="9">
        <f t="shared" si="18"/>
        <v>0</v>
      </c>
    </row>
    <row r="46" spans="1:25" x14ac:dyDescent="0.25">
      <c r="A46" s="28"/>
      <c r="B46" s="29"/>
      <c r="C46" s="30"/>
      <c r="D46" s="31"/>
      <c r="E46" s="29" t="s">
        <v>16</v>
      </c>
      <c r="F46" s="13" t="b">
        <f>IF($E46=Categories!$A$1,"",IF($E46=Categories!$A$2,Categories!$B$2,IF($E46=Categories!$A$3,Categories!$B$3,IF($E46=Categories!$A$4,Categories!$B$4,IF($E46=Categories!$A$5,Categories!$B$5,IF($E46=Categories!$A$6,Categories!$B$6,IF($E46=Categories!$A$7,Categories!$B$7,IF($E46=Categories!$A$8,Categories!$B$8,IF($E46=Categories!$A$9,Categories!$B$9,IF($E46=Categories!$A$10,Categories!$B$10,IF($E46=Categories!$A$11,Categories!$B$11,IF($E46=Categories!$A$12,Categories!$B$12,IF($E46=Categories!$A$13,Categories!$B$13,IF($E46=Categories!$A$14,Categories!$B$14,IF($E46=Categories!$A$15,Categories!$B$15,IF($E46=Categories!$A$16,Categories!$B$16,IF($E46=Categories!$A$17,Categories!$B$17,IF($E46=Categories!$A$18,Categories!$B$18,IF($E46=Categories!$A$19,Categories!$B$19)))))))))))))))))))</f>
        <v>0</v>
      </c>
      <c r="G46" s="9" t="str">
        <f t="shared" si="0"/>
        <v/>
      </c>
      <c r="H46" s="1" t="str">
        <f t="shared" si="1"/>
        <v/>
      </c>
      <c r="I46" s="1" t="str">
        <f t="shared" si="2"/>
        <v/>
      </c>
      <c r="J46" s="1" t="str">
        <f t="shared" si="3"/>
        <v/>
      </c>
      <c r="K46" s="13" t="str">
        <f t="shared" si="4"/>
        <v/>
      </c>
      <c r="L46" s="9" t="str">
        <f t="shared" si="5"/>
        <v/>
      </c>
      <c r="M46" s="1" t="str">
        <f t="shared" si="6"/>
        <v/>
      </c>
      <c r="N46" s="1" t="str">
        <f t="shared" si="7"/>
        <v/>
      </c>
      <c r="O46" s="1" t="str">
        <f t="shared" si="8"/>
        <v/>
      </c>
      <c r="P46" s="1" t="str">
        <f t="shared" si="9"/>
        <v/>
      </c>
      <c r="Q46" s="1" t="str">
        <f t="shared" si="10"/>
        <v/>
      </c>
      <c r="R46" s="1" t="str">
        <f t="shared" si="11"/>
        <v/>
      </c>
      <c r="S46" s="1" t="str">
        <f t="shared" si="12"/>
        <v/>
      </c>
      <c r="T46" s="1" t="str">
        <f t="shared" si="13"/>
        <v/>
      </c>
      <c r="U46" s="1" t="str">
        <f t="shared" si="14"/>
        <v/>
      </c>
      <c r="V46" s="1" t="str">
        <f t="shared" si="15"/>
        <v/>
      </c>
      <c r="W46" s="26" t="str">
        <f t="shared" si="16"/>
        <v/>
      </c>
      <c r="X46" s="13" t="str">
        <f t="shared" si="17"/>
        <v/>
      </c>
      <c r="Y46" s="9">
        <f t="shared" si="18"/>
        <v>0</v>
      </c>
    </row>
    <row r="47" spans="1:25" x14ac:dyDescent="0.25">
      <c r="A47" s="28"/>
      <c r="B47" s="29"/>
      <c r="C47" s="30"/>
      <c r="D47" s="31"/>
      <c r="E47" s="29" t="s">
        <v>16</v>
      </c>
      <c r="F47" s="13" t="b">
        <f>IF($E47=Categories!$A$1,"",IF($E47=Categories!$A$2,Categories!$B$2,IF($E47=Categories!$A$3,Categories!$B$3,IF($E47=Categories!$A$4,Categories!$B$4,IF($E47=Categories!$A$5,Categories!$B$5,IF($E47=Categories!$A$6,Categories!$B$6,IF($E47=Categories!$A$7,Categories!$B$7,IF($E47=Categories!$A$8,Categories!$B$8,IF($E47=Categories!$A$9,Categories!$B$9,IF($E47=Categories!$A$10,Categories!$B$10,IF($E47=Categories!$A$11,Categories!$B$11,IF($E47=Categories!$A$12,Categories!$B$12,IF($E47=Categories!$A$13,Categories!$B$13,IF($E47=Categories!$A$14,Categories!$B$14,IF($E47=Categories!$A$15,Categories!$B$15,IF($E47=Categories!$A$16,Categories!$B$16,IF($E47=Categories!$A$17,Categories!$B$17,IF($E47=Categories!$A$18,Categories!$B$18,IF($E47=Categories!$A$19,Categories!$B$19)))))))))))))))))))</f>
        <v>0</v>
      </c>
      <c r="G47" s="9" t="str">
        <f t="shared" si="0"/>
        <v/>
      </c>
      <c r="H47" s="1" t="str">
        <f t="shared" si="1"/>
        <v/>
      </c>
      <c r="I47" s="1" t="str">
        <f t="shared" si="2"/>
        <v/>
      </c>
      <c r="J47" s="1" t="str">
        <f t="shared" si="3"/>
        <v/>
      </c>
      <c r="K47" s="13" t="str">
        <f t="shared" si="4"/>
        <v/>
      </c>
      <c r="L47" s="9" t="str">
        <f t="shared" si="5"/>
        <v/>
      </c>
      <c r="M47" s="1" t="str">
        <f t="shared" si="6"/>
        <v/>
      </c>
      <c r="N47" s="1" t="str">
        <f t="shared" si="7"/>
        <v/>
      </c>
      <c r="O47" s="1" t="str">
        <f t="shared" si="8"/>
        <v/>
      </c>
      <c r="P47" s="1" t="str">
        <f t="shared" si="9"/>
        <v/>
      </c>
      <c r="Q47" s="1" t="str">
        <f t="shared" si="10"/>
        <v/>
      </c>
      <c r="R47" s="1" t="str">
        <f t="shared" si="11"/>
        <v/>
      </c>
      <c r="S47" s="1" t="str">
        <f t="shared" si="12"/>
        <v/>
      </c>
      <c r="T47" s="1" t="str">
        <f t="shared" si="13"/>
        <v/>
      </c>
      <c r="U47" s="1" t="str">
        <f t="shared" si="14"/>
        <v/>
      </c>
      <c r="V47" s="1" t="str">
        <f t="shared" si="15"/>
        <v/>
      </c>
      <c r="W47" s="26" t="str">
        <f t="shared" si="16"/>
        <v/>
      </c>
      <c r="X47" s="13" t="str">
        <f t="shared" si="17"/>
        <v/>
      </c>
      <c r="Y47" s="9">
        <f t="shared" si="18"/>
        <v>0</v>
      </c>
    </row>
    <row r="48" spans="1:25" x14ac:dyDescent="0.25">
      <c r="A48" s="28"/>
      <c r="B48" s="29"/>
      <c r="C48" s="30"/>
      <c r="D48" s="31"/>
      <c r="E48" s="29" t="s">
        <v>16</v>
      </c>
      <c r="F48" s="13" t="b">
        <f>IF($E48=Categories!$A$1,"",IF($E48=Categories!$A$2,Categories!$B$2,IF($E48=Categories!$A$3,Categories!$B$3,IF($E48=Categories!$A$4,Categories!$B$4,IF($E48=Categories!$A$5,Categories!$B$5,IF($E48=Categories!$A$6,Categories!$B$6,IF($E48=Categories!$A$7,Categories!$B$7,IF($E48=Categories!$A$8,Categories!$B$8,IF($E48=Categories!$A$9,Categories!$B$9,IF($E48=Categories!$A$10,Categories!$B$10,IF($E48=Categories!$A$11,Categories!$B$11,IF($E48=Categories!$A$12,Categories!$B$12,IF($E48=Categories!$A$13,Categories!$B$13,IF($E48=Categories!$A$14,Categories!$B$14,IF($E48=Categories!$A$15,Categories!$B$15,IF($E48=Categories!$A$16,Categories!$B$16,IF($E48=Categories!$A$17,Categories!$B$17,IF($E48=Categories!$A$18,Categories!$B$18,IF($E48=Categories!$A$19,Categories!$B$19)))))))))))))))))))</f>
        <v>0</v>
      </c>
      <c r="G48" s="9" t="str">
        <f t="shared" si="0"/>
        <v/>
      </c>
      <c r="H48" s="1" t="str">
        <f t="shared" si="1"/>
        <v/>
      </c>
      <c r="I48" s="1" t="str">
        <f t="shared" si="2"/>
        <v/>
      </c>
      <c r="J48" s="1" t="str">
        <f t="shared" si="3"/>
        <v/>
      </c>
      <c r="K48" s="13" t="str">
        <f t="shared" si="4"/>
        <v/>
      </c>
      <c r="L48" s="9" t="str">
        <f t="shared" si="5"/>
        <v/>
      </c>
      <c r="M48" s="1" t="str">
        <f t="shared" si="6"/>
        <v/>
      </c>
      <c r="N48" s="1" t="str">
        <f t="shared" si="7"/>
        <v/>
      </c>
      <c r="O48" s="1" t="str">
        <f t="shared" si="8"/>
        <v/>
      </c>
      <c r="P48" s="1" t="str">
        <f t="shared" si="9"/>
        <v/>
      </c>
      <c r="Q48" s="1" t="str">
        <f t="shared" si="10"/>
        <v/>
      </c>
      <c r="R48" s="1" t="str">
        <f t="shared" si="11"/>
        <v/>
      </c>
      <c r="S48" s="1" t="str">
        <f t="shared" si="12"/>
        <v/>
      </c>
      <c r="T48" s="1" t="str">
        <f t="shared" si="13"/>
        <v/>
      </c>
      <c r="U48" s="1" t="str">
        <f t="shared" si="14"/>
        <v/>
      </c>
      <c r="V48" s="1" t="str">
        <f t="shared" si="15"/>
        <v/>
      </c>
      <c r="W48" s="26" t="str">
        <f t="shared" si="16"/>
        <v/>
      </c>
      <c r="X48" s="13" t="str">
        <f t="shared" si="17"/>
        <v/>
      </c>
      <c r="Y48" s="9">
        <f t="shared" si="18"/>
        <v>0</v>
      </c>
    </row>
    <row r="49" spans="1:25" x14ac:dyDescent="0.25">
      <c r="A49" s="28"/>
      <c r="B49" s="29"/>
      <c r="C49" s="30"/>
      <c r="D49" s="31"/>
      <c r="E49" s="29" t="s">
        <v>16</v>
      </c>
      <c r="F49" s="13" t="b">
        <f>IF($E49=Categories!$A$1,"",IF($E49=Categories!$A$2,Categories!$B$2,IF($E49=Categories!$A$3,Categories!$B$3,IF($E49=Categories!$A$4,Categories!$B$4,IF($E49=Categories!$A$5,Categories!$B$5,IF($E49=Categories!$A$6,Categories!$B$6,IF($E49=Categories!$A$7,Categories!$B$7,IF($E49=Categories!$A$8,Categories!$B$8,IF($E49=Categories!$A$9,Categories!$B$9,IF($E49=Categories!$A$10,Categories!$B$10,IF($E49=Categories!$A$11,Categories!$B$11,IF($E49=Categories!$A$12,Categories!$B$12,IF($E49=Categories!$A$13,Categories!$B$13,IF($E49=Categories!$A$14,Categories!$B$14,IF($E49=Categories!$A$15,Categories!$B$15,IF($E49=Categories!$A$16,Categories!$B$16,IF($E49=Categories!$A$17,Categories!$B$17,IF($E49=Categories!$A$18,Categories!$B$18,IF($E49=Categories!$A$19,Categories!$B$19)))))))))))))))))))</f>
        <v>0</v>
      </c>
      <c r="G49" s="9" t="str">
        <f t="shared" si="0"/>
        <v/>
      </c>
      <c r="H49" s="1" t="str">
        <f t="shared" si="1"/>
        <v/>
      </c>
      <c r="I49" s="1" t="str">
        <f t="shared" si="2"/>
        <v/>
      </c>
      <c r="J49" s="1" t="str">
        <f t="shared" si="3"/>
        <v/>
      </c>
      <c r="K49" s="13" t="str">
        <f t="shared" si="4"/>
        <v/>
      </c>
      <c r="L49" s="9" t="str">
        <f t="shared" si="5"/>
        <v/>
      </c>
      <c r="M49" s="1" t="str">
        <f t="shared" si="6"/>
        <v/>
      </c>
      <c r="N49" s="1" t="str">
        <f t="shared" si="7"/>
        <v/>
      </c>
      <c r="O49" s="1" t="str">
        <f t="shared" si="8"/>
        <v/>
      </c>
      <c r="P49" s="1" t="str">
        <f t="shared" si="9"/>
        <v/>
      </c>
      <c r="Q49" s="1" t="str">
        <f t="shared" si="10"/>
        <v/>
      </c>
      <c r="R49" s="1" t="str">
        <f t="shared" si="11"/>
        <v/>
      </c>
      <c r="S49" s="1" t="str">
        <f t="shared" si="12"/>
        <v/>
      </c>
      <c r="T49" s="1" t="str">
        <f t="shared" si="13"/>
        <v/>
      </c>
      <c r="U49" s="1" t="str">
        <f t="shared" si="14"/>
        <v/>
      </c>
      <c r="V49" s="1" t="str">
        <f t="shared" si="15"/>
        <v/>
      </c>
      <c r="W49" s="26" t="str">
        <f t="shared" si="16"/>
        <v/>
      </c>
      <c r="X49" s="13" t="str">
        <f t="shared" si="17"/>
        <v/>
      </c>
      <c r="Y49" s="9">
        <f t="shared" si="18"/>
        <v>0</v>
      </c>
    </row>
    <row r="50" spans="1:25" x14ac:dyDescent="0.25">
      <c r="A50" s="28"/>
      <c r="B50" s="29"/>
      <c r="C50" s="30"/>
      <c r="D50" s="31"/>
      <c r="E50" s="29" t="s">
        <v>16</v>
      </c>
      <c r="F50" s="13" t="b">
        <f>IF($E50=Categories!$A$1,"",IF($E50=Categories!$A$2,Categories!$B$2,IF($E50=Categories!$A$3,Categories!$B$3,IF($E50=Categories!$A$4,Categories!$B$4,IF($E50=Categories!$A$5,Categories!$B$5,IF($E50=Categories!$A$6,Categories!$B$6,IF($E50=Categories!$A$7,Categories!$B$7,IF($E50=Categories!$A$8,Categories!$B$8,IF($E50=Categories!$A$9,Categories!$B$9,IF($E50=Categories!$A$10,Categories!$B$10,IF($E50=Categories!$A$11,Categories!$B$11,IF($E50=Categories!$A$12,Categories!$B$12,IF($E50=Categories!$A$13,Categories!$B$13,IF($E50=Categories!$A$14,Categories!$B$14,IF($E50=Categories!$A$15,Categories!$B$15,IF($E50=Categories!$A$16,Categories!$B$16,IF($E50=Categories!$A$17,Categories!$B$17,IF($E50=Categories!$A$18,Categories!$B$18,IF($E50=Categories!$A$19,Categories!$B$19)))))))))))))))))))</f>
        <v>0</v>
      </c>
      <c r="G50" s="9" t="str">
        <f t="shared" si="0"/>
        <v/>
      </c>
      <c r="H50" s="1" t="str">
        <f t="shared" si="1"/>
        <v/>
      </c>
      <c r="I50" s="1" t="str">
        <f t="shared" si="2"/>
        <v/>
      </c>
      <c r="J50" s="1" t="str">
        <f t="shared" si="3"/>
        <v/>
      </c>
      <c r="K50" s="13" t="str">
        <f t="shared" si="4"/>
        <v/>
      </c>
      <c r="L50" s="9" t="str">
        <f t="shared" si="5"/>
        <v/>
      </c>
      <c r="M50" s="1" t="str">
        <f t="shared" si="6"/>
        <v/>
      </c>
      <c r="N50" s="1" t="str">
        <f t="shared" si="7"/>
        <v/>
      </c>
      <c r="O50" s="1" t="str">
        <f t="shared" si="8"/>
        <v/>
      </c>
      <c r="P50" s="1" t="str">
        <f t="shared" si="9"/>
        <v/>
      </c>
      <c r="Q50" s="1" t="str">
        <f t="shared" si="10"/>
        <v/>
      </c>
      <c r="R50" s="1" t="str">
        <f t="shared" si="11"/>
        <v/>
      </c>
      <c r="S50" s="1" t="str">
        <f t="shared" si="12"/>
        <v/>
      </c>
      <c r="T50" s="1" t="str">
        <f t="shared" si="13"/>
        <v/>
      </c>
      <c r="U50" s="1" t="str">
        <f t="shared" si="14"/>
        <v/>
      </c>
      <c r="V50" s="1" t="str">
        <f t="shared" si="15"/>
        <v/>
      </c>
      <c r="W50" s="26" t="str">
        <f t="shared" si="16"/>
        <v/>
      </c>
      <c r="X50" s="13" t="str">
        <f t="shared" si="17"/>
        <v/>
      </c>
      <c r="Y50" s="9">
        <f t="shared" si="18"/>
        <v>0</v>
      </c>
    </row>
    <row r="51" spans="1:25" x14ac:dyDescent="0.25">
      <c r="A51" s="28"/>
      <c r="B51" s="29"/>
      <c r="C51" s="30"/>
      <c r="D51" s="31"/>
      <c r="E51" s="29" t="s">
        <v>16</v>
      </c>
      <c r="F51" s="13" t="b">
        <f>IF($E51=Categories!$A$1,"",IF($E51=Categories!$A$2,Categories!$B$2,IF($E51=Categories!$A$3,Categories!$B$3,IF($E51=Categories!$A$4,Categories!$B$4,IF($E51=Categories!$A$5,Categories!$B$5,IF($E51=Categories!$A$6,Categories!$B$6,IF($E51=Categories!$A$7,Categories!$B$7,IF($E51=Categories!$A$8,Categories!$B$8,IF($E51=Categories!$A$9,Categories!$B$9,IF($E51=Categories!$A$10,Categories!$B$10,IF($E51=Categories!$A$11,Categories!$B$11,IF($E51=Categories!$A$12,Categories!$B$12,IF($E51=Categories!$A$13,Categories!$B$13,IF($E51=Categories!$A$14,Categories!$B$14,IF($E51=Categories!$A$15,Categories!$B$15,IF($E51=Categories!$A$16,Categories!$B$16,IF($E51=Categories!$A$17,Categories!$B$17,IF($E51=Categories!$A$18,Categories!$B$18,IF($E51=Categories!$A$19,Categories!$B$19)))))))))))))))))))</f>
        <v>0</v>
      </c>
      <c r="G51" s="9" t="str">
        <f t="shared" si="0"/>
        <v/>
      </c>
      <c r="H51" s="1" t="str">
        <f t="shared" si="1"/>
        <v/>
      </c>
      <c r="I51" s="1" t="str">
        <f t="shared" si="2"/>
        <v/>
      </c>
      <c r="J51" s="1" t="str">
        <f t="shared" si="3"/>
        <v/>
      </c>
      <c r="K51" s="13" t="str">
        <f t="shared" si="4"/>
        <v/>
      </c>
      <c r="L51" s="9" t="str">
        <f t="shared" si="5"/>
        <v/>
      </c>
      <c r="M51" s="1" t="str">
        <f t="shared" si="6"/>
        <v/>
      </c>
      <c r="N51" s="1" t="str">
        <f t="shared" si="7"/>
        <v/>
      </c>
      <c r="O51" s="1" t="str">
        <f t="shared" si="8"/>
        <v/>
      </c>
      <c r="P51" s="1" t="str">
        <f t="shared" si="9"/>
        <v/>
      </c>
      <c r="Q51" s="1" t="str">
        <f t="shared" si="10"/>
        <v/>
      </c>
      <c r="R51" s="1" t="str">
        <f t="shared" si="11"/>
        <v/>
      </c>
      <c r="S51" s="1" t="str">
        <f t="shared" si="12"/>
        <v/>
      </c>
      <c r="T51" s="1" t="str">
        <f t="shared" si="13"/>
        <v/>
      </c>
      <c r="U51" s="1" t="str">
        <f t="shared" si="14"/>
        <v/>
      </c>
      <c r="V51" s="1" t="str">
        <f t="shared" si="15"/>
        <v/>
      </c>
      <c r="W51" s="26" t="str">
        <f t="shared" si="16"/>
        <v/>
      </c>
      <c r="X51" s="13" t="str">
        <f t="shared" si="17"/>
        <v/>
      </c>
      <c r="Y51" s="9">
        <f t="shared" si="18"/>
        <v>0</v>
      </c>
    </row>
    <row r="52" spans="1:25" x14ac:dyDescent="0.25">
      <c r="A52" s="28"/>
      <c r="B52" s="29"/>
      <c r="C52" s="30"/>
      <c r="D52" s="31"/>
      <c r="E52" s="29" t="s">
        <v>16</v>
      </c>
      <c r="F52" s="13" t="b">
        <f>IF($E52=Categories!$A$1,"",IF($E52=Categories!$A$2,Categories!$B$2,IF($E52=Categories!$A$3,Categories!$B$3,IF($E52=Categories!$A$4,Categories!$B$4,IF($E52=Categories!$A$5,Categories!$B$5,IF($E52=Categories!$A$6,Categories!$B$6,IF($E52=Categories!$A$7,Categories!$B$7,IF($E52=Categories!$A$8,Categories!$B$8,IF($E52=Categories!$A$9,Categories!$B$9,IF($E52=Categories!$A$10,Categories!$B$10,IF($E52=Categories!$A$11,Categories!$B$11,IF($E52=Categories!$A$12,Categories!$B$12,IF($E52=Categories!$A$13,Categories!$B$13,IF($E52=Categories!$A$14,Categories!$B$14,IF($E52=Categories!$A$15,Categories!$B$15,IF($E52=Categories!$A$16,Categories!$B$16,IF($E52=Categories!$A$17,Categories!$B$17,IF($E52=Categories!$A$18,Categories!$B$18,IF($E52=Categories!$A$19,Categories!$B$19)))))))))))))))))))</f>
        <v>0</v>
      </c>
      <c r="G52" s="9" t="str">
        <f t="shared" si="0"/>
        <v/>
      </c>
      <c r="H52" s="1" t="str">
        <f t="shared" si="1"/>
        <v/>
      </c>
      <c r="I52" s="1" t="str">
        <f t="shared" si="2"/>
        <v/>
      </c>
      <c r="J52" s="1" t="str">
        <f t="shared" si="3"/>
        <v/>
      </c>
      <c r="K52" s="13" t="str">
        <f t="shared" si="4"/>
        <v/>
      </c>
      <c r="L52" s="9" t="str">
        <f t="shared" si="5"/>
        <v/>
      </c>
      <c r="M52" s="1" t="str">
        <f t="shared" si="6"/>
        <v/>
      </c>
      <c r="N52" s="1" t="str">
        <f t="shared" si="7"/>
        <v/>
      </c>
      <c r="O52" s="1" t="str">
        <f t="shared" si="8"/>
        <v/>
      </c>
      <c r="P52" s="1" t="str">
        <f t="shared" si="9"/>
        <v/>
      </c>
      <c r="Q52" s="1" t="str">
        <f t="shared" si="10"/>
        <v/>
      </c>
      <c r="R52" s="1" t="str">
        <f t="shared" si="11"/>
        <v/>
      </c>
      <c r="S52" s="1" t="str">
        <f t="shared" si="12"/>
        <v/>
      </c>
      <c r="T52" s="1" t="str">
        <f t="shared" si="13"/>
        <v/>
      </c>
      <c r="U52" s="1" t="str">
        <f t="shared" si="14"/>
        <v/>
      </c>
      <c r="V52" s="1" t="str">
        <f t="shared" si="15"/>
        <v/>
      </c>
      <c r="W52" s="26" t="str">
        <f t="shared" si="16"/>
        <v/>
      </c>
      <c r="X52" s="13" t="str">
        <f t="shared" si="17"/>
        <v/>
      </c>
      <c r="Y52" s="9">
        <f t="shared" si="18"/>
        <v>0</v>
      </c>
    </row>
    <row r="53" spans="1:25" x14ac:dyDescent="0.25">
      <c r="A53" s="28"/>
      <c r="B53" s="29"/>
      <c r="C53" s="30"/>
      <c r="D53" s="31"/>
      <c r="E53" s="29" t="s">
        <v>16</v>
      </c>
      <c r="F53" s="13" t="b">
        <f>IF($E53=Categories!$A$1,"",IF($E53=Categories!$A$2,Categories!$B$2,IF($E53=Categories!$A$3,Categories!$B$3,IF($E53=Categories!$A$4,Categories!$B$4,IF($E53=Categories!$A$5,Categories!$B$5,IF($E53=Categories!$A$6,Categories!$B$6,IF($E53=Categories!$A$7,Categories!$B$7,IF($E53=Categories!$A$8,Categories!$B$8,IF($E53=Categories!$A$9,Categories!$B$9,IF($E53=Categories!$A$10,Categories!$B$10,IF($E53=Categories!$A$11,Categories!$B$11,IF($E53=Categories!$A$12,Categories!$B$12,IF($E53=Categories!$A$13,Categories!$B$13,IF($E53=Categories!$A$14,Categories!$B$14,IF($E53=Categories!$A$15,Categories!$B$15,IF($E53=Categories!$A$16,Categories!$B$16,IF($E53=Categories!$A$17,Categories!$B$17,IF($E53=Categories!$A$18,Categories!$B$18,IF($E53=Categories!$A$19,Categories!$B$19)))))))))))))))))))</f>
        <v>0</v>
      </c>
      <c r="G53" s="9" t="str">
        <f t="shared" si="0"/>
        <v/>
      </c>
      <c r="H53" s="1" t="str">
        <f t="shared" si="1"/>
        <v/>
      </c>
      <c r="I53" s="1" t="str">
        <f t="shared" si="2"/>
        <v/>
      </c>
      <c r="J53" s="1" t="str">
        <f t="shared" si="3"/>
        <v/>
      </c>
      <c r="K53" s="13" t="str">
        <f t="shared" si="4"/>
        <v/>
      </c>
      <c r="L53" s="9" t="str">
        <f t="shared" si="5"/>
        <v/>
      </c>
      <c r="M53" s="1" t="str">
        <f t="shared" si="6"/>
        <v/>
      </c>
      <c r="N53" s="1" t="str">
        <f t="shared" si="7"/>
        <v/>
      </c>
      <c r="O53" s="1" t="str">
        <f t="shared" si="8"/>
        <v/>
      </c>
      <c r="P53" s="1" t="str">
        <f t="shared" si="9"/>
        <v/>
      </c>
      <c r="Q53" s="1" t="str">
        <f t="shared" si="10"/>
        <v/>
      </c>
      <c r="R53" s="1" t="str">
        <f t="shared" si="11"/>
        <v/>
      </c>
      <c r="S53" s="1" t="str">
        <f t="shared" si="12"/>
        <v/>
      </c>
      <c r="T53" s="1" t="str">
        <f t="shared" si="13"/>
        <v/>
      </c>
      <c r="U53" s="1" t="str">
        <f t="shared" si="14"/>
        <v/>
      </c>
      <c r="V53" s="1" t="str">
        <f t="shared" si="15"/>
        <v/>
      </c>
      <c r="W53" s="26" t="str">
        <f t="shared" si="16"/>
        <v/>
      </c>
      <c r="X53" s="13" t="str">
        <f t="shared" si="17"/>
        <v/>
      </c>
      <c r="Y53" s="9">
        <f t="shared" si="18"/>
        <v>0</v>
      </c>
    </row>
    <row r="54" spans="1:25" x14ac:dyDescent="0.25">
      <c r="A54" s="28"/>
      <c r="B54" s="29"/>
      <c r="C54" s="30"/>
      <c r="D54" s="31"/>
      <c r="E54" s="29" t="s">
        <v>16</v>
      </c>
      <c r="F54" s="13" t="b">
        <f>IF($E54=Categories!$A$1,"",IF($E54=Categories!$A$2,Categories!$B$2,IF($E54=Categories!$A$3,Categories!$B$3,IF($E54=Categories!$A$4,Categories!$B$4,IF($E54=Categories!$A$5,Categories!$B$5,IF($E54=Categories!$A$6,Categories!$B$6,IF($E54=Categories!$A$7,Categories!$B$7,IF($E54=Categories!$A$8,Categories!$B$8,IF($E54=Categories!$A$9,Categories!$B$9,IF($E54=Categories!$A$10,Categories!$B$10,IF($E54=Categories!$A$11,Categories!$B$11,IF($E54=Categories!$A$12,Categories!$B$12,IF($E54=Categories!$A$13,Categories!$B$13,IF($E54=Categories!$A$14,Categories!$B$14,IF($E54=Categories!$A$15,Categories!$B$15,IF($E54=Categories!$A$16,Categories!$B$16,IF($E54=Categories!$A$17,Categories!$B$17,IF($E54=Categories!$A$18,Categories!$B$18,IF($E54=Categories!$A$19,Categories!$B$19)))))))))))))))))))</f>
        <v>0</v>
      </c>
      <c r="G54" s="9" t="str">
        <f t="shared" si="0"/>
        <v/>
      </c>
      <c r="H54" s="1" t="str">
        <f t="shared" si="1"/>
        <v/>
      </c>
      <c r="I54" s="1" t="str">
        <f t="shared" si="2"/>
        <v/>
      </c>
      <c r="J54" s="1" t="str">
        <f t="shared" si="3"/>
        <v/>
      </c>
      <c r="K54" s="13" t="str">
        <f t="shared" si="4"/>
        <v/>
      </c>
      <c r="L54" s="9" t="str">
        <f t="shared" si="5"/>
        <v/>
      </c>
      <c r="M54" s="1" t="str">
        <f t="shared" si="6"/>
        <v/>
      </c>
      <c r="N54" s="1" t="str">
        <f t="shared" si="7"/>
        <v/>
      </c>
      <c r="O54" s="1" t="str">
        <f t="shared" si="8"/>
        <v/>
      </c>
      <c r="P54" s="1" t="str">
        <f t="shared" si="9"/>
        <v/>
      </c>
      <c r="Q54" s="1" t="str">
        <f t="shared" si="10"/>
        <v/>
      </c>
      <c r="R54" s="1" t="str">
        <f t="shared" si="11"/>
        <v/>
      </c>
      <c r="S54" s="1" t="str">
        <f t="shared" si="12"/>
        <v/>
      </c>
      <c r="T54" s="1" t="str">
        <f t="shared" si="13"/>
        <v/>
      </c>
      <c r="U54" s="1" t="str">
        <f t="shared" si="14"/>
        <v/>
      </c>
      <c r="V54" s="1" t="str">
        <f t="shared" si="15"/>
        <v/>
      </c>
      <c r="W54" s="26" t="str">
        <f t="shared" si="16"/>
        <v/>
      </c>
      <c r="X54" s="13" t="str">
        <f t="shared" si="17"/>
        <v/>
      </c>
      <c r="Y54" s="9">
        <f t="shared" si="18"/>
        <v>0</v>
      </c>
    </row>
    <row r="55" spans="1:25" x14ac:dyDescent="0.25">
      <c r="A55" s="28"/>
      <c r="B55" s="29"/>
      <c r="C55" s="30"/>
      <c r="D55" s="31"/>
      <c r="E55" s="29" t="s">
        <v>16</v>
      </c>
      <c r="F55" s="13" t="b">
        <f>IF($E55=Categories!$A$1,"",IF($E55=Categories!$A$2,Categories!$B$2,IF($E55=Categories!$A$3,Categories!$B$3,IF($E55=Categories!$A$4,Categories!$B$4,IF($E55=Categories!$A$5,Categories!$B$5,IF($E55=Categories!$A$6,Categories!$B$6,IF($E55=Categories!$A$7,Categories!$B$7,IF($E55=Categories!$A$8,Categories!$B$8,IF($E55=Categories!$A$9,Categories!$B$9,IF($E55=Categories!$A$10,Categories!$B$10,IF($E55=Categories!$A$11,Categories!$B$11,IF($E55=Categories!$A$12,Categories!$B$12,IF($E55=Categories!$A$13,Categories!$B$13,IF($E55=Categories!$A$14,Categories!$B$14,IF($E55=Categories!$A$15,Categories!$B$15,IF($E55=Categories!$A$16,Categories!$B$16,IF($E55=Categories!$A$17,Categories!$B$17,IF($E55=Categories!$A$18,Categories!$B$18,IF($E55=Categories!$A$19,Categories!$B$19)))))))))))))))))))</f>
        <v>0</v>
      </c>
      <c r="G55" s="9" t="str">
        <f t="shared" si="0"/>
        <v/>
      </c>
      <c r="H55" s="1" t="str">
        <f t="shared" si="1"/>
        <v/>
      </c>
      <c r="I55" s="1" t="str">
        <f t="shared" si="2"/>
        <v/>
      </c>
      <c r="J55" s="1" t="str">
        <f t="shared" si="3"/>
        <v/>
      </c>
      <c r="K55" s="13" t="str">
        <f t="shared" si="4"/>
        <v/>
      </c>
      <c r="L55" s="9" t="str">
        <f t="shared" si="5"/>
        <v/>
      </c>
      <c r="M55" s="1" t="str">
        <f t="shared" si="6"/>
        <v/>
      </c>
      <c r="N55" s="1" t="str">
        <f t="shared" si="7"/>
        <v/>
      </c>
      <c r="O55" s="1" t="str">
        <f t="shared" si="8"/>
        <v/>
      </c>
      <c r="P55" s="1" t="str">
        <f t="shared" si="9"/>
        <v/>
      </c>
      <c r="Q55" s="1" t="str">
        <f t="shared" si="10"/>
        <v/>
      </c>
      <c r="R55" s="1" t="str">
        <f t="shared" si="11"/>
        <v/>
      </c>
      <c r="S55" s="1" t="str">
        <f t="shared" si="12"/>
        <v/>
      </c>
      <c r="T55" s="1" t="str">
        <f t="shared" si="13"/>
        <v/>
      </c>
      <c r="U55" s="1" t="str">
        <f t="shared" si="14"/>
        <v/>
      </c>
      <c r="V55" s="1" t="str">
        <f t="shared" si="15"/>
        <v/>
      </c>
      <c r="W55" s="26" t="str">
        <f t="shared" si="16"/>
        <v/>
      </c>
      <c r="X55" s="13" t="str">
        <f t="shared" si="17"/>
        <v/>
      </c>
      <c r="Y55" s="9">
        <f t="shared" si="18"/>
        <v>0</v>
      </c>
    </row>
    <row r="56" spans="1:25" x14ac:dyDescent="0.25">
      <c r="A56" s="28"/>
      <c r="B56" s="29"/>
      <c r="C56" s="30"/>
      <c r="D56" s="31"/>
      <c r="E56" s="29" t="s">
        <v>16</v>
      </c>
      <c r="F56" s="13" t="b">
        <f>IF($E56=Categories!$A$1,"",IF($E56=Categories!$A$2,Categories!$B$2,IF($E56=Categories!$A$3,Categories!$B$3,IF($E56=Categories!$A$4,Categories!$B$4,IF($E56=Categories!$A$5,Categories!$B$5,IF($E56=Categories!$A$6,Categories!$B$6,IF($E56=Categories!$A$7,Categories!$B$7,IF($E56=Categories!$A$8,Categories!$B$8,IF($E56=Categories!$A$9,Categories!$B$9,IF($E56=Categories!$A$10,Categories!$B$10,IF($E56=Categories!$A$11,Categories!$B$11,IF($E56=Categories!$A$12,Categories!$B$12,IF($E56=Categories!$A$13,Categories!$B$13,IF($E56=Categories!$A$14,Categories!$B$14,IF($E56=Categories!$A$15,Categories!$B$15,IF($E56=Categories!$A$16,Categories!$B$16,IF($E56=Categories!$A$17,Categories!$B$17,IF($E56=Categories!$A$18,Categories!$B$18,IF($E56=Categories!$A$19,Categories!$B$19)))))))))))))))))))</f>
        <v>0</v>
      </c>
      <c r="G56" s="9" t="str">
        <f t="shared" si="0"/>
        <v/>
      </c>
      <c r="H56" s="1" t="str">
        <f t="shared" si="1"/>
        <v/>
      </c>
      <c r="I56" s="1" t="str">
        <f t="shared" si="2"/>
        <v/>
      </c>
      <c r="J56" s="1" t="str">
        <f t="shared" si="3"/>
        <v/>
      </c>
      <c r="K56" s="13" t="str">
        <f t="shared" si="4"/>
        <v/>
      </c>
      <c r="L56" s="9" t="str">
        <f t="shared" si="5"/>
        <v/>
      </c>
      <c r="M56" s="1" t="str">
        <f t="shared" si="6"/>
        <v/>
      </c>
      <c r="N56" s="1" t="str">
        <f t="shared" si="7"/>
        <v/>
      </c>
      <c r="O56" s="1" t="str">
        <f t="shared" si="8"/>
        <v/>
      </c>
      <c r="P56" s="1" t="str">
        <f t="shared" si="9"/>
        <v/>
      </c>
      <c r="Q56" s="1" t="str">
        <f t="shared" si="10"/>
        <v/>
      </c>
      <c r="R56" s="1" t="str">
        <f t="shared" si="11"/>
        <v/>
      </c>
      <c r="S56" s="1" t="str">
        <f t="shared" si="12"/>
        <v/>
      </c>
      <c r="T56" s="1" t="str">
        <f t="shared" si="13"/>
        <v/>
      </c>
      <c r="U56" s="1" t="str">
        <f t="shared" si="14"/>
        <v/>
      </c>
      <c r="V56" s="1" t="str">
        <f t="shared" si="15"/>
        <v/>
      </c>
      <c r="W56" s="26" t="str">
        <f t="shared" si="16"/>
        <v/>
      </c>
      <c r="X56" s="13" t="str">
        <f t="shared" si="17"/>
        <v/>
      </c>
      <c r="Y56" s="9">
        <f t="shared" si="18"/>
        <v>0</v>
      </c>
    </row>
    <row r="57" spans="1:25" x14ac:dyDescent="0.25">
      <c r="A57" s="28"/>
      <c r="B57" s="29"/>
      <c r="C57" s="30"/>
      <c r="D57" s="31"/>
      <c r="E57" s="29" t="s">
        <v>16</v>
      </c>
      <c r="F57" s="13" t="b">
        <f>IF($E57=Categories!$A$1,"",IF($E57=Categories!$A$2,Categories!$B$2,IF($E57=Categories!$A$3,Categories!$B$3,IF($E57=Categories!$A$4,Categories!$B$4,IF($E57=Categories!$A$5,Categories!$B$5,IF($E57=Categories!$A$6,Categories!$B$6,IF($E57=Categories!$A$7,Categories!$B$7,IF($E57=Categories!$A$8,Categories!$B$8,IF($E57=Categories!$A$9,Categories!$B$9,IF($E57=Categories!$A$10,Categories!$B$10,IF($E57=Categories!$A$11,Categories!$B$11,IF($E57=Categories!$A$12,Categories!$B$12,IF($E57=Categories!$A$13,Categories!$B$13,IF($E57=Categories!$A$14,Categories!$B$14,IF($E57=Categories!$A$15,Categories!$B$15,IF($E57=Categories!$A$16,Categories!$B$16,IF($E57=Categories!$A$17,Categories!$B$17,IF($E57=Categories!$A$18,Categories!$B$18,IF($E57=Categories!$A$19,Categories!$B$19)))))))))))))))))))</f>
        <v>0</v>
      </c>
      <c r="G57" s="9" t="str">
        <f t="shared" si="0"/>
        <v/>
      </c>
      <c r="H57" s="1" t="str">
        <f t="shared" si="1"/>
        <v/>
      </c>
      <c r="I57" s="1" t="str">
        <f t="shared" si="2"/>
        <v/>
      </c>
      <c r="J57" s="1" t="str">
        <f t="shared" si="3"/>
        <v/>
      </c>
      <c r="K57" s="13" t="str">
        <f t="shared" si="4"/>
        <v/>
      </c>
      <c r="L57" s="9" t="str">
        <f t="shared" si="5"/>
        <v/>
      </c>
      <c r="M57" s="1" t="str">
        <f t="shared" si="6"/>
        <v/>
      </c>
      <c r="N57" s="1" t="str">
        <f t="shared" si="7"/>
        <v/>
      </c>
      <c r="O57" s="1" t="str">
        <f t="shared" si="8"/>
        <v/>
      </c>
      <c r="P57" s="1" t="str">
        <f t="shared" si="9"/>
        <v/>
      </c>
      <c r="Q57" s="1" t="str">
        <f t="shared" si="10"/>
        <v/>
      </c>
      <c r="R57" s="1" t="str">
        <f t="shared" si="11"/>
        <v/>
      </c>
      <c r="S57" s="1" t="str">
        <f t="shared" si="12"/>
        <v/>
      </c>
      <c r="T57" s="1" t="str">
        <f t="shared" si="13"/>
        <v/>
      </c>
      <c r="U57" s="1" t="str">
        <f t="shared" si="14"/>
        <v/>
      </c>
      <c r="V57" s="1" t="str">
        <f t="shared" si="15"/>
        <v/>
      </c>
      <c r="W57" s="26" t="str">
        <f t="shared" si="16"/>
        <v/>
      </c>
      <c r="X57" s="13" t="str">
        <f t="shared" si="17"/>
        <v/>
      </c>
      <c r="Y57" s="9">
        <f t="shared" si="18"/>
        <v>0</v>
      </c>
    </row>
    <row r="58" spans="1:25" x14ac:dyDescent="0.25">
      <c r="A58" s="28"/>
      <c r="B58" s="29"/>
      <c r="C58" s="30"/>
      <c r="D58" s="31"/>
      <c r="E58" s="29" t="s">
        <v>16</v>
      </c>
      <c r="F58" s="13" t="b">
        <f>IF($E58=Categories!$A$1,"",IF($E58=Categories!$A$2,Categories!$B$2,IF($E58=Categories!$A$3,Categories!$B$3,IF($E58=Categories!$A$4,Categories!$B$4,IF($E58=Categories!$A$5,Categories!$B$5,IF($E58=Categories!$A$6,Categories!$B$6,IF($E58=Categories!$A$7,Categories!$B$7,IF($E58=Categories!$A$8,Categories!$B$8,IF($E58=Categories!$A$9,Categories!$B$9,IF($E58=Categories!$A$10,Categories!$B$10,IF($E58=Categories!$A$11,Categories!$B$11,IF($E58=Categories!$A$12,Categories!$B$12,IF($E58=Categories!$A$13,Categories!$B$13,IF($E58=Categories!$A$14,Categories!$B$14,IF($E58=Categories!$A$15,Categories!$B$15,IF($E58=Categories!$A$16,Categories!$B$16,IF($E58=Categories!$A$17,Categories!$B$17,IF($E58=Categories!$A$18,Categories!$B$18,IF($E58=Categories!$A$19,Categories!$B$19)))))))))))))))))))</f>
        <v>0</v>
      </c>
      <c r="G58" s="9" t="str">
        <f t="shared" si="0"/>
        <v/>
      </c>
      <c r="H58" s="1" t="str">
        <f t="shared" si="1"/>
        <v/>
      </c>
      <c r="I58" s="1" t="str">
        <f t="shared" si="2"/>
        <v/>
      </c>
      <c r="J58" s="1" t="str">
        <f t="shared" si="3"/>
        <v/>
      </c>
      <c r="K58" s="13" t="str">
        <f t="shared" si="4"/>
        <v/>
      </c>
      <c r="L58" s="9" t="str">
        <f t="shared" si="5"/>
        <v/>
      </c>
      <c r="M58" s="1" t="str">
        <f t="shared" si="6"/>
        <v/>
      </c>
      <c r="N58" s="1" t="str">
        <f t="shared" si="7"/>
        <v/>
      </c>
      <c r="O58" s="1" t="str">
        <f t="shared" si="8"/>
        <v/>
      </c>
      <c r="P58" s="1" t="str">
        <f t="shared" si="9"/>
        <v/>
      </c>
      <c r="Q58" s="1" t="str">
        <f t="shared" si="10"/>
        <v/>
      </c>
      <c r="R58" s="1" t="str">
        <f t="shared" si="11"/>
        <v/>
      </c>
      <c r="S58" s="1" t="str">
        <f t="shared" si="12"/>
        <v/>
      </c>
      <c r="T58" s="1" t="str">
        <f t="shared" si="13"/>
        <v/>
      </c>
      <c r="U58" s="1" t="str">
        <f t="shared" si="14"/>
        <v/>
      </c>
      <c r="V58" s="1" t="str">
        <f t="shared" si="15"/>
        <v/>
      </c>
      <c r="W58" s="26" t="str">
        <f t="shared" si="16"/>
        <v/>
      </c>
      <c r="X58" s="13" t="str">
        <f t="shared" si="17"/>
        <v/>
      </c>
      <c r="Y58" s="9">
        <f t="shared" si="18"/>
        <v>0</v>
      </c>
    </row>
    <row r="59" spans="1:25" x14ac:dyDescent="0.25">
      <c r="A59" s="28"/>
      <c r="B59" s="29"/>
      <c r="C59" s="30"/>
      <c r="D59" s="31"/>
      <c r="E59" s="29" t="s">
        <v>16</v>
      </c>
      <c r="F59" s="13" t="b">
        <f>IF($E59=Categories!$A$1,"",IF($E59=Categories!$A$2,Categories!$B$2,IF($E59=Categories!$A$3,Categories!$B$3,IF($E59=Categories!$A$4,Categories!$B$4,IF($E59=Categories!$A$5,Categories!$B$5,IF($E59=Categories!$A$6,Categories!$B$6,IF($E59=Categories!$A$7,Categories!$B$7,IF($E59=Categories!$A$8,Categories!$B$8,IF($E59=Categories!$A$9,Categories!$B$9,IF($E59=Categories!$A$10,Categories!$B$10,IF($E59=Categories!$A$11,Categories!$B$11,IF($E59=Categories!$A$12,Categories!$B$12,IF($E59=Categories!$A$13,Categories!$B$13,IF($E59=Categories!$A$14,Categories!$B$14,IF($E59=Categories!$A$15,Categories!$B$15,IF($E59=Categories!$A$16,Categories!$B$16,IF($E59=Categories!$A$17,Categories!$B$17,IF($E59=Categories!$A$18,Categories!$B$18,IF($E59=Categories!$A$19,Categories!$B$19)))))))))))))))))))</f>
        <v>0</v>
      </c>
      <c r="G59" s="9" t="str">
        <f t="shared" si="0"/>
        <v/>
      </c>
      <c r="H59" s="1" t="str">
        <f t="shared" si="1"/>
        <v/>
      </c>
      <c r="I59" s="1" t="str">
        <f t="shared" si="2"/>
        <v/>
      </c>
      <c r="J59" s="1" t="str">
        <f t="shared" si="3"/>
        <v/>
      </c>
      <c r="K59" s="13" t="str">
        <f t="shared" si="4"/>
        <v/>
      </c>
      <c r="L59" s="9" t="str">
        <f t="shared" si="5"/>
        <v/>
      </c>
      <c r="M59" s="1" t="str">
        <f t="shared" si="6"/>
        <v/>
      </c>
      <c r="N59" s="1" t="str">
        <f t="shared" si="7"/>
        <v/>
      </c>
      <c r="O59" s="1" t="str">
        <f t="shared" si="8"/>
        <v/>
      </c>
      <c r="P59" s="1" t="str">
        <f t="shared" si="9"/>
        <v/>
      </c>
      <c r="Q59" s="1" t="str">
        <f t="shared" si="10"/>
        <v/>
      </c>
      <c r="R59" s="1" t="str">
        <f t="shared" si="11"/>
        <v/>
      </c>
      <c r="S59" s="1" t="str">
        <f t="shared" si="12"/>
        <v/>
      </c>
      <c r="T59" s="1" t="str">
        <f t="shared" si="13"/>
        <v/>
      </c>
      <c r="U59" s="1" t="str">
        <f t="shared" si="14"/>
        <v/>
      </c>
      <c r="V59" s="1" t="str">
        <f t="shared" si="15"/>
        <v/>
      </c>
      <c r="W59" s="26" t="str">
        <f t="shared" si="16"/>
        <v/>
      </c>
      <c r="X59" s="13" t="str">
        <f t="shared" si="17"/>
        <v/>
      </c>
      <c r="Y59" s="9">
        <f t="shared" si="18"/>
        <v>0</v>
      </c>
    </row>
    <row r="60" spans="1:25" x14ac:dyDescent="0.25">
      <c r="A60" s="28"/>
      <c r="B60" s="29"/>
      <c r="C60" s="30"/>
      <c r="D60" s="31"/>
      <c r="E60" s="29" t="s">
        <v>16</v>
      </c>
      <c r="F60" s="13" t="b">
        <f>IF($E60=Categories!$A$1,"",IF($E60=Categories!$A$2,Categories!$B$2,IF($E60=Categories!$A$3,Categories!$B$3,IF($E60=Categories!$A$4,Categories!$B$4,IF($E60=Categories!$A$5,Categories!$B$5,IF($E60=Categories!$A$6,Categories!$B$6,IF($E60=Categories!$A$7,Categories!$B$7,IF($E60=Categories!$A$8,Categories!$B$8,IF($E60=Categories!$A$9,Categories!$B$9,IF($E60=Categories!$A$10,Categories!$B$10,IF($E60=Categories!$A$11,Categories!$B$11,IF($E60=Categories!$A$12,Categories!$B$12,IF($E60=Categories!$A$13,Categories!$B$13,IF($E60=Categories!$A$14,Categories!$B$14,IF($E60=Categories!$A$15,Categories!$B$15,IF($E60=Categories!$A$16,Categories!$B$16,IF($E60=Categories!$A$17,Categories!$B$17,IF($E60=Categories!$A$18,Categories!$B$18,IF($E60=Categories!$A$19,Categories!$B$19)))))))))))))))))))</f>
        <v>0</v>
      </c>
      <c r="G60" s="9" t="str">
        <f t="shared" si="0"/>
        <v/>
      </c>
      <c r="H60" s="1" t="str">
        <f t="shared" si="1"/>
        <v/>
      </c>
      <c r="I60" s="1" t="str">
        <f t="shared" si="2"/>
        <v/>
      </c>
      <c r="J60" s="1" t="str">
        <f t="shared" si="3"/>
        <v/>
      </c>
      <c r="K60" s="13" t="str">
        <f t="shared" si="4"/>
        <v/>
      </c>
      <c r="L60" s="9" t="str">
        <f t="shared" si="5"/>
        <v/>
      </c>
      <c r="M60" s="1" t="str">
        <f t="shared" si="6"/>
        <v/>
      </c>
      <c r="N60" s="1" t="str">
        <f t="shared" si="7"/>
        <v/>
      </c>
      <c r="O60" s="1" t="str">
        <f t="shared" si="8"/>
        <v/>
      </c>
      <c r="P60" s="1" t="str">
        <f t="shared" si="9"/>
        <v/>
      </c>
      <c r="Q60" s="1" t="str">
        <f t="shared" si="10"/>
        <v/>
      </c>
      <c r="R60" s="1" t="str">
        <f t="shared" si="11"/>
        <v/>
      </c>
      <c r="S60" s="1" t="str">
        <f t="shared" si="12"/>
        <v/>
      </c>
      <c r="T60" s="1" t="str">
        <f t="shared" si="13"/>
        <v/>
      </c>
      <c r="U60" s="1" t="str">
        <f t="shared" si="14"/>
        <v/>
      </c>
      <c r="V60" s="1" t="str">
        <f t="shared" si="15"/>
        <v/>
      </c>
      <c r="W60" s="26" t="str">
        <f t="shared" si="16"/>
        <v/>
      </c>
      <c r="X60" s="13" t="str">
        <f t="shared" si="17"/>
        <v/>
      </c>
      <c r="Y60" s="9">
        <f t="shared" si="18"/>
        <v>0</v>
      </c>
    </row>
    <row r="61" spans="1:25" x14ac:dyDescent="0.25">
      <c r="A61" s="28"/>
      <c r="B61" s="29"/>
      <c r="C61" s="30"/>
      <c r="D61" s="31"/>
      <c r="E61" s="29" t="s">
        <v>16</v>
      </c>
      <c r="F61" s="13" t="b">
        <f>IF($E61=Categories!$A$1,"",IF($E61=Categories!$A$2,Categories!$B$2,IF($E61=Categories!$A$3,Categories!$B$3,IF($E61=Categories!$A$4,Categories!$B$4,IF($E61=Categories!$A$5,Categories!$B$5,IF($E61=Categories!$A$6,Categories!$B$6,IF($E61=Categories!$A$7,Categories!$B$7,IF($E61=Categories!$A$8,Categories!$B$8,IF($E61=Categories!$A$9,Categories!$B$9,IF($E61=Categories!$A$10,Categories!$B$10,IF($E61=Categories!$A$11,Categories!$B$11,IF($E61=Categories!$A$12,Categories!$B$12,IF($E61=Categories!$A$13,Categories!$B$13,IF($E61=Categories!$A$14,Categories!$B$14,IF($E61=Categories!$A$15,Categories!$B$15,IF($E61=Categories!$A$16,Categories!$B$16,IF($E61=Categories!$A$17,Categories!$B$17,IF($E61=Categories!$A$18,Categories!$B$18,IF($E61=Categories!$A$19,Categories!$B$19)))))))))))))))))))</f>
        <v>0</v>
      </c>
      <c r="G61" s="9" t="str">
        <f t="shared" si="0"/>
        <v/>
      </c>
      <c r="H61" s="1" t="str">
        <f t="shared" si="1"/>
        <v/>
      </c>
      <c r="I61" s="1" t="str">
        <f t="shared" si="2"/>
        <v/>
      </c>
      <c r="J61" s="1" t="str">
        <f t="shared" si="3"/>
        <v/>
      </c>
      <c r="K61" s="13" t="str">
        <f t="shared" si="4"/>
        <v/>
      </c>
      <c r="L61" s="9" t="str">
        <f t="shared" si="5"/>
        <v/>
      </c>
      <c r="M61" s="1" t="str">
        <f t="shared" si="6"/>
        <v/>
      </c>
      <c r="N61" s="1" t="str">
        <f t="shared" si="7"/>
        <v/>
      </c>
      <c r="O61" s="1" t="str">
        <f t="shared" si="8"/>
        <v/>
      </c>
      <c r="P61" s="1" t="str">
        <f t="shared" si="9"/>
        <v/>
      </c>
      <c r="Q61" s="1" t="str">
        <f t="shared" si="10"/>
        <v/>
      </c>
      <c r="R61" s="1" t="str">
        <f t="shared" si="11"/>
        <v/>
      </c>
      <c r="S61" s="1" t="str">
        <f t="shared" si="12"/>
        <v/>
      </c>
      <c r="T61" s="1" t="str">
        <f t="shared" si="13"/>
        <v/>
      </c>
      <c r="U61" s="1" t="str">
        <f t="shared" si="14"/>
        <v/>
      </c>
      <c r="V61" s="1" t="str">
        <f t="shared" si="15"/>
        <v/>
      </c>
      <c r="W61" s="26" t="str">
        <f t="shared" si="16"/>
        <v/>
      </c>
      <c r="X61" s="13" t="str">
        <f t="shared" si="17"/>
        <v/>
      </c>
      <c r="Y61" s="9">
        <f t="shared" si="18"/>
        <v>0</v>
      </c>
    </row>
    <row r="62" spans="1:25" x14ac:dyDescent="0.25">
      <c r="A62" s="28"/>
      <c r="B62" s="29"/>
      <c r="C62" s="30"/>
      <c r="D62" s="31"/>
      <c r="E62" s="29" t="s">
        <v>16</v>
      </c>
      <c r="F62" s="13" t="b">
        <f>IF($E62=Categories!$A$1,"",IF($E62=Categories!$A$2,Categories!$B$2,IF($E62=Categories!$A$3,Categories!$B$3,IF($E62=Categories!$A$4,Categories!$B$4,IF($E62=Categories!$A$5,Categories!$B$5,IF($E62=Categories!$A$6,Categories!$B$6,IF($E62=Categories!$A$7,Categories!$B$7,IF($E62=Categories!$A$8,Categories!$B$8,IF($E62=Categories!$A$9,Categories!$B$9,IF($E62=Categories!$A$10,Categories!$B$10,IF($E62=Categories!$A$11,Categories!$B$11,IF($E62=Categories!$A$12,Categories!$B$12,IF($E62=Categories!$A$13,Categories!$B$13,IF($E62=Categories!$A$14,Categories!$B$14,IF($E62=Categories!$A$15,Categories!$B$15,IF($E62=Categories!$A$16,Categories!$B$16,IF($E62=Categories!$A$17,Categories!$B$17,IF($E62=Categories!$A$18,Categories!$B$18,IF($E62=Categories!$A$19,Categories!$B$19)))))))))))))))))))</f>
        <v>0</v>
      </c>
      <c r="G62" s="9" t="str">
        <f t="shared" si="0"/>
        <v/>
      </c>
      <c r="H62" s="1" t="str">
        <f t="shared" si="1"/>
        <v/>
      </c>
      <c r="I62" s="1" t="str">
        <f t="shared" si="2"/>
        <v/>
      </c>
      <c r="J62" s="1" t="str">
        <f t="shared" si="3"/>
        <v/>
      </c>
      <c r="K62" s="13" t="str">
        <f t="shared" si="4"/>
        <v/>
      </c>
      <c r="L62" s="9" t="str">
        <f t="shared" si="5"/>
        <v/>
      </c>
      <c r="M62" s="1" t="str">
        <f t="shared" si="6"/>
        <v/>
      </c>
      <c r="N62" s="1" t="str">
        <f t="shared" si="7"/>
        <v/>
      </c>
      <c r="O62" s="1" t="str">
        <f t="shared" si="8"/>
        <v/>
      </c>
      <c r="P62" s="1" t="str">
        <f t="shared" si="9"/>
        <v/>
      </c>
      <c r="Q62" s="1" t="str">
        <f t="shared" si="10"/>
        <v/>
      </c>
      <c r="R62" s="1" t="str">
        <f t="shared" si="11"/>
        <v/>
      </c>
      <c r="S62" s="1" t="str">
        <f t="shared" si="12"/>
        <v/>
      </c>
      <c r="T62" s="1" t="str">
        <f t="shared" si="13"/>
        <v/>
      </c>
      <c r="U62" s="1" t="str">
        <f t="shared" si="14"/>
        <v/>
      </c>
      <c r="V62" s="1" t="str">
        <f t="shared" si="15"/>
        <v/>
      </c>
      <c r="W62" s="26" t="str">
        <f t="shared" si="16"/>
        <v/>
      </c>
      <c r="X62" s="13" t="str">
        <f t="shared" si="17"/>
        <v/>
      </c>
      <c r="Y62" s="9">
        <f t="shared" si="18"/>
        <v>0</v>
      </c>
    </row>
    <row r="63" spans="1:25" x14ac:dyDescent="0.25">
      <c r="A63" s="28"/>
      <c r="B63" s="29"/>
      <c r="C63" s="30"/>
      <c r="D63" s="31"/>
      <c r="E63" s="29" t="s">
        <v>16</v>
      </c>
      <c r="F63" s="13" t="b">
        <f>IF($E63=Categories!$A$1,"",IF($E63=Categories!$A$2,Categories!$B$2,IF($E63=Categories!$A$3,Categories!$B$3,IF($E63=Categories!$A$4,Categories!$B$4,IF($E63=Categories!$A$5,Categories!$B$5,IF($E63=Categories!$A$6,Categories!$B$6,IF($E63=Categories!$A$7,Categories!$B$7,IF($E63=Categories!$A$8,Categories!$B$8,IF($E63=Categories!$A$9,Categories!$B$9,IF($E63=Categories!$A$10,Categories!$B$10,IF($E63=Categories!$A$11,Categories!$B$11,IF($E63=Categories!$A$12,Categories!$B$12,IF($E63=Categories!$A$13,Categories!$B$13,IF($E63=Categories!$A$14,Categories!$B$14,IF($E63=Categories!$A$15,Categories!$B$15,IF($E63=Categories!$A$16,Categories!$B$16,IF($E63=Categories!$A$17,Categories!$B$17,IF($E63=Categories!$A$18,Categories!$B$18,IF($E63=Categories!$A$19,Categories!$B$19)))))))))))))))))))</f>
        <v>0</v>
      </c>
      <c r="G63" s="9" t="str">
        <f t="shared" si="0"/>
        <v/>
      </c>
      <c r="H63" s="1" t="str">
        <f t="shared" si="1"/>
        <v/>
      </c>
      <c r="I63" s="1" t="str">
        <f t="shared" si="2"/>
        <v/>
      </c>
      <c r="J63" s="1" t="str">
        <f t="shared" si="3"/>
        <v/>
      </c>
      <c r="K63" s="13" t="str">
        <f t="shared" si="4"/>
        <v/>
      </c>
      <c r="L63" s="9" t="str">
        <f t="shared" si="5"/>
        <v/>
      </c>
      <c r="M63" s="1" t="str">
        <f t="shared" si="6"/>
        <v/>
      </c>
      <c r="N63" s="1" t="str">
        <f t="shared" si="7"/>
        <v/>
      </c>
      <c r="O63" s="1" t="str">
        <f t="shared" si="8"/>
        <v/>
      </c>
      <c r="P63" s="1" t="str">
        <f t="shared" si="9"/>
        <v/>
      </c>
      <c r="Q63" s="1" t="str">
        <f t="shared" si="10"/>
        <v/>
      </c>
      <c r="R63" s="1" t="str">
        <f t="shared" si="11"/>
        <v/>
      </c>
      <c r="S63" s="1" t="str">
        <f t="shared" si="12"/>
        <v/>
      </c>
      <c r="T63" s="1" t="str">
        <f t="shared" si="13"/>
        <v/>
      </c>
      <c r="U63" s="1" t="str">
        <f t="shared" si="14"/>
        <v/>
      </c>
      <c r="V63" s="1" t="str">
        <f t="shared" si="15"/>
        <v/>
      </c>
      <c r="W63" s="26" t="str">
        <f t="shared" si="16"/>
        <v/>
      </c>
      <c r="X63" s="13" t="str">
        <f t="shared" si="17"/>
        <v/>
      </c>
      <c r="Y63" s="9">
        <f t="shared" si="18"/>
        <v>0</v>
      </c>
    </row>
    <row r="64" spans="1:25" x14ac:dyDescent="0.25">
      <c r="A64" s="28"/>
      <c r="B64" s="29"/>
      <c r="C64" s="30"/>
      <c r="D64" s="31"/>
      <c r="E64" s="29" t="s">
        <v>16</v>
      </c>
      <c r="F64" s="13" t="b">
        <f>IF($E64=Categories!$A$1,"",IF($E64=Categories!$A$2,Categories!$B$2,IF($E64=Categories!$A$3,Categories!$B$3,IF($E64=Categories!$A$4,Categories!$B$4,IF($E64=Categories!$A$5,Categories!$B$5,IF($E64=Categories!$A$6,Categories!$B$6,IF($E64=Categories!$A$7,Categories!$B$7,IF($E64=Categories!$A$8,Categories!$B$8,IF($E64=Categories!$A$9,Categories!$B$9,IF($E64=Categories!$A$10,Categories!$B$10,IF($E64=Categories!$A$11,Categories!$B$11,IF($E64=Categories!$A$12,Categories!$B$12,IF($E64=Categories!$A$13,Categories!$B$13,IF($E64=Categories!$A$14,Categories!$B$14,IF($E64=Categories!$A$15,Categories!$B$15,IF($E64=Categories!$A$16,Categories!$B$16,IF($E64=Categories!$A$17,Categories!$B$17,IF($E64=Categories!$A$18,Categories!$B$18,IF($E64=Categories!$A$19,Categories!$B$19)))))))))))))))))))</f>
        <v>0</v>
      </c>
      <c r="G64" s="9" t="str">
        <f t="shared" si="0"/>
        <v/>
      </c>
      <c r="H64" s="1" t="str">
        <f t="shared" si="1"/>
        <v/>
      </c>
      <c r="I64" s="1" t="str">
        <f t="shared" si="2"/>
        <v/>
      </c>
      <c r="J64" s="1" t="str">
        <f t="shared" si="3"/>
        <v/>
      </c>
      <c r="K64" s="13" t="str">
        <f t="shared" si="4"/>
        <v/>
      </c>
      <c r="L64" s="9" t="str">
        <f t="shared" si="5"/>
        <v/>
      </c>
      <c r="M64" s="1" t="str">
        <f t="shared" si="6"/>
        <v/>
      </c>
      <c r="N64" s="1" t="str">
        <f t="shared" si="7"/>
        <v/>
      </c>
      <c r="O64" s="1" t="str">
        <f t="shared" si="8"/>
        <v/>
      </c>
      <c r="P64" s="1" t="str">
        <f t="shared" si="9"/>
        <v/>
      </c>
      <c r="Q64" s="1" t="str">
        <f t="shared" si="10"/>
        <v/>
      </c>
      <c r="R64" s="1" t="str">
        <f t="shared" si="11"/>
        <v/>
      </c>
      <c r="S64" s="1" t="str">
        <f t="shared" si="12"/>
        <v/>
      </c>
      <c r="T64" s="1" t="str">
        <f t="shared" si="13"/>
        <v/>
      </c>
      <c r="U64" s="1" t="str">
        <f t="shared" si="14"/>
        <v/>
      </c>
      <c r="V64" s="1" t="str">
        <f t="shared" si="15"/>
        <v/>
      </c>
      <c r="W64" s="26" t="str">
        <f t="shared" si="16"/>
        <v/>
      </c>
      <c r="X64" s="13" t="str">
        <f t="shared" si="17"/>
        <v/>
      </c>
      <c r="Y64" s="9">
        <f t="shared" si="18"/>
        <v>0</v>
      </c>
    </row>
    <row r="65" spans="1:25" x14ac:dyDescent="0.25">
      <c r="A65" s="28"/>
      <c r="B65" s="29"/>
      <c r="C65" s="30"/>
      <c r="D65" s="31"/>
      <c r="E65" s="29" t="s">
        <v>16</v>
      </c>
      <c r="F65" s="13" t="b">
        <f>IF($E65=Categories!$A$1,"",IF($E65=Categories!$A$2,Categories!$B$2,IF($E65=Categories!$A$3,Categories!$B$3,IF($E65=Categories!$A$4,Categories!$B$4,IF($E65=Categories!$A$5,Categories!$B$5,IF($E65=Categories!$A$6,Categories!$B$6,IF($E65=Categories!$A$7,Categories!$B$7,IF($E65=Categories!$A$8,Categories!$B$8,IF($E65=Categories!$A$9,Categories!$B$9,IF($E65=Categories!$A$10,Categories!$B$10,IF($E65=Categories!$A$11,Categories!$B$11,IF($E65=Categories!$A$12,Categories!$B$12,IF($E65=Categories!$A$13,Categories!$B$13,IF($E65=Categories!$A$14,Categories!$B$14,IF($E65=Categories!$A$15,Categories!$B$15,IF($E65=Categories!$A$16,Categories!$B$16,IF($E65=Categories!$A$17,Categories!$B$17,IF($E65=Categories!$A$18,Categories!$B$18,IF($E65=Categories!$A$19,Categories!$B$19)))))))))))))))))))</f>
        <v>0</v>
      </c>
      <c r="G65" s="9" t="str">
        <f t="shared" si="0"/>
        <v/>
      </c>
      <c r="H65" s="1" t="str">
        <f t="shared" si="1"/>
        <v/>
      </c>
      <c r="I65" s="1" t="str">
        <f t="shared" si="2"/>
        <v/>
      </c>
      <c r="J65" s="1" t="str">
        <f t="shared" si="3"/>
        <v/>
      </c>
      <c r="K65" s="13" t="str">
        <f t="shared" si="4"/>
        <v/>
      </c>
      <c r="L65" s="9" t="str">
        <f t="shared" si="5"/>
        <v/>
      </c>
      <c r="M65" s="1" t="str">
        <f t="shared" si="6"/>
        <v/>
      </c>
      <c r="N65" s="1" t="str">
        <f t="shared" si="7"/>
        <v/>
      </c>
      <c r="O65" s="1" t="str">
        <f t="shared" si="8"/>
        <v/>
      </c>
      <c r="P65" s="1" t="str">
        <f t="shared" si="9"/>
        <v/>
      </c>
      <c r="Q65" s="1" t="str">
        <f t="shared" si="10"/>
        <v/>
      </c>
      <c r="R65" s="1" t="str">
        <f t="shared" si="11"/>
        <v/>
      </c>
      <c r="S65" s="1" t="str">
        <f t="shared" si="12"/>
        <v/>
      </c>
      <c r="T65" s="1" t="str">
        <f t="shared" si="13"/>
        <v/>
      </c>
      <c r="U65" s="1" t="str">
        <f t="shared" si="14"/>
        <v/>
      </c>
      <c r="V65" s="1" t="str">
        <f t="shared" si="15"/>
        <v/>
      </c>
      <c r="W65" s="26" t="str">
        <f t="shared" si="16"/>
        <v/>
      </c>
      <c r="X65" s="13" t="str">
        <f t="shared" si="17"/>
        <v/>
      </c>
      <c r="Y65" s="9">
        <f t="shared" si="18"/>
        <v>0</v>
      </c>
    </row>
    <row r="66" spans="1:25" x14ac:dyDescent="0.25">
      <c r="A66" s="28"/>
      <c r="B66" s="29"/>
      <c r="C66" s="30"/>
      <c r="D66" s="31"/>
      <c r="E66" s="29" t="s">
        <v>16</v>
      </c>
      <c r="F66" s="13" t="b">
        <f>IF($E66=Categories!$A$1,"",IF($E66=Categories!$A$2,Categories!$B$2,IF($E66=Categories!$A$3,Categories!$B$3,IF($E66=Categories!$A$4,Categories!$B$4,IF($E66=Categories!$A$5,Categories!$B$5,IF($E66=Categories!$A$6,Categories!$B$6,IF($E66=Categories!$A$7,Categories!$B$7,IF($E66=Categories!$A$8,Categories!$B$8,IF($E66=Categories!$A$9,Categories!$B$9,IF($E66=Categories!$A$10,Categories!$B$10,IF($E66=Categories!$A$11,Categories!$B$11,IF($E66=Categories!$A$12,Categories!$B$12,IF($E66=Categories!$A$13,Categories!$B$13,IF($E66=Categories!$A$14,Categories!$B$14,IF($E66=Categories!$A$15,Categories!$B$15,IF($E66=Categories!$A$16,Categories!$B$16,IF($E66=Categories!$A$17,Categories!$B$17,IF($E66=Categories!$A$18,Categories!$B$18,IF($E66=Categories!$A$19,Categories!$B$19)))))))))))))))))))</f>
        <v>0</v>
      </c>
      <c r="G66" s="9" t="str">
        <f t="shared" si="0"/>
        <v/>
      </c>
      <c r="H66" s="1" t="str">
        <f t="shared" si="1"/>
        <v/>
      </c>
      <c r="I66" s="1" t="str">
        <f t="shared" si="2"/>
        <v/>
      </c>
      <c r="J66" s="1" t="str">
        <f t="shared" si="3"/>
        <v/>
      </c>
      <c r="K66" s="13" t="str">
        <f t="shared" si="4"/>
        <v/>
      </c>
      <c r="L66" s="9" t="str">
        <f t="shared" si="5"/>
        <v/>
      </c>
      <c r="M66" s="1" t="str">
        <f t="shared" si="6"/>
        <v/>
      </c>
      <c r="N66" s="1" t="str">
        <f t="shared" si="7"/>
        <v/>
      </c>
      <c r="O66" s="1" t="str">
        <f t="shared" si="8"/>
        <v/>
      </c>
      <c r="P66" s="1" t="str">
        <f t="shared" si="9"/>
        <v/>
      </c>
      <c r="Q66" s="1" t="str">
        <f t="shared" si="10"/>
        <v/>
      </c>
      <c r="R66" s="1" t="str">
        <f t="shared" si="11"/>
        <v/>
      </c>
      <c r="S66" s="1" t="str">
        <f t="shared" si="12"/>
        <v/>
      </c>
      <c r="T66" s="1" t="str">
        <f t="shared" si="13"/>
        <v/>
      </c>
      <c r="U66" s="1" t="str">
        <f t="shared" si="14"/>
        <v/>
      </c>
      <c r="V66" s="1" t="str">
        <f t="shared" si="15"/>
        <v/>
      </c>
      <c r="W66" s="26" t="str">
        <f t="shared" si="16"/>
        <v/>
      </c>
      <c r="X66" s="13" t="str">
        <f t="shared" si="17"/>
        <v/>
      </c>
      <c r="Y66" s="9">
        <f t="shared" si="18"/>
        <v>0</v>
      </c>
    </row>
    <row r="67" spans="1:25" x14ac:dyDescent="0.25">
      <c r="A67" s="28"/>
      <c r="B67" s="29"/>
      <c r="C67" s="30"/>
      <c r="D67" s="31"/>
      <c r="E67" s="29" t="s">
        <v>16</v>
      </c>
      <c r="F67" s="13" t="b">
        <f>IF($E67=Categories!$A$1,"",IF($E67=Categories!$A$2,Categories!$B$2,IF($E67=Categories!$A$3,Categories!$B$3,IF($E67=Categories!$A$4,Categories!$B$4,IF($E67=Categories!$A$5,Categories!$B$5,IF($E67=Categories!$A$6,Categories!$B$6,IF($E67=Categories!$A$7,Categories!$B$7,IF($E67=Categories!$A$8,Categories!$B$8,IF($E67=Categories!$A$9,Categories!$B$9,IF($E67=Categories!$A$10,Categories!$B$10,IF($E67=Categories!$A$11,Categories!$B$11,IF($E67=Categories!$A$12,Categories!$B$12,IF($E67=Categories!$A$13,Categories!$B$13,IF($E67=Categories!$A$14,Categories!$B$14,IF($E67=Categories!$A$15,Categories!$B$15,IF($E67=Categories!$A$16,Categories!$B$16,IF($E67=Categories!$A$17,Categories!$B$17,IF($E67=Categories!$A$18,Categories!$B$18,IF($E67=Categories!$A$19,Categories!$B$19)))))))))))))))))))</f>
        <v>0</v>
      </c>
      <c r="G67" s="9" t="str">
        <f t="shared" si="0"/>
        <v/>
      </c>
      <c r="H67" s="1" t="str">
        <f t="shared" si="1"/>
        <v/>
      </c>
      <c r="I67" s="1" t="str">
        <f t="shared" si="2"/>
        <v/>
      </c>
      <c r="J67" s="1" t="str">
        <f t="shared" si="3"/>
        <v/>
      </c>
      <c r="K67" s="13" t="str">
        <f t="shared" si="4"/>
        <v/>
      </c>
      <c r="L67" s="9" t="str">
        <f t="shared" si="5"/>
        <v/>
      </c>
      <c r="M67" s="1" t="str">
        <f t="shared" si="6"/>
        <v/>
      </c>
      <c r="N67" s="1" t="str">
        <f t="shared" si="7"/>
        <v/>
      </c>
      <c r="O67" s="1" t="str">
        <f t="shared" si="8"/>
        <v/>
      </c>
      <c r="P67" s="1" t="str">
        <f t="shared" si="9"/>
        <v/>
      </c>
      <c r="Q67" s="1" t="str">
        <f t="shared" si="10"/>
        <v/>
      </c>
      <c r="R67" s="1" t="str">
        <f t="shared" si="11"/>
        <v/>
      </c>
      <c r="S67" s="1" t="str">
        <f t="shared" si="12"/>
        <v/>
      </c>
      <c r="T67" s="1" t="str">
        <f t="shared" si="13"/>
        <v/>
      </c>
      <c r="U67" s="1" t="str">
        <f t="shared" si="14"/>
        <v/>
      </c>
      <c r="V67" s="1" t="str">
        <f t="shared" si="15"/>
        <v/>
      </c>
      <c r="W67" s="26" t="str">
        <f t="shared" si="16"/>
        <v/>
      </c>
      <c r="X67" s="13" t="str">
        <f t="shared" si="17"/>
        <v/>
      </c>
      <c r="Y67" s="9">
        <f t="shared" si="18"/>
        <v>0</v>
      </c>
    </row>
    <row r="68" spans="1:25" x14ac:dyDescent="0.25">
      <c r="A68" s="28"/>
      <c r="B68" s="29"/>
      <c r="C68" s="30"/>
      <c r="D68" s="31"/>
      <c r="E68" s="29" t="s">
        <v>16</v>
      </c>
      <c r="F68" s="13" t="b">
        <f>IF($E68=Categories!$A$1,"",IF($E68=Categories!$A$2,Categories!$B$2,IF($E68=Categories!$A$3,Categories!$B$3,IF($E68=Categories!$A$4,Categories!$B$4,IF($E68=Categories!$A$5,Categories!$B$5,IF($E68=Categories!$A$6,Categories!$B$6,IF($E68=Categories!$A$7,Categories!$B$7,IF($E68=Categories!$A$8,Categories!$B$8,IF($E68=Categories!$A$9,Categories!$B$9,IF($E68=Categories!$A$10,Categories!$B$10,IF($E68=Categories!$A$11,Categories!$B$11,IF($E68=Categories!$A$12,Categories!$B$12,IF($E68=Categories!$A$13,Categories!$B$13,IF($E68=Categories!$A$14,Categories!$B$14,IF($E68=Categories!$A$15,Categories!$B$15,IF($E68=Categories!$A$16,Categories!$B$16,IF($E68=Categories!$A$17,Categories!$B$17,IF($E68=Categories!$A$18,Categories!$B$18,IF($E68=Categories!$A$19,Categories!$B$19)))))))))))))))))))</f>
        <v>0</v>
      </c>
      <c r="G68" s="9" t="str">
        <f t="shared" si="0"/>
        <v/>
      </c>
      <c r="H68" s="1" t="str">
        <f t="shared" si="1"/>
        <v/>
      </c>
      <c r="I68" s="1" t="str">
        <f t="shared" si="2"/>
        <v/>
      </c>
      <c r="J68" s="1" t="str">
        <f t="shared" si="3"/>
        <v/>
      </c>
      <c r="K68" s="13" t="str">
        <f t="shared" si="4"/>
        <v/>
      </c>
      <c r="L68" s="9" t="str">
        <f t="shared" si="5"/>
        <v/>
      </c>
      <c r="M68" s="1" t="str">
        <f t="shared" si="6"/>
        <v/>
      </c>
      <c r="N68" s="1" t="str">
        <f t="shared" si="7"/>
        <v/>
      </c>
      <c r="O68" s="1" t="str">
        <f t="shared" si="8"/>
        <v/>
      </c>
      <c r="P68" s="1" t="str">
        <f t="shared" si="9"/>
        <v/>
      </c>
      <c r="Q68" s="1" t="str">
        <f t="shared" si="10"/>
        <v/>
      </c>
      <c r="R68" s="1" t="str">
        <f t="shared" si="11"/>
        <v/>
      </c>
      <c r="S68" s="1" t="str">
        <f t="shared" si="12"/>
        <v/>
      </c>
      <c r="T68" s="1" t="str">
        <f t="shared" si="13"/>
        <v/>
      </c>
      <c r="U68" s="1" t="str">
        <f t="shared" si="14"/>
        <v/>
      </c>
      <c r="V68" s="1" t="str">
        <f t="shared" si="15"/>
        <v/>
      </c>
      <c r="W68" s="26" t="str">
        <f t="shared" si="16"/>
        <v/>
      </c>
      <c r="X68" s="13" t="str">
        <f t="shared" si="17"/>
        <v/>
      </c>
      <c r="Y68" s="9">
        <f t="shared" si="18"/>
        <v>0</v>
      </c>
    </row>
    <row r="69" spans="1:25" x14ac:dyDescent="0.25">
      <c r="A69" s="28"/>
      <c r="B69" s="29"/>
      <c r="C69" s="30"/>
      <c r="D69" s="31"/>
      <c r="E69" s="29" t="s">
        <v>16</v>
      </c>
      <c r="F69" s="13" t="b">
        <f>IF($E69=Categories!$A$1,"",IF($E69=Categories!$A$2,Categories!$B$2,IF($E69=Categories!$A$3,Categories!$B$3,IF($E69=Categories!$A$4,Categories!$B$4,IF($E69=Categories!$A$5,Categories!$B$5,IF($E69=Categories!$A$6,Categories!$B$6,IF($E69=Categories!$A$7,Categories!$B$7,IF($E69=Categories!$A$8,Categories!$B$8,IF($E69=Categories!$A$9,Categories!$B$9,IF($E69=Categories!$A$10,Categories!$B$10,IF($E69=Categories!$A$11,Categories!$B$11,IF($E69=Categories!$A$12,Categories!$B$12,IF($E69=Categories!$A$13,Categories!$B$13,IF($E69=Categories!$A$14,Categories!$B$14,IF($E69=Categories!$A$15,Categories!$B$15,IF($E69=Categories!$A$16,Categories!$B$16,IF($E69=Categories!$A$17,Categories!$B$17,IF($E69=Categories!$A$18,Categories!$B$18,IF($E69=Categories!$A$19,Categories!$B$19)))))))))))))))))))</f>
        <v>0</v>
      </c>
      <c r="G69" s="9" t="str">
        <f t="shared" si="0"/>
        <v/>
      </c>
      <c r="H69" s="1" t="str">
        <f t="shared" si="1"/>
        <v/>
      </c>
      <c r="I69" s="1" t="str">
        <f t="shared" si="2"/>
        <v/>
      </c>
      <c r="J69" s="1" t="str">
        <f t="shared" si="3"/>
        <v/>
      </c>
      <c r="K69" s="13" t="str">
        <f t="shared" si="4"/>
        <v/>
      </c>
      <c r="L69" s="9" t="str">
        <f t="shared" si="5"/>
        <v/>
      </c>
      <c r="M69" s="1" t="str">
        <f t="shared" si="6"/>
        <v/>
      </c>
      <c r="N69" s="1" t="str">
        <f t="shared" si="7"/>
        <v/>
      </c>
      <c r="O69" s="1" t="str">
        <f t="shared" si="8"/>
        <v/>
      </c>
      <c r="P69" s="1" t="str">
        <f t="shared" si="9"/>
        <v/>
      </c>
      <c r="Q69" s="1" t="str">
        <f t="shared" si="10"/>
        <v/>
      </c>
      <c r="R69" s="1" t="str">
        <f t="shared" si="11"/>
        <v/>
      </c>
      <c r="S69" s="1" t="str">
        <f t="shared" si="12"/>
        <v/>
      </c>
      <c r="T69" s="1" t="str">
        <f t="shared" si="13"/>
        <v/>
      </c>
      <c r="U69" s="1" t="str">
        <f t="shared" si="14"/>
        <v/>
      </c>
      <c r="V69" s="1" t="str">
        <f t="shared" si="15"/>
        <v/>
      </c>
      <c r="W69" s="26" t="str">
        <f t="shared" si="16"/>
        <v/>
      </c>
      <c r="X69" s="13" t="str">
        <f t="shared" si="17"/>
        <v/>
      </c>
      <c r="Y69" s="9">
        <f t="shared" si="18"/>
        <v>0</v>
      </c>
    </row>
    <row r="70" spans="1:25" x14ac:dyDescent="0.25">
      <c r="A70" s="28"/>
      <c r="B70" s="29"/>
      <c r="C70" s="30"/>
      <c r="D70" s="31"/>
      <c r="E70" s="29" t="s">
        <v>16</v>
      </c>
      <c r="F70" s="13" t="b">
        <f>IF($E70=Categories!$A$1,"",IF($E70=Categories!$A$2,Categories!$B$2,IF($E70=Categories!$A$3,Categories!$B$3,IF($E70=Categories!$A$4,Categories!$B$4,IF($E70=Categories!$A$5,Categories!$B$5,IF($E70=Categories!$A$6,Categories!$B$6,IF($E70=Categories!$A$7,Categories!$B$7,IF($E70=Categories!$A$8,Categories!$B$8,IF($E70=Categories!$A$9,Categories!$B$9,IF($E70=Categories!$A$10,Categories!$B$10,IF($E70=Categories!$A$11,Categories!$B$11,IF($E70=Categories!$A$12,Categories!$B$12,IF($E70=Categories!$A$13,Categories!$B$13,IF($E70=Categories!$A$14,Categories!$B$14,IF($E70=Categories!$A$15,Categories!$B$15,IF($E70=Categories!$A$16,Categories!$B$16,IF($E70=Categories!$A$17,Categories!$B$17,IF($E70=Categories!$A$18,Categories!$B$18,IF($E70=Categories!$A$19,Categories!$B$19)))))))))))))))))))</f>
        <v>0</v>
      </c>
      <c r="G70" s="9" t="str">
        <f t="shared" si="0"/>
        <v/>
      </c>
      <c r="H70" s="1" t="str">
        <f t="shared" si="1"/>
        <v/>
      </c>
      <c r="I70" s="1" t="str">
        <f t="shared" si="2"/>
        <v/>
      </c>
      <c r="J70" s="1" t="str">
        <f t="shared" si="3"/>
        <v/>
      </c>
      <c r="K70" s="13" t="str">
        <f t="shared" si="4"/>
        <v/>
      </c>
      <c r="L70" s="9" t="str">
        <f t="shared" si="5"/>
        <v/>
      </c>
      <c r="M70" s="1" t="str">
        <f t="shared" si="6"/>
        <v/>
      </c>
      <c r="N70" s="1" t="str">
        <f t="shared" si="7"/>
        <v/>
      </c>
      <c r="O70" s="1" t="str">
        <f t="shared" si="8"/>
        <v/>
      </c>
      <c r="P70" s="1" t="str">
        <f t="shared" si="9"/>
        <v/>
      </c>
      <c r="Q70" s="1" t="str">
        <f t="shared" si="10"/>
        <v/>
      </c>
      <c r="R70" s="1" t="str">
        <f t="shared" si="11"/>
        <v/>
      </c>
      <c r="S70" s="1" t="str">
        <f t="shared" si="12"/>
        <v/>
      </c>
      <c r="T70" s="1" t="str">
        <f t="shared" si="13"/>
        <v/>
      </c>
      <c r="U70" s="1" t="str">
        <f t="shared" si="14"/>
        <v/>
      </c>
      <c r="V70" s="1" t="str">
        <f t="shared" si="15"/>
        <v/>
      </c>
      <c r="W70" s="26" t="str">
        <f t="shared" si="16"/>
        <v/>
      </c>
      <c r="X70" s="13" t="str">
        <f t="shared" si="17"/>
        <v/>
      </c>
      <c r="Y70" s="9">
        <f t="shared" si="18"/>
        <v>0</v>
      </c>
    </row>
    <row r="71" spans="1:25" x14ac:dyDescent="0.25">
      <c r="A71" s="28"/>
      <c r="B71" s="29"/>
      <c r="C71" s="30"/>
      <c r="D71" s="31"/>
      <c r="E71" s="29" t="s">
        <v>16</v>
      </c>
      <c r="F71" s="13" t="b">
        <f>IF($E71=Categories!$A$1,"",IF($E71=Categories!$A$2,Categories!$B$2,IF($E71=Categories!$A$3,Categories!$B$3,IF($E71=Categories!$A$4,Categories!$B$4,IF($E71=Categories!$A$5,Categories!$B$5,IF($E71=Categories!$A$6,Categories!$B$6,IF($E71=Categories!$A$7,Categories!$B$7,IF($E71=Categories!$A$8,Categories!$B$8,IF($E71=Categories!$A$9,Categories!$B$9,IF($E71=Categories!$A$10,Categories!$B$10,IF($E71=Categories!$A$11,Categories!$B$11,IF($E71=Categories!$A$12,Categories!$B$12,IF($E71=Categories!$A$13,Categories!$B$13,IF($E71=Categories!$A$14,Categories!$B$14,IF($E71=Categories!$A$15,Categories!$B$15,IF($E71=Categories!$A$16,Categories!$B$16,IF($E71=Categories!$A$17,Categories!$B$17,IF($E71=Categories!$A$18,Categories!$B$18,IF($E71=Categories!$A$19,Categories!$B$19)))))))))))))))))))</f>
        <v>0</v>
      </c>
      <c r="G71" s="9" t="str">
        <f t="shared" ref="G71:G95" si="19">IF($F71="Inc1",$D71,"")</f>
        <v/>
      </c>
      <c r="H71" s="1" t="str">
        <f t="shared" ref="H71:H95" si="20">IF($F71="Inc2",$D71,"")</f>
        <v/>
      </c>
      <c r="I71" s="1" t="str">
        <f t="shared" ref="I71:I95" si="21">IF($F71="Int",$D71,"")</f>
        <v/>
      </c>
      <c r="J71" s="1" t="str">
        <f t="shared" ref="J71:J95" si="22">IF($F71="Inc4",$D71,"")</f>
        <v/>
      </c>
      <c r="K71" s="13" t="str">
        <f t="shared" ref="K71:K95" si="23">IF($F71="Inc5",$D71,"")</f>
        <v/>
      </c>
      <c r="L71" s="9" t="str">
        <f t="shared" ref="L71:L95" si="24">IF($F71="ExpA",$D71,"")</f>
        <v/>
      </c>
      <c r="M71" s="1" t="str">
        <f t="shared" ref="M71:M95" si="25">IF($F71="ExpB",$D71,"")</f>
        <v/>
      </c>
      <c r="N71" s="1" t="str">
        <f t="shared" ref="N71:N95" si="26">IF($F71="ExpC",$D71,"")</f>
        <v/>
      </c>
      <c r="O71" s="1" t="str">
        <f t="shared" ref="O71:O95" si="27">IF($F71="ExpD",$D71,"")</f>
        <v/>
      </c>
      <c r="P71" s="1" t="str">
        <f t="shared" ref="P71:P95" si="28">IF($F71="ExpE",$D71,"")</f>
        <v/>
      </c>
      <c r="Q71" s="1" t="str">
        <f t="shared" ref="Q71:Q95" si="29">IF($F71="ExpF",$D71,"")</f>
        <v/>
      </c>
      <c r="R71" s="1" t="str">
        <f t="shared" ref="R71:R95" si="30">IF($F71="ExpG",$D71,"")</f>
        <v/>
      </c>
      <c r="S71" s="1" t="str">
        <f t="shared" ref="S71:S95" si="31">IF($F71="ExpH",$D71,"")</f>
        <v/>
      </c>
      <c r="T71" s="1" t="str">
        <f t="shared" ref="T71:T95" si="32">IF($F71="ExpI",$D71,"")</f>
        <v/>
      </c>
      <c r="U71" s="1" t="str">
        <f t="shared" ref="U71:U95" si="33">IF($F71="ExpJ",$D71,"")</f>
        <v/>
      </c>
      <c r="V71" s="1" t="str">
        <f t="shared" ref="V71:V95" si="34">IF($F71="ExpK",$D71,"")</f>
        <v/>
      </c>
      <c r="W71" s="26" t="str">
        <f t="shared" ref="W71:W95" si="35">IF($F71="ExpL",$D71,"")</f>
        <v/>
      </c>
      <c r="X71" s="13" t="str">
        <f t="shared" ref="X71:X95" si="36">IF($F71="Expm",$D71,"")</f>
        <v/>
      </c>
      <c r="Y71" s="9">
        <f t="shared" si="18"/>
        <v>0</v>
      </c>
    </row>
    <row r="72" spans="1:25" x14ac:dyDescent="0.25">
      <c r="A72" s="28"/>
      <c r="B72" s="29"/>
      <c r="C72" s="30"/>
      <c r="D72" s="31"/>
      <c r="E72" s="29" t="s">
        <v>16</v>
      </c>
      <c r="F72" s="13" t="b">
        <f>IF($E72=Categories!$A$1,"",IF($E72=Categories!$A$2,Categories!$B$2,IF($E72=Categories!$A$3,Categories!$B$3,IF($E72=Categories!$A$4,Categories!$B$4,IF($E72=Categories!$A$5,Categories!$B$5,IF($E72=Categories!$A$6,Categories!$B$6,IF($E72=Categories!$A$7,Categories!$B$7,IF($E72=Categories!$A$8,Categories!$B$8,IF($E72=Categories!$A$9,Categories!$B$9,IF($E72=Categories!$A$10,Categories!$B$10,IF($E72=Categories!$A$11,Categories!$B$11,IF($E72=Categories!$A$12,Categories!$B$12,IF($E72=Categories!$A$13,Categories!$B$13,IF($E72=Categories!$A$14,Categories!$B$14,IF($E72=Categories!$A$15,Categories!$B$15,IF($E72=Categories!$A$16,Categories!$B$16,IF($E72=Categories!$A$17,Categories!$B$17,IF($E72=Categories!$A$18,Categories!$B$18,IF($E72=Categories!$A$19,Categories!$B$19)))))))))))))))))))</f>
        <v>0</v>
      </c>
      <c r="G72" s="9" t="str">
        <f t="shared" si="19"/>
        <v/>
      </c>
      <c r="H72" s="1" t="str">
        <f t="shared" si="20"/>
        <v/>
      </c>
      <c r="I72" s="1" t="str">
        <f t="shared" si="21"/>
        <v/>
      </c>
      <c r="J72" s="1" t="str">
        <f t="shared" si="22"/>
        <v/>
      </c>
      <c r="K72" s="13" t="str">
        <f t="shared" si="23"/>
        <v/>
      </c>
      <c r="L72" s="9" t="str">
        <f t="shared" si="24"/>
        <v/>
      </c>
      <c r="M72" s="1" t="str">
        <f t="shared" si="25"/>
        <v/>
      </c>
      <c r="N72" s="1" t="str">
        <f t="shared" si="26"/>
        <v/>
      </c>
      <c r="O72" s="1" t="str">
        <f t="shared" si="27"/>
        <v/>
      </c>
      <c r="P72" s="1" t="str">
        <f t="shared" si="28"/>
        <v/>
      </c>
      <c r="Q72" s="1" t="str">
        <f t="shared" si="29"/>
        <v/>
      </c>
      <c r="R72" s="1" t="str">
        <f t="shared" si="30"/>
        <v/>
      </c>
      <c r="S72" s="1" t="str">
        <f t="shared" si="31"/>
        <v/>
      </c>
      <c r="T72" s="1" t="str">
        <f t="shared" si="32"/>
        <v/>
      </c>
      <c r="U72" s="1" t="str">
        <f t="shared" si="33"/>
        <v/>
      </c>
      <c r="V72" s="1" t="str">
        <f t="shared" si="34"/>
        <v/>
      </c>
      <c r="W72" s="26" t="str">
        <f t="shared" si="35"/>
        <v/>
      </c>
      <c r="X72" s="13" t="str">
        <f t="shared" si="36"/>
        <v/>
      </c>
      <c r="Y72" s="9">
        <f t="shared" ref="Y72:Y95" si="37">Y71+SUM(G72:K72)-SUM(L72:X72)</f>
        <v>0</v>
      </c>
    </row>
    <row r="73" spans="1:25" x14ac:dyDescent="0.25">
      <c r="A73" s="28"/>
      <c r="B73" s="29"/>
      <c r="C73" s="30"/>
      <c r="D73" s="31"/>
      <c r="E73" s="29" t="s">
        <v>16</v>
      </c>
      <c r="F73" s="13" t="b">
        <f>IF($E73=Categories!$A$1,"",IF($E73=Categories!$A$2,Categories!$B$2,IF($E73=Categories!$A$3,Categories!$B$3,IF($E73=Categories!$A$4,Categories!$B$4,IF($E73=Categories!$A$5,Categories!$B$5,IF($E73=Categories!$A$6,Categories!$B$6,IF($E73=Categories!$A$7,Categories!$B$7,IF($E73=Categories!$A$8,Categories!$B$8,IF($E73=Categories!$A$9,Categories!$B$9,IF($E73=Categories!$A$10,Categories!$B$10,IF($E73=Categories!$A$11,Categories!$B$11,IF($E73=Categories!$A$12,Categories!$B$12,IF($E73=Categories!$A$13,Categories!$B$13,IF($E73=Categories!$A$14,Categories!$B$14,IF($E73=Categories!$A$15,Categories!$B$15,IF($E73=Categories!$A$16,Categories!$B$16,IF($E73=Categories!$A$17,Categories!$B$17,IF($E73=Categories!$A$18,Categories!$B$18,IF($E73=Categories!$A$19,Categories!$B$19)))))))))))))))))))</f>
        <v>0</v>
      </c>
      <c r="G73" s="9" t="str">
        <f t="shared" si="19"/>
        <v/>
      </c>
      <c r="H73" s="1" t="str">
        <f t="shared" si="20"/>
        <v/>
      </c>
      <c r="I73" s="1" t="str">
        <f t="shared" si="21"/>
        <v/>
      </c>
      <c r="J73" s="1" t="str">
        <f t="shared" si="22"/>
        <v/>
      </c>
      <c r="K73" s="13" t="str">
        <f t="shared" si="23"/>
        <v/>
      </c>
      <c r="L73" s="9" t="str">
        <f t="shared" si="24"/>
        <v/>
      </c>
      <c r="M73" s="1" t="str">
        <f t="shared" si="25"/>
        <v/>
      </c>
      <c r="N73" s="1" t="str">
        <f t="shared" si="26"/>
        <v/>
      </c>
      <c r="O73" s="1" t="str">
        <f t="shared" si="27"/>
        <v/>
      </c>
      <c r="P73" s="1" t="str">
        <f t="shared" si="28"/>
        <v/>
      </c>
      <c r="Q73" s="1" t="str">
        <f t="shared" si="29"/>
        <v/>
      </c>
      <c r="R73" s="1" t="str">
        <f t="shared" si="30"/>
        <v/>
      </c>
      <c r="S73" s="1" t="str">
        <f t="shared" si="31"/>
        <v/>
      </c>
      <c r="T73" s="1" t="str">
        <f t="shared" si="32"/>
        <v/>
      </c>
      <c r="U73" s="1" t="str">
        <f t="shared" si="33"/>
        <v/>
      </c>
      <c r="V73" s="1" t="str">
        <f t="shared" si="34"/>
        <v/>
      </c>
      <c r="W73" s="26" t="str">
        <f t="shared" si="35"/>
        <v/>
      </c>
      <c r="X73" s="13" t="str">
        <f t="shared" si="36"/>
        <v/>
      </c>
      <c r="Y73" s="9">
        <f t="shared" si="37"/>
        <v>0</v>
      </c>
    </row>
    <row r="74" spans="1:25" x14ac:dyDescent="0.25">
      <c r="A74" s="28"/>
      <c r="B74" s="29"/>
      <c r="C74" s="30"/>
      <c r="D74" s="31"/>
      <c r="E74" s="29" t="s">
        <v>16</v>
      </c>
      <c r="F74" s="13" t="b">
        <f>IF($E74=Categories!$A$1,"",IF($E74=Categories!$A$2,Categories!$B$2,IF($E74=Categories!$A$3,Categories!$B$3,IF($E74=Categories!$A$4,Categories!$B$4,IF($E74=Categories!$A$5,Categories!$B$5,IF($E74=Categories!$A$6,Categories!$B$6,IF($E74=Categories!$A$7,Categories!$B$7,IF($E74=Categories!$A$8,Categories!$B$8,IF($E74=Categories!$A$9,Categories!$B$9,IF($E74=Categories!$A$10,Categories!$B$10,IF($E74=Categories!$A$11,Categories!$B$11,IF($E74=Categories!$A$12,Categories!$B$12,IF($E74=Categories!$A$13,Categories!$B$13,IF($E74=Categories!$A$14,Categories!$B$14,IF($E74=Categories!$A$15,Categories!$B$15,IF($E74=Categories!$A$16,Categories!$B$16,IF($E74=Categories!$A$17,Categories!$B$17,IF($E74=Categories!$A$18,Categories!$B$18,IF($E74=Categories!$A$19,Categories!$B$19)))))))))))))))))))</f>
        <v>0</v>
      </c>
      <c r="G74" s="9" t="str">
        <f t="shared" si="19"/>
        <v/>
      </c>
      <c r="H74" s="1" t="str">
        <f t="shared" si="20"/>
        <v/>
      </c>
      <c r="I74" s="1" t="str">
        <f t="shared" si="21"/>
        <v/>
      </c>
      <c r="J74" s="1" t="str">
        <f t="shared" si="22"/>
        <v/>
      </c>
      <c r="K74" s="13" t="str">
        <f t="shared" si="23"/>
        <v/>
      </c>
      <c r="L74" s="9" t="str">
        <f t="shared" si="24"/>
        <v/>
      </c>
      <c r="M74" s="1" t="str">
        <f t="shared" si="25"/>
        <v/>
      </c>
      <c r="N74" s="1" t="str">
        <f t="shared" si="26"/>
        <v/>
      </c>
      <c r="O74" s="1" t="str">
        <f t="shared" si="27"/>
        <v/>
      </c>
      <c r="P74" s="1" t="str">
        <f t="shared" si="28"/>
        <v/>
      </c>
      <c r="Q74" s="1" t="str">
        <f t="shared" si="29"/>
        <v/>
      </c>
      <c r="R74" s="1" t="str">
        <f t="shared" si="30"/>
        <v/>
      </c>
      <c r="S74" s="1" t="str">
        <f t="shared" si="31"/>
        <v/>
      </c>
      <c r="T74" s="1" t="str">
        <f t="shared" si="32"/>
        <v/>
      </c>
      <c r="U74" s="1" t="str">
        <f t="shared" si="33"/>
        <v/>
      </c>
      <c r="V74" s="1" t="str">
        <f t="shared" si="34"/>
        <v/>
      </c>
      <c r="W74" s="26" t="str">
        <f t="shared" si="35"/>
        <v/>
      </c>
      <c r="X74" s="13" t="str">
        <f t="shared" si="36"/>
        <v/>
      </c>
      <c r="Y74" s="9">
        <f t="shared" si="37"/>
        <v>0</v>
      </c>
    </row>
    <row r="75" spans="1:25" x14ac:dyDescent="0.25">
      <c r="A75" s="28"/>
      <c r="B75" s="29"/>
      <c r="C75" s="30"/>
      <c r="D75" s="31"/>
      <c r="E75" s="29" t="s">
        <v>16</v>
      </c>
      <c r="F75" s="13" t="b">
        <f>IF($E75=Categories!$A$1,"",IF($E75=Categories!$A$2,Categories!$B$2,IF($E75=Categories!$A$3,Categories!$B$3,IF($E75=Categories!$A$4,Categories!$B$4,IF($E75=Categories!$A$5,Categories!$B$5,IF($E75=Categories!$A$6,Categories!$B$6,IF($E75=Categories!$A$7,Categories!$B$7,IF($E75=Categories!$A$8,Categories!$B$8,IF($E75=Categories!$A$9,Categories!$B$9,IF($E75=Categories!$A$10,Categories!$B$10,IF($E75=Categories!$A$11,Categories!$B$11,IF($E75=Categories!$A$12,Categories!$B$12,IF($E75=Categories!$A$13,Categories!$B$13,IF($E75=Categories!$A$14,Categories!$B$14,IF($E75=Categories!$A$15,Categories!$B$15,IF($E75=Categories!$A$16,Categories!$B$16,IF($E75=Categories!$A$17,Categories!$B$17,IF($E75=Categories!$A$18,Categories!$B$18,IF($E75=Categories!$A$19,Categories!$B$19)))))))))))))))))))</f>
        <v>0</v>
      </c>
      <c r="G75" s="9" t="str">
        <f t="shared" si="19"/>
        <v/>
      </c>
      <c r="H75" s="1" t="str">
        <f t="shared" si="20"/>
        <v/>
      </c>
      <c r="I75" s="1" t="str">
        <f t="shared" si="21"/>
        <v/>
      </c>
      <c r="J75" s="1" t="str">
        <f t="shared" si="22"/>
        <v/>
      </c>
      <c r="K75" s="13" t="str">
        <f t="shared" si="23"/>
        <v/>
      </c>
      <c r="L75" s="9" t="str">
        <f t="shared" si="24"/>
        <v/>
      </c>
      <c r="M75" s="1" t="str">
        <f t="shared" si="25"/>
        <v/>
      </c>
      <c r="N75" s="1" t="str">
        <f t="shared" si="26"/>
        <v/>
      </c>
      <c r="O75" s="1" t="str">
        <f t="shared" si="27"/>
        <v/>
      </c>
      <c r="P75" s="1" t="str">
        <f t="shared" si="28"/>
        <v/>
      </c>
      <c r="Q75" s="1" t="str">
        <f t="shared" si="29"/>
        <v/>
      </c>
      <c r="R75" s="1" t="str">
        <f t="shared" si="30"/>
        <v/>
      </c>
      <c r="S75" s="1" t="str">
        <f t="shared" si="31"/>
        <v/>
      </c>
      <c r="T75" s="1" t="str">
        <f t="shared" si="32"/>
        <v/>
      </c>
      <c r="U75" s="1" t="str">
        <f t="shared" si="33"/>
        <v/>
      </c>
      <c r="V75" s="1" t="str">
        <f t="shared" si="34"/>
        <v/>
      </c>
      <c r="W75" s="26" t="str">
        <f t="shared" si="35"/>
        <v/>
      </c>
      <c r="X75" s="13" t="str">
        <f t="shared" si="36"/>
        <v/>
      </c>
      <c r="Y75" s="9">
        <f t="shared" si="37"/>
        <v>0</v>
      </c>
    </row>
    <row r="76" spans="1:25" x14ac:dyDescent="0.25">
      <c r="A76" s="28"/>
      <c r="B76" s="29"/>
      <c r="C76" s="30"/>
      <c r="D76" s="31"/>
      <c r="E76" s="29" t="s">
        <v>16</v>
      </c>
      <c r="F76" s="13" t="b">
        <f>IF($E76=Categories!$A$1,"",IF($E76=Categories!$A$2,Categories!$B$2,IF($E76=Categories!$A$3,Categories!$B$3,IF($E76=Categories!$A$4,Categories!$B$4,IF($E76=Categories!$A$5,Categories!$B$5,IF($E76=Categories!$A$6,Categories!$B$6,IF($E76=Categories!$A$7,Categories!$B$7,IF($E76=Categories!$A$8,Categories!$B$8,IF($E76=Categories!$A$9,Categories!$B$9,IF($E76=Categories!$A$10,Categories!$B$10,IF($E76=Categories!$A$11,Categories!$B$11,IF($E76=Categories!$A$12,Categories!$B$12,IF($E76=Categories!$A$13,Categories!$B$13,IF($E76=Categories!$A$14,Categories!$B$14,IF($E76=Categories!$A$15,Categories!$B$15,IF($E76=Categories!$A$16,Categories!$B$16,IF($E76=Categories!$A$17,Categories!$B$17,IF($E76=Categories!$A$18,Categories!$B$18,IF($E76=Categories!$A$19,Categories!$B$19)))))))))))))))))))</f>
        <v>0</v>
      </c>
      <c r="G76" s="9" t="str">
        <f t="shared" si="19"/>
        <v/>
      </c>
      <c r="H76" s="1" t="str">
        <f t="shared" si="20"/>
        <v/>
      </c>
      <c r="I76" s="1" t="str">
        <f t="shared" si="21"/>
        <v/>
      </c>
      <c r="J76" s="1" t="str">
        <f t="shared" si="22"/>
        <v/>
      </c>
      <c r="K76" s="13" t="str">
        <f t="shared" si="23"/>
        <v/>
      </c>
      <c r="L76" s="9" t="str">
        <f t="shared" si="24"/>
        <v/>
      </c>
      <c r="M76" s="1" t="str">
        <f t="shared" si="25"/>
        <v/>
      </c>
      <c r="N76" s="1" t="str">
        <f t="shared" si="26"/>
        <v/>
      </c>
      <c r="O76" s="1" t="str">
        <f t="shared" si="27"/>
        <v/>
      </c>
      <c r="P76" s="1" t="str">
        <f t="shared" si="28"/>
        <v/>
      </c>
      <c r="Q76" s="1" t="str">
        <f t="shared" si="29"/>
        <v/>
      </c>
      <c r="R76" s="1" t="str">
        <f t="shared" si="30"/>
        <v/>
      </c>
      <c r="S76" s="1" t="str">
        <f t="shared" si="31"/>
        <v/>
      </c>
      <c r="T76" s="1" t="str">
        <f t="shared" si="32"/>
        <v/>
      </c>
      <c r="U76" s="1" t="str">
        <f t="shared" si="33"/>
        <v/>
      </c>
      <c r="V76" s="1" t="str">
        <f t="shared" si="34"/>
        <v/>
      </c>
      <c r="W76" s="26" t="str">
        <f t="shared" si="35"/>
        <v/>
      </c>
      <c r="X76" s="13" t="str">
        <f t="shared" si="36"/>
        <v/>
      </c>
      <c r="Y76" s="9">
        <f t="shared" si="37"/>
        <v>0</v>
      </c>
    </row>
    <row r="77" spans="1:25" x14ac:dyDescent="0.25">
      <c r="A77" s="28"/>
      <c r="B77" s="29"/>
      <c r="C77" s="30"/>
      <c r="D77" s="31"/>
      <c r="E77" s="29" t="s">
        <v>16</v>
      </c>
      <c r="F77" s="13" t="b">
        <f>IF($E77=Categories!$A$1,"",IF($E77=Categories!$A$2,Categories!$B$2,IF($E77=Categories!$A$3,Categories!$B$3,IF($E77=Categories!$A$4,Categories!$B$4,IF($E77=Categories!$A$5,Categories!$B$5,IF($E77=Categories!$A$6,Categories!$B$6,IF($E77=Categories!$A$7,Categories!$B$7,IF($E77=Categories!$A$8,Categories!$B$8,IF($E77=Categories!$A$9,Categories!$B$9,IF($E77=Categories!$A$10,Categories!$B$10,IF($E77=Categories!$A$11,Categories!$B$11,IF($E77=Categories!$A$12,Categories!$B$12,IF($E77=Categories!$A$13,Categories!$B$13,IF($E77=Categories!$A$14,Categories!$B$14,IF($E77=Categories!$A$15,Categories!$B$15,IF($E77=Categories!$A$16,Categories!$B$16,IF($E77=Categories!$A$17,Categories!$B$17,IF($E77=Categories!$A$18,Categories!$B$18,IF($E77=Categories!$A$19,Categories!$B$19)))))))))))))))))))</f>
        <v>0</v>
      </c>
      <c r="G77" s="9" t="str">
        <f t="shared" si="19"/>
        <v/>
      </c>
      <c r="H77" s="1" t="str">
        <f t="shared" si="20"/>
        <v/>
      </c>
      <c r="I77" s="1" t="str">
        <f t="shared" si="21"/>
        <v/>
      </c>
      <c r="J77" s="1" t="str">
        <f t="shared" si="22"/>
        <v/>
      </c>
      <c r="K77" s="13" t="str">
        <f t="shared" si="23"/>
        <v/>
      </c>
      <c r="L77" s="9" t="str">
        <f t="shared" si="24"/>
        <v/>
      </c>
      <c r="M77" s="1" t="str">
        <f t="shared" si="25"/>
        <v/>
      </c>
      <c r="N77" s="1" t="str">
        <f t="shared" si="26"/>
        <v/>
      </c>
      <c r="O77" s="1" t="str">
        <f t="shared" si="27"/>
        <v/>
      </c>
      <c r="P77" s="1" t="str">
        <f t="shared" si="28"/>
        <v/>
      </c>
      <c r="Q77" s="1" t="str">
        <f t="shared" si="29"/>
        <v/>
      </c>
      <c r="R77" s="1" t="str">
        <f t="shared" si="30"/>
        <v/>
      </c>
      <c r="S77" s="1" t="str">
        <f t="shared" si="31"/>
        <v/>
      </c>
      <c r="T77" s="1" t="str">
        <f t="shared" si="32"/>
        <v/>
      </c>
      <c r="U77" s="1" t="str">
        <f t="shared" si="33"/>
        <v/>
      </c>
      <c r="V77" s="1" t="str">
        <f t="shared" si="34"/>
        <v/>
      </c>
      <c r="W77" s="26" t="str">
        <f t="shared" si="35"/>
        <v/>
      </c>
      <c r="X77" s="13" t="str">
        <f t="shared" si="36"/>
        <v/>
      </c>
      <c r="Y77" s="9">
        <f t="shared" si="37"/>
        <v>0</v>
      </c>
    </row>
    <row r="78" spans="1:25" x14ac:dyDescent="0.25">
      <c r="A78" s="28"/>
      <c r="B78" s="29"/>
      <c r="C78" s="30"/>
      <c r="D78" s="31"/>
      <c r="E78" s="29" t="s">
        <v>16</v>
      </c>
      <c r="F78" s="13" t="b">
        <f>IF($E78=Categories!$A$1,"",IF($E78=Categories!$A$2,Categories!$B$2,IF($E78=Categories!$A$3,Categories!$B$3,IF($E78=Categories!$A$4,Categories!$B$4,IF($E78=Categories!$A$5,Categories!$B$5,IF($E78=Categories!$A$6,Categories!$B$6,IF($E78=Categories!$A$7,Categories!$B$7,IF($E78=Categories!$A$8,Categories!$B$8,IF($E78=Categories!$A$9,Categories!$B$9,IF($E78=Categories!$A$10,Categories!$B$10,IF($E78=Categories!$A$11,Categories!$B$11,IF($E78=Categories!$A$12,Categories!$B$12,IF($E78=Categories!$A$13,Categories!$B$13,IF($E78=Categories!$A$14,Categories!$B$14,IF($E78=Categories!$A$15,Categories!$B$15,IF($E78=Categories!$A$16,Categories!$B$16,IF($E78=Categories!$A$17,Categories!$B$17,IF($E78=Categories!$A$18,Categories!$B$18,IF($E78=Categories!$A$19,Categories!$B$19)))))))))))))))))))</f>
        <v>0</v>
      </c>
      <c r="G78" s="9" t="str">
        <f t="shared" si="19"/>
        <v/>
      </c>
      <c r="H78" s="1" t="str">
        <f t="shared" si="20"/>
        <v/>
      </c>
      <c r="I78" s="1" t="str">
        <f t="shared" si="21"/>
        <v/>
      </c>
      <c r="J78" s="1" t="str">
        <f t="shared" si="22"/>
        <v/>
      </c>
      <c r="K78" s="13" t="str">
        <f t="shared" si="23"/>
        <v/>
      </c>
      <c r="L78" s="9" t="str">
        <f t="shared" si="24"/>
        <v/>
      </c>
      <c r="M78" s="1" t="str">
        <f t="shared" si="25"/>
        <v/>
      </c>
      <c r="N78" s="1" t="str">
        <f t="shared" si="26"/>
        <v/>
      </c>
      <c r="O78" s="1" t="str">
        <f t="shared" si="27"/>
        <v/>
      </c>
      <c r="P78" s="1" t="str">
        <f t="shared" si="28"/>
        <v/>
      </c>
      <c r="Q78" s="1" t="str">
        <f t="shared" si="29"/>
        <v/>
      </c>
      <c r="R78" s="1" t="str">
        <f t="shared" si="30"/>
        <v/>
      </c>
      <c r="S78" s="1" t="str">
        <f t="shared" si="31"/>
        <v/>
      </c>
      <c r="T78" s="1" t="str">
        <f t="shared" si="32"/>
        <v/>
      </c>
      <c r="U78" s="1" t="str">
        <f t="shared" si="33"/>
        <v/>
      </c>
      <c r="V78" s="1" t="str">
        <f t="shared" si="34"/>
        <v/>
      </c>
      <c r="W78" s="26" t="str">
        <f t="shared" si="35"/>
        <v/>
      </c>
      <c r="X78" s="13" t="str">
        <f t="shared" si="36"/>
        <v/>
      </c>
      <c r="Y78" s="9">
        <f t="shared" si="37"/>
        <v>0</v>
      </c>
    </row>
    <row r="79" spans="1:25" x14ac:dyDescent="0.25">
      <c r="A79" s="28"/>
      <c r="B79" s="29"/>
      <c r="C79" s="30"/>
      <c r="D79" s="31"/>
      <c r="E79" s="29" t="s">
        <v>16</v>
      </c>
      <c r="F79" s="13" t="b">
        <f>IF($E79=Categories!$A$1,"",IF($E79=Categories!$A$2,Categories!$B$2,IF($E79=Categories!$A$3,Categories!$B$3,IF($E79=Categories!$A$4,Categories!$B$4,IF($E79=Categories!$A$5,Categories!$B$5,IF($E79=Categories!$A$6,Categories!$B$6,IF($E79=Categories!$A$7,Categories!$B$7,IF($E79=Categories!$A$8,Categories!$B$8,IF($E79=Categories!$A$9,Categories!$B$9,IF($E79=Categories!$A$10,Categories!$B$10,IF($E79=Categories!$A$11,Categories!$B$11,IF($E79=Categories!$A$12,Categories!$B$12,IF($E79=Categories!$A$13,Categories!$B$13,IF($E79=Categories!$A$14,Categories!$B$14,IF($E79=Categories!$A$15,Categories!$B$15,IF($E79=Categories!$A$16,Categories!$B$16,IF($E79=Categories!$A$17,Categories!$B$17,IF($E79=Categories!$A$18,Categories!$B$18,IF($E79=Categories!$A$19,Categories!$B$19)))))))))))))))))))</f>
        <v>0</v>
      </c>
      <c r="G79" s="9" t="str">
        <f t="shared" si="19"/>
        <v/>
      </c>
      <c r="H79" s="1" t="str">
        <f t="shared" si="20"/>
        <v/>
      </c>
      <c r="I79" s="1" t="str">
        <f t="shared" si="21"/>
        <v/>
      </c>
      <c r="J79" s="1" t="str">
        <f t="shared" si="22"/>
        <v/>
      </c>
      <c r="K79" s="13" t="str">
        <f t="shared" si="23"/>
        <v/>
      </c>
      <c r="L79" s="9" t="str">
        <f t="shared" si="24"/>
        <v/>
      </c>
      <c r="M79" s="1" t="str">
        <f t="shared" si="25"/>
        <v/>
      </c>
      <c r="N79" s="1" t="str">
        <f t="shared" si="26"/>
        <v/>
      </c>
      <c r="O79" s="1" t="str">
        <f t="shared" si="27"/>
        <v/>
      </c>
      <c r="P79" s="1" t="str">
        <f t="shared" si="28"/>
        <v/>
      </c>
      <c r="Q79" s="1" t="str">
        <f t="shared" si="29"/>
        <v/>
      </c>
      <c r="R79" s="1" t="str">
        <f t="shared" si="30"/>
        <v/>
      </c>
      <c r="S79" s="1" t="str">
        <f t="shared" si="31"/>
        <v/>
      </c>
      <c r="T79" s="1" t="str">
        <f t="shared" si="32"/>
        <v/>
      </c>
      <c r="U79" s="1" t="str">
        <f t="shared" si="33"/>
        <v/>
      </c>
      <c r="V79" s="1" t="str">
        <f t="shared" si="34"/>
        <v/>
      </c>
      <c r="W79" s="26" t="str">
        <f t="shared" si="35"/>
        <v/>
      </c>
      <c r="X79" s="13" t="str">
        <f t="shared" si="36"/>
        <v/>
      </c>
      <c r="Y79" s="9">
        <f t="shared" si="37"/>
        <v>0</v>
      </c>
    </row>
    <row r="80" spans="1:25" x14ac:dyDescent="0.25">
      <c r="A80" s="28"/>
      <c r="B80" s="29"/>
      <c r="C80" s="30"/>
      <c r="D80" s="31"/>
      <c r="E80" s="29" t="s">
        <v>16</v>
      </c>
      <c r="F80" s="13" t="b">
        <f>IF($E80=Categories!$A$1,"",IF($E80=Categories!$A$2,Categories!$B$2,IF($E80=Categories!$A$3,Categories!$B$3,IF($E80=Categories!$A$4,Categories!$B$4,IF($E80=Categories!$A$5,Categories!$B$5,IF($E80=Categories!$A$6,Categories!$B$6,IF($E80=Categories!$A$7,Categories!$B$7,IF($E80=Categories!$A$8,Categories!$B$8,IF($E80=Categories!$A$9,Categories!$B$9,IF($E80=Categories!$A$10,Categories!$B$10,IF($E80=Categories!$A$11,Categories!$B$11,IF($E80=Categories!$A$12,Categories!$B$12,IF($E80=Categories!$A$13,Categories!$B$13,IF($E80=Categories!$A$14,Categories!$B$14,IF($E80=Categories!$A$15,Categories!$B$15,IF($E80=Categories!$A$16,Categories!$B$16,IF($E80=Categories!$A$17,Categories!$B$17,IF($E80=Categories!$A$18,Categories!$B$18,IF($E80=Categories!$A$19,Categories!$B$19)))))))))))))))))))</f>
        <v>0</v>
      </c>
      <c r="G80" s="9" t="str">
        <f t="shared" si="19"/>
        <v/>
      </c>
      <c r="H80" s="1" t="str">
        <f t="shared" si="20"/>
        <v/>
      </c>
      <c r="I80" s="1" t="str">
        <f t="shared" si="21"/>
        <v/>
      </c>
      <c r="J80" s="1" t="str">
        <f t="shared" si="22"/>
        <v/>
      </c>
      <c r="K80" s="13" t="str">
        <f t="shared" si="23"/>
        <v/>
      </c>
      <c r="L80" s="9" t="str">
        <f t="shared" si="24"/>
        <v/>
      </c>
      <c r="M80" s="1" t="str">
        <f t="shared" si="25"/>
        <v/>
      </c>
      <c r="N80" s="1" t="str">
        <f t="shared" si="26"/>
        <v/>
      </c>
      <c r="O80" s="1" t="str">
        <f t="shared" si="27"/>
        <v/>
      </c>
      <c r="P80" s="1" t="str">
        <f t="shared" si="28"/>
        <v/>
      </c>
      <c r="Q80" s="1" t="str">
        <f t="shared" si="29"/>
        <v/>
      </c>
      <c r="R80" s="1" t="str">
        <f t="shared" si="30"/>
        <v/>
      </c>
      <c r="S80" s="1" t="str">
        <f t="shared" si="31"/>
        <v/>
      </c>
      <c r="T80" s="1" t="str">
        <f t="shared" si="32"/>
        <v/>
      </c>
      <c r="U80" s="1" t="str">
        <f t="shared" si="33"/>
        <v/>
      </c>
      <c r="V80" s="1" t="str">
        <f t="shared" si="34"/>
        <v/>
      </c>
      <c r="W80" s="26" t="str">
        <f t="shared" si="35"/>
        <v/>
      </c>
      <c r="X80" s="13" t="str">
        <f t="shared" si="36"/>
        <v/>
      </c>
      <c r="Y80" s="9">
        <f t="shared" si="37"/>
        <v>0</v>
      </c>
    </row>
    <row r="81" spans="1:25" x14ac:dyDescent="0.25">
      <c r="A81" s="28"/>
      <c r="B81" s="29"/>
      <c r="C81" s="30"/>
      <c r="D81" s="31"/>
      <c r="E81" s="29" t="s">
        <v>16</v>
      </c>
      <c r="F81" s="13" t="b">
        <f>IF($E81=Categories!$A$1,"",IF($E81=Categories!$A$2,Categories!$B$2,IF($E81=Categories!$A$3,Categories!$B$3,IF($E81=Categories!$A$4,Categories!$B$4,IF($E81=Categories!$A$5,Categories!$B$5,IF($E81=Categories!$A$6,Categories!$B$6,IF($E81=Categories!$A$7,Categories!$B$7,IF($E81=Categories!$A$8,Categories!$B$8,IF($E81=Categories!$A$9,Categories!$B$9,IF($E81=Categories!$A$10,Categories!$B$10,IF($E81=Categories!$A$11,Categories!$B$11,IF($E81=Categories!$A$12,Categories!$B$12,IF($E81=Categories!$A$13,Categories!$B$13,IF($E81=Categories!$A$14,Categories!$B$14,IF($E81=Categories!$A$15,Categories!$B$15,IF($E81=Categories!$A$16,Categories!$B$16,IF($E81=Categories!$A$17,Categories!$B$17,IF($E81=Categories!$A$18,Categories!$B$18,IF($E81=Categories!$A$19,Categories!$B$19)))))))))))))))))))</f>
        <v>0</v>
      </c>
      <c r="G81" s="9" t="str">
        <f t="shared" si="19"/>
        <v/>
      </c>
      <c r="H81" s="1" t="str">
        <f t="shared" si="20"/>
        <v/>
      </c>
      <c r="I81" s="1" t="str">
        <f t="shared" si="21"/>
        <v/>
      </c>
      <c r="J81" s="1" t="str">
        <f t="shared" si="22"/>
        <v/>
      </c>
      <c r="K81" s="13" t="str">
        <f t="shared" si="23"/>
        <v/>
      </c>
      <c r="L81" s="9" t="str">
        <f t="shared" si="24"/>
        <v/>
      </c>
      <c r="M81" s="1" t="str">
        <f t="shared" si="25"/>
        <v/>
      </c>
      <c r="N81" s="1" t="str">
        <f t="shared" si="26"/>
        <v/>
      </c>
      <c r="O81" s="1" t="str">
        <f t="shared" si="27"/>
        <v/>
      </c>
      <c r="P81" s="1" t="str">
        <f t="shared" si="28"/>
        <v/>
      </c>
      <c r="Q81" s="1" t="str">
        <f t="shared" si="29"/>
        <v/>
      </c>
      <c r="R81" s="1" t="str">
        <f t="shared" si="30"/>
        <v/>
      </c>
      <c r="S81" s="1" t="str">
        <f t="shared" si="31"/>
        <v/>
      </c>
      <c r="T81" s="1" t="str">
        <f t="shared" si="32"/>
        <v/>
      </c>
      <c r="U81" s="1" t="str">
        <f t="shared" si="33"/>
        <v/>
      </c>
      <c r="V81" s="1" t="str">
        <f t="shared" si="34"/>
        <v/>
      </c>
      <c r="W81" s="26" t="str">
        <f t="shared" si="35"/>
        <v/>
      </c>
      <c r="X81" s="13" t="str">
        <f t="shared" si="36"/>
        <v/>
      </c>
      <c r="Y81" s="9">
        <f t="shared" si="37"/>
        <v>0</v>
      </c>
    </row>
    <row r="82" spans="1:25" x14ac:dyDescent="0.25">
      <c r="A82" s="28"/>
      <c r="B82" s="29"/>
      <c r="C82" s="30"/>
      <c r="D82" s="31"/>
      <c r="E82" s="29" t="s">
        <v>16</v>
      </c>
      <c r="F82" s="13" t="b">
        <f>IF($E82=Categories!$A$1,"",IF($E82=Categories!$A$2,Categories!$B$2,IF($E82=Categories!$A$3,Categories!$B$3,IF($E82=Categories!$A$4,Categories!$B$4,IF($E82=Categories!$A$5,Categories!$B$5,IF($E82=Categories!$A$6,Categories!$B$6,IF($E82=Categories!$A$7,Categories!$B$7,IF($E82=Categories!$A$8,Categories!$B$8,IF($E82=Categories!$A$9,Categories!$B$9,IF($E82=Categories!$A$10,Categories!$B$10,IF($E82=Categories!$A$11,Categories!$B$11,IF($E82=Categories!$A$12,Categories!$B$12,IF($E82=Categories!$A$13,Categories!$B$13,IF($E82=Categories!$A$14,Categories!$B$14,IF($E82=Categories!$A$15,Categories!$B$15,IF($E82=Categories!$A$16,Categories!$B$16,IF($E82=Categories!$A$17,Categories!$B$17,IF($E82=Categories!$A$18,Categories!$B$18,IF($E82=Categories!$A$19,Categories!$B$19)))))))))))))))))))</f>
        <v>0</v>
      </c>
      <c r="G82" s="9" t="str">
        <f t="shared" si="19"/>
        <v/>
      </c>
      <c r="H82" s="1" t="str">
        <f t="shared" si="20"/>
        <v/>
      </c>
      <c r="I82" s="1" t="str">
        <f t="shared" si="21"/>
        <v/>
      </c>
      <c r="J82" s="1" t="str">
        <f t="shared" si="22"/>
        <v/>
      </c>
      <c r="K82" s="13" t="str">
        <f t="shared" si="23"/>
        <v/>
      </c>
      <c r="L82" s="9" t="str">
        <f t="shared" si="24"/>
        <v/>
      </c>
      <c r="M82" s="1" t="str">
        <f t="shared" si="25"/>
        <v/>
      </c>
      <c r="N82" s="1" t="str">
        <f t="shared" si="26"/>
        <v/>
      </c>
      <c r="O82" s="1" t="str">
        <f t="shared" si="27"/>
        <v/>
      </c>
      <c r="P82" s="1" t="str">
        <f t="shared" si="28"/>
        <v/>
      </c>
      <c r="Q82" s="1" t="str">
        <f t="shared" si="29"/>
        <v/>
      </c>
      <c r="R82" s="1" t="str">
        <f t="shared" si="30"/>
        <v/>
      </c>
      <c r="S82" s="1" t="str">
        <f t="shared" si="31"/>
        <v/>
      </c>
      <c r="T82" s="1" t="str">
        <f t="shared" si="32"/>
        <v/>
      </c>
      <c r="U82" s="1" t="str">
        <f t="shared" si="33"/>
        <v/>
      </c>
      <c r="V82" s="1" t="str">
        <f t="shared" si="34"/>
        <v/>
      </c>
      <c r="W82" s="26" t="str">
        <f t="shared" si="35"/>
        <v/>
      </c>
      <c r="X82" s="13" t="str">
        <f t="shared" si="36"/>
        <v/>
      </c>
      <c r="Y82" s="9">
        <f t="shared" si="37"/>
        <v>0</v>
      </c>
    </row>
    <row r="83" spans="1:25" x14ac:dyDescent="0.25">
      <c r="A83" s="28"/>
      <c r="B83" s="29"/>
      <c r="C83" s="30"/>
      <c r="D83" s="31"/>
      <c r="E83" s="29" t="s">
        <v>16</v>
      </c>
      <c r="F83" s="13" t="b">
        <f>IF($E83=Categories!$A$1,"",IF($E83=Categories!$A$2,Categories!$B$2,IF($E83=Categories!$A$3,Categories!$B$3,IF($E83=Categories!$A$4,Categories!$B$4,IF($E83=Categories!$A$5,Categories!$B$5,IF($E83=Categories!$A$6,Categories!$B$6,IF($E83=Categories!$A$7,Categories!$B$7,IF($E83=Categories!$A$8,Categories!$B$8,IF($E83=Categories!$A$9,Categories!$B$9,IF($E83=Categories!$A$10,Categories!$B$10,IF($E83=Categories!$A$11,Categories!$B$11,IF($E83=Categories!$A$12,Categories!$B$12,IF($E83=Categories!$A$13,Categories!$B$13,IF($E83=Categories!$A$14,Categories!$B$14,IF($E83=Categories!$A$15,Categories!$B$15,IF($E83=Categories!$A$16,Categories!$B$16,IF($E83=Categories!$A$17,Categories!$B$17,IF($E83=Categories!$A$18,Categories!$B$18,IF($E83=Categories!$A$19,Categories!$B$19)))))))))))))))))))</f>
        <v>0</v>
      </c>
      <c r="G83" s="9" t="str">
        <f t="shared" si="19"/>
        <v/>
      </c>
      <c r="H83" s="1" t="str">
        <f t="shared" si="20"/>
        <v/>
      </c>
      <c r="I83" s="1" t="str">
        <f t="shared" si="21"/>
        <v/>
      </c>
      <c r="J83" s="1" t="str">
        <f t="shared" si="22"/>
        <v/>
      </c>
      <c r="K83" s="13" t="str">
        <f t="shared" si="23"/>
        <v/>
      </c>
      <c r="L83" s="9" t="str">
        <f t="shared" si="24"/>
        <v/>
      </c>
      <c r="M83" s="1" t="str">
        <f t="shared" si="25"/>
        <v/>
      </c>
      <c r="N83" s="1" t="str">
        <f t="shared" si="26"/>
        <v/>
      </c>
      <c r="O83" s="1" t="str">
        <f t="shared" si="27"/>
        <v/>
      </c>
      <c r="P83" s="1" t="str">
        <f t="shared" si="28"/>
        <v/>
      </c>
      <c r="Q83" s="1" t="str">
        <f t="shared" si="29"/>
        <v/>
      </c>
      <c r="R83" s="1" t="str">
        <f t="shared" si="30"/>
        <v/>
      </c>
      <c r="S83" s="1" t="str">
        <f t="shared" si="31"/>
        <v/>
      </c>
      <c r="T83" s="1" t="str">
        <f t="shared" si="32"/>
        <v/>
      </c>
      <c r="U83" s="1" t="str">
        <f t="shared" si="33"/>
        <v/>
      </c>
      <c r="V83" s="1" t="str">
        <f t="shared" si="34"/>
        <v/>
      </c>
      <c r="W83" s="26" t="str">
        <f t="shared" si="35"/>
        <v/>
      </c>
      <c r="X83" s="13" t="str">
        <f t="shared" si="36"/>
        <v/>
      </c>
      <c r="Y83" s="9">
        <f t="shared" si="37"/>
        <v>0</v>
      </c>
    </row>
    <row r="84" spans="1:25" x14ac:dyDescent="0.25">
      <c r="A84" s="28"/>
      <c r="B84" s="29"/>
      <c r="C84" s="30"/>
      <c r="D84" s="31"/>
      <c r="E84" s="29" t="s">
        <v>16</v>
      </c>
      <c r="F84" s="13" t="b">
        <f>IF($E84=Categories!$A$1,"",IF($E84=Categories!$A$2,Categories!$B$2,IF($E84=Categories!$A$3,Categories!$B$3,IF($E84=Categories!$A$4,Categories!$B$4,IF($E84=Categories!$A$5,Categories!$B$5,IF($E84=Categories!$A$6,Categories!$B$6,IF($E84=Categories!$A$7,Categories!$B$7,IF($E84=Categories!$A$8,Categories!$B$8,IF($E84=Categories!$A$9,Categories!$B$9,IF($E84=Categories!$A$10,Categories!$B$10,IF($E84=Categories!$A$11,Categories!$B$11,IF($E84=Categories!$A$12,Categories!$B$12,IF($E84=Categories!$A$13,Categories!$B$13,IF($E84=Categories!$A$14,Categories!$B$14,IF($E84=Categories!$A$15,Categories!$B$15,IF($E84=Categories!$A$16,Categories!$B$16,IF($E84=Categories!$A$17,Categories!$B$17,IF($E84=Categories!$A$18,Categories!$B$18,IF($E84=Categories!$A$19,Categories!$B$19)))))))))))))))))))</f>
        <v>0</v>
      </c>
      <c r="G84" s="9" t="str">
        <f t="shared" si="19"/>
        <v/>
      </c>
      <c r="H84" s="1" t="str">
        <f t="shared" si="20"/>
        <v/>
      </c>
      <c r="I84" s="1" t="str">
        <f t="shared" si="21"/>
        <v/>
      </c>
      <c r="J84" s="1" t="str">
        <f t="shared" si="22"/>
        <v/>
      </c>
      <c r="K84" s="13" t="str">
        <f t="shared" si="23"/>
        <v/>
      </c>
      <c r="L84" s="9" t="str">
        <f t="shared" si="24"/>
        <v/>
      </c>
      <c r="M84" s="1" t="str">
        <f t="shared" si="25"/>
        <v/>
      </c>
      <c r="N84" s="1" t="str">
        <f t="shared" si="26"/>
        <v/>
      </c>
      <c r="O84" s="1" t="str">
        <f t="shared" si="27"/>
        <v/>
      </c>
      <c r="P84" s="1" t="str">
        <f t="shared" si="28"/>
        <v/>
      </c>
      <c r="Q84" s="1" t="str">
        <f t="shared" si="29"/>
        <v/>
      </c>
      <c r="R84" s="1" t="str">
        <f t="shared" si="30"/>
        <v/>
      </c>
      <c r="S84" s="1" t="str">
        <f t="shared" si="31"/>
        <v/>
      </c>
      <c r="T84" s="1" t="str">
        <f t="shared" si="32"/>
        <v/>
      </c>
      <c r="U84" s="1" t="str">
        <f t="shared" si="33"/>
        <v/>
      </c>
      <c r="V84" s="1" t="str">
        <f t="shared" si="34"/>
        <v/>
      </c>
      <c r="W84" s="26" t="str">
        <f t="shared" si="35"/>
        <v/>
      </c>
      <c r="X84" s="13" t="str">
        <f t="shared" si="36"/>
        <v/>
      </c>
      <c r="Y84" s="9">
        <f t="shared" si="37"/>
        <v>0</v>
      </c>
    </row>
    <row r="85" spans="1:25" x14ac:dyDescent="0.25">
      <c r="A85" s="28"/>
      <c r="B85" s="29"/>
      <c r="C85" s="30"/>
      <c r="D85" s="31"/>
      <c r="E85" s="29" t="s">
        <v>16</v>
      </c>
      <c r="F85" s="13" t="b">
        <f>IF($E85=Categories!$A$1,"",IF($E85=Categories!$A$2,Categories!$B$2,IF($E85=Categories!$A$3,Categories!$B$3,IF($E85=Categories!$A$4,Categories!$B$4,IF($E85=Categories!$A$5,Categories!$B$5,IF($E85=Categories!$A$6,Categories!$B$6,IF($E85=Categories!$A$7,Categories!$B$7,IF($E85=Categories!$A$8,Categories!$B$8,IF($E85=Categories!$A$9,Categories!$B$9,IF($E85=Categories!$A$10,Categories!$B$10,IF($E85=Categories!$A$11,Categories!$B$11,IF($E85=Categories!$A$12,Categories!$B$12,IF($E85=Categories!$A$13,Categories!$B$13,IF($E85=Categories!$A$14,Categories!$B$14,IF($E85=Categories!$A$15,Categories!$B$15,IF($E85=Categories!$A$16,Categories!$B$16,IF($E85=Categories!$A$17,Categories!$B$17,IF($E85=Categories!$A$18,Categories!$B$18,IF($E85=Categories!$A$19,Categories!$B$19)))))))))))))))))))</f>
        <v>0</v>
      </c>
      <c r="G85" s="9" t="str">
        <f t="shared" si="19"/>
        <v/>
      </c>
      <c r="H85" s="1" t="str">
        <f t="shared" si="20"/>
        <v/>
      </c>
      <c r="I85" s="1" t="str">
        <f t="shared" si="21"/>
        <v/>
      </c>
      <c r="J85" s="1" t="str">
        <f t="shared" si="22"/>
        <v/>
      </c>
      <c r="K85" s="13" t="str">
        <f t="shared" si="23"/>
        <v/>
      </c>
      <c r="L85" s="9" t="str">
        <f t="shared" si="24"/>
        <v/>
      </c>
      <c r="M85" s="1" t="str">
        <f t="shared" si="25"/>
        <v/>
      </c>
      <c r="N85" s="1" t="str">
        <f t="shared" si="26"/>
        <v/>
      </c>
      <c r="O85" s="1" t="str">
        <f t="shared" si="27"/>
        <v/>
      </c>
      <c r="P85" s="1" t="str">
        <f t="shared" si="28"/>
        <v/>
      </c>
      <c r="Q85" s="1" t="str">
        <f t="shared" si="29"/>
        <v/>
      </c>
      <c r="R85" s="1" t="str">
        <f t="shared" si="30"/>
        <v/>
      </c>
      <c r="S85" s="1" t="str">
        <f t="shared" si="31"/>
        <v/>
      </c>
      <c r="T85" s="1" t="str">
        <f t="shared" si="32"/>
        <v/>
      </c>
      <c r="U85" s="1" t="str">
        <f t="shared" si="33"/>
        <v/>
      </c>
      <c r="V85" s="1" t="str">
        <f t="shared" si="34"/>
        <v/>
      </c>
      <c r="W85" s="26" t="str">
        <f t="shared" si="35"/>
        <v/>
      </c>
      <c r="X85" s="13" t="str">
        <f t="shared" si="36"/>
        <v/>
      </c>
      <c r="Y85" s="9">
        <f t="shared" si="37"/>
        <v>0</v>
      </c>
    </row>
    <row r="86" spans="1:25" x14ac:dyDescent="0.25">
      <c r="A86" s="28"/>
      <c r="B86" s="29"/>
      <c r="C86" s="30"/>
      <c r="D86" s="31"/>
      <c r="E86" s="29" t="s">
        <v>16</v>
      </c>
      <c r="F86" s="13" t="b">
        <f>IF($E86=Categories!$A$1,"",IF($E86=Categories!$A$2,Categories!$B$2,IF($E86=Categories!$A$3,Categories!$B$3,IF($E86=Categories!$A$4,Categories!$B$4,IF($E86=Categories!$A$5,Categories!$B$5,IF($E86=Categories!$A$6,Categories!$B$6,IF($E86=Categories!$A$7,Categories!$B$7,IF($E86=Categories!$A$8,Categories!$B$8,IF($E86=Categories!$A$9,Categories!$B$9,IF($E86=Categories!$A$10,Categories!$B$10,IF($E86=Categories!$A$11,Categories!$B$11,IF($E86=Categories!$A$12,Categories!$B$12,IF($E86=Categories!$A$13,Categories!$B$13,IF($E86=Categories!$A$14,Categories!$B$14,IF($E86=Categories!$A$15,Categories!$B$15,IF($E86=Categories!$A$16,Categories!$B$16,IF($E86=Categories!$A$17,Categories!$B$17,IF($E86=Categories!$A$18,Categories!$B$18,IF($E86=Categories!$A$19,Categories!$B$19)))))))))))))))))))</f>
        <v>0</v>
      </c>
      <c r="G86" s="9" t="str">
        <f t="shared" si="19"/>
        <v/>
      </c>
      <c r="H86" s="1" t="str">
        <f t="shared" si="20"/>
        <v/>
      </c>
      <c r="I86" s="1" t="str">
        <f t="shared" si="21"/>
        <v/>
      </c>
      <c r="J86" s="1" t="str">
        <f t="shared" si="22"/>
        <v/>
      </c>
      <c r="K86" s="13" t="str">
        <f t="shared" si="23"/>
        <v/>
      </c>
      <c r="L86" s="9" t="str">
        <f t="shared" si="24"/>
        <v/>
      </c>
      <c r="M86" s="1" t="str">
        <f t="shared" si="25"/>
        <v/>
      </c>
      <c r="N86" s="1" t="str">
        <f t="shared" si="26"/>
        <v/>
      </c>
      <c r="O86" s="1" t="str">
        <f t="shared" si="27"/>
        <v/>
      </c>
      <c r="P86" s="1" t="str">
        <f t="shared" si="28"/>
        <v/>
      </c>
      <c r="Q86" s="1" t="str">
        <f t="shared" si="29"/>
        <v/>
      </c>
      <c r="R86" s="1" t="str">
        <f t="shared" si="30"/>
        <v/>
      </c>
      <c r="S86" s="1" t="str">
        <f t="shared" si="31"/>
        <v/>
      </c>
      <c r="T86" s="1" t="str">
        <f t="shared" si="32"/>
        <v/>
      </c>
      <c r="U86" s="1" t="str">
        <f t="shared" si="33"/>
        <v/>
      </c>
      <c r="V86" s="1" t="str">
        <f t="shared" si="34"/>
        <v/>
      </c>
      <c r="W86" s="26" t="str">
        <f t="shared" si="35"/>
        <v/>
      </c>
      <c r="X86" s="13" t="str">
        <f t="shared" si="36"/>
        <v/>
      </c>
      <c r="Y86" s="9">
        <f t="shared" si="37"/>
        <v>0</v>
      </c>
    </row>
    <row r="87" spans="1:25" x14ac:dyDescent="0.25">
      <c r="A87" s="28"/>
      <c r="B87" s="29"/>
      <c r="C87" s="30"/>
      <c r="D87" s="31"/>
      <c r="E87" s="29" t="s">
        <v>16</v>
      </c>
      <c r="F87" s="13" t="b">
        <f>IF($E87=Categories!$A$1,"",IF($E87=Categories!$A$2,Categories!$B$2,IF($E87=Categories!$A$3,Categories!$B$3,IF($E87=Categories!$A$4,Categories!$B$4,IF($E87=Categories!$A$5,Categories!$B$5,IF($E87=Categories!$A$6,Categories!$B$6,IF($E87=Categories!$A$7,Categories!$B$7,IF($E87=Categories!$A$8,Categories!$B$8,IF($E87=Categories!$A$9,Categories!$B$9,IF($E87=Categories!$A$10,Categories!$B$10,IF($E87=Categories!$A$11,Categories!$B$11,IF($E87=Categories!$A$12,Categories!$B$12,IF($E87=Categories!$A$13,Categories!$B$13,IF($E87=Categories!$A$14,Categories!$B$14,IF($E87=Categories!$A$15,Categories!$B$15,IF($E87=Categories!$A$16,Categories!$B$16,IF($E87=Categories!$A$17,Categories!$B$17,IF($E87=Categories!$A$18,Categories!$B$18,IF($E87=Categories!$A$19,Categories!$B$19)))))))))))))))))))</f>
        <v>0</v>
      </c>
      <c r="G87" s="9" t="str">
        <f t="shared" si="19"/>
        <v/>
      </c>
      <c r="H87" s="1" t="str">
        <f t="shared" si="20"/>
        <v/>
      </c>
      <c r="I87" s="1" t="str">
        <f t="shared" si="21"/>
        <v/>
      </c>
      <c r="J87" s="1" t="str">
        <f t="shared" si="22"/>
        <v/>
      </c>
      <c r="K87" s="13" t="str">
        <f t="shared" si="23"/>
        <v/>
      </c>
      <c r="L87" s="9" t="str">
        <f t="shared" si="24"/>
        <v/>
      </c>
      <c r="M87" s="1" t="str">
        <f t="shared" si="25"/>
        <v/>
      </c>
      <c r="N87" s="1" t="str">
        <f t="shared" si="26"/>
        <v/>
      </c>
      <c r="O87" s="1" t="str">
        <f t="shared" si="27"/>
        <v/>
      </c>
      <c r="P87" s="1" t="str">
        <f t="shared" si="28"/>
        <v/>
      </c>
      <c r="Q87" s="1" t="str">
        <f t="shared" si="29"/>
        <v/>
      </c>
      <c r="R87" s="1" t="str">
        <f t="shared" si="30"/>
        <v/>
      </c>
      <c r="S87" s="1" t="str">
        <f t="shared" si="31"/>
        <v/>
      </c>
      <c r="T87" s="1" t="str">
        <f t="shared" si="32"/>
        <v/>
      </c>
      <c r="U87" s="1" t="str">
        <f t="shared" si="33"/>
        <v/>
      </c>
      <c r="V87" s="1" t="str">
        <f t="shared" si="34"/>
        <v/>
      </c>
      <c r="W87" s="26" t="str">
        <f t="shared" si="35"/>
        <v/>
      </c>
      <c r="X87" s="13" t="str">
        <f t="shared" si="36"/>
        <v/>
      </c>
      <c r="Y87" s="9">
        <f t="shared" si="37"/>
        <v>0</v>
      </c>
    </row>
    <row r="88" spans="1:25" x14ac:dyDescent="0.25">
      <c r="A88" s="28"/>
      <c r="B88" s="29"/>
      <c r="C88" s="30"/>
      <c r="D88" s="31"/>
      <c r="E88" s="29" t="s">
        <v>16</v>
      </c>
      <c r="F88" s="13" t="b">
        <f>IF($E88=Categories!$A$1,"",IF($E88=Categories!$A$2,Categories!$B$2,IF($E88=Categories!$A$3,Categories!$B$3,IF($E88=Categories!$A$4,Categories!$B$4,IF($E88=Categories!$A$5,Categories!$B$5,IF($E88=Categories!$A$6,Categories!$B$6,IF($E88=Categories!$A$7,Categories!$B$7,IF($E88=Categories!$A$8,Categories!$B$8,IF($E88=Categories!$A$9,Categories!$B$9,IF($E88=Categories!$A$10,Categories!$B$10,IF($E88=Categories!$A$11,Categories!$B$11,IF($E88=Categories!$A$12,Categories!$B$12,IF($E88=Categories!$A$13,Categories!$B$13,IF($E88=Categories!$A$14,Categories!$B$14,IF($E88=Categories!$A$15,Categories!$B$15,IF($E88=Categories!$A$16,Categories!$B$16,IF($E88=Categories!$A$17,Categories!$B$17,IF($E88=Categories!$A$18,Categories!$B$18,IF($E88=Categories!$A$19,Categories!$B$19)))))))))))))))))))</f>
        <v>0</v>
      </c>
      <c r="G88" s="9" t="str">
        <f t="shared" si="19"/>
        <v/>
      </c>
      <c r="H88" s="1" t="str">
        <f t="shared" si="20"/>
        <v/>
      </c>
      <c r="I88" s="1" t="str">
        <f t="shared" si="21"/>
        <v/>
      </c>
      <c r="J88" s="1" t="str">
        <f t="shared" si="22"/>
        <v/>
      </c>
      <c r="K88" s="13" t="str">
        <f t="shared" si="23"/>
        <v/>
      </c>
      <c r="L88" s="9" t="str">
        <f t="shared" si="24"/>
        <v/>
      </c>
      <c r="M88" s="1" t="str">
        <f t="shared" si="25"/>
        <v/>
      </c>
      <c r="N88" s="1" t="str">
        <f t="shared" si="26"/>
        <v/>
      </c>
      <c r="O88" s="1" t="str">
        <f t="shared" si="27"/>
        <v/>
      </c>
      <c r="P88" s="1" t="str">
        <f t="shared" si="28"/>
        <v/>
      </c>
      <c r="Q88" s="1" t="str">
        <f t="shared" si="29"/>
        <v/>
      </c>
      <c r="R88" s="1" t="str">
        <f t="shared" si="30"/>
        <v/>
      </c>
      <c r="S88" s="1" t="str">
        <f t="shared" si="31"/>
        <v/>
      </c>
      <c r="T88" s="1" t="str">
        <f t="shared" si="32"/>
        <v/>
      </c>
      <c r="U88" s="1" t="str">
        <f t="shared" si="33"/>
        <v/>
      </c>
      <c r="V88" s="1" t="str">
        <f t="shared" si="34"/>
        <v/>
      </c>
      <c r="W88" s="26" t="str">
        <f t="shared" si="35"/>
        <v/>
      </c>
      <c r="X88" s="13" t="str">
        <f t="shared" si="36"/>
        <v/>
      </c>
      <c r="Y88" s="9">
        <f t="shared" si="37"/>
        <v>0</v>
      </c>
    </row>
    <row r="89" spans="1:25" x14ac:dyDescent="0.25">
      <c r="A89" s="28"/>
      <c r="B89" s="29"/>
      <c r="C89" s="30"/>
      <c r="D89" s="31"/>
      <c r="E89" s="29" t="s">
        <v>16</v>
      </c>
      <c r="F89" s="13" t="b">
        <f>IF($E89=Categories!$A$1,"",IF($E89=Categories!$A$2,Categories!$B$2,IF($E89=Categories!$A$3,Categories!$B$3,IF($E89=Categories!$A$4,Categories!$B$4,IF($E89=Categories!$A$5,Categories!$B$5,IF($E89=Categories!$A$6,Categories!$B$6,IF($E89=Categories!$A$7,Categories!$B$7,IF($E89=Categories!$A$8,Categories!$B$8,IF($E89=Categories!$A$9,Categories!$B$9,IF($E89=Categories!$A$10,Categories!$B$10,IF($E89=Categories!$A$11,Categories!$B$11,IF($E89=Categories!$A$12,Categories!$B$12,IF($E89=Categories!$A$13,Categories!$B$13,IF($E89=Categories!$A$14,Categories!$B$14,IF($E89=Categories!$A$15,Categories!$B$15,IF($E89=Categories!$A$16,Categories!$B$16,IF($E89=Categories!$A$17,Categories!$B$17,IF($E89=Categories!$A$18,Categories!$B$18,IF($E89=Categories!$A$19,Categories!$B$19)))))))))))))))))))</f>
        <v>0</v>
      </c>
      <c r="G89" s="9" t="str">
        <f t="shared" si="19"/>
        <v/>
      </c>
      <c r="H89" s="1" t="str">
        <f t="shared" si="20"/>
        <v/>
      </c>
      <c r="I89" s="1" t="str">
        <f t="shared" si="21"/>
        <v/>
      </c>
      <c r="J89" s="1" t="str">
        <f t="shared" si="22"/>
        <v/>
      </c>
      <c r="K89" s="13" t="str">
        <f t="shared" si="23"/>
        <v/>
      </c>
      <c r="L89" s="9" t="str">
        <f t="shared" si="24"/>
        <v/>
      </c>
      <c r="M89" s="1" t="str">
        <f t="shared" si="25"/>
        <v/>
      </c>
      <c r="N89" s="1" t="str">
        <f t="shared" si="26"/>
        <v/>
      </c>
      <c r="O89" s="1" t="str">
        <f t="shared" si="27"/>
        <v/>
      </c>
      <c r="P89" s="1" t="str">
        <f t="shared" si="28"/>
        <v/>
      </c>
      <c r="Q89" s="1" t="str">
        <f t="shared" si="29"/>
        <v/>
      </c>
      <c r="R89" s="1" t="str">
        <f t="shared" si="30"/>
        <v/>
      </c>
      <c r="S89" s="1" t="str">
        <f t="shared" si="31"/>
        <v/>
      </c>
      <c r="T89" s="1" t="str">
        <f t="shared" si="32"/>
        <v/>
      </c>
      <c r="U89" s="1" t="str">
        <f t="shared" si="33"/>
        <v/>
      </c>
      <c r="V89" s="1" t="str">
        <f t="shared" si="34"/>
        <v/>
      </c>
      <c r="W89" s="26" t="str">
        <f t="shared" si="35"/>
        <v/>
      </c>
      <c r="X89" s="13" t="str">
        <f t="shared" si="36"/>
        <v/>
      </c>
      <c r="Y89" s="9">
        <f t="shared" si="37"/>
        <v>0</v>
      </c>
    </row>
    <row r="90" spans="1:25" x14ac:dyDescent="0.25">
      <c r="A90" s="28"/>
      <c r="B90" s="29"/>
      <c r="C90" s="30"/>
      <c r="D90" s="31"/>
      <c r="E90" s="29" t="s">
        <v>16</v>
      </c>
      <c r="F90" s="13" t="b">
        <f>IF($E90=Categories!$A$1,"",IF($E90=Categories!$A$2,Categories!$B$2,IF($E90=Categories!$A$3,Categories!$B$3,IF($E90=Categories!$A$4,Categories!$B$4,IF($E90=Categories!$A$5,Categories!$B$5,IF($E90=Categories!$A$6,Categories!$B$6,IF($E90=Categories!$A$7,Categories!$B$7,IF($E90=Categories!$A$8,Categories!$B$8,IF($E90=Categories!$A$9,Categories!$B$9,IF($E90=Categories!$A$10,Categories!$B$10,IF($E90=Categories!$A$11,Categories!$B$11,IF($E90=Categories!$A$12,Categories!$B$12,IF($E90=Categories!$A$13,Categories!$B$13,IF($E90=Categories!$A$14,Categories!$B$14,IF($E90=Categories!$A$15,Categories!$B$15,IF($E90=Categories!$A$16,Categories!$B$16,IF($E90=Categories!$A$17,Categories!$B$17,IF($E90=Categories!$A$18,Categories!$B$18,IF($E90=Categories!$A$19,Categories!$B$19)))))))))))))))))))</f>
        <v>0</v>
      </c>
      <c r="G90" s="9" t="str">
        <f t="shared" si="19"/>
        <v/>
      </c>
      <c r="H90" s="1" t="str">
        <f t="shared" si="20"/>
        <v/>
      </c>
      <c r="I90" s="1" t="str">
        <f t="shared" si="21"/>
        <v/>
      </c>
      <c r="J90" s="1" t="str">
        <f t="shared" si="22"/>
        <v/>
      </c>
      <c r="K90" s="13" t="str">
        <f t="shared" si="23"/>
        <v/>
      </c>
      <c r="L90" s="9" t="str">
        <f t="shared" si="24"/>
        <v/>
      </c>
      <c r="M90" s="1" t="str">
        <f t="shared" si="25"/>
        <v/>
      </c>
      <c r="N90" s="1" t="str">
        <f t="shared" si="26"/>
        <v/>
      </c>
      <c r="O90" s="1" t="str">
        <f t="shared" si="27"/>
        <v/>
      </c>
      <c r="P90" s="1" t="str">
        <f t="shared" si="28"/>
        <v/>
      </c>
      <c r="Q90" s="1" t="str">
        <f t="shared" si="29"/>
        <v/>
      </c>
      <c r="R90" s="1" t="str">
        <f t="shared" si="30"/>
        <v/>
      </c>
      <c r="S90" s="1" t="str">
        <f t="shared" si="31"/>
        <v/>
      </c>
      <c r="T90" s="1" t="str">
        <f t="shared" si="32"/>
        <v/>
      </c>
      <c r="U90" s="1" t="str">
        <f t="shared" si="33"/>
        <v/>
      </c>
      <c r="V90" s="1" t="str">
        <f t="shared" si="34"/>
        <v/>
      </c>
      <c r="W90" s="26" t="str">
        <f t="shared" si="35"/>
        <v/>
      </c>
      <c r="X90" s="13" t="str">
        <f t="shared" si="36"/>
        <v/>
      </c>
      <c r="Y90" s="9">
        <f t="shared" si="37"/>
        <v>0</v>
      </c>
    </row>
    <row r="91" spans="1:25" x14ac:dyDescent="0.25">
      <c r="A91" s="28"/>
      <c r="B91" s="29"/>
      <c r="C91" s="30"/>
      <c r="D91" s="31"/>
      <c r="E91" s="29" t="s">
        <v>16</v>
      </c>
      <c r="F91" s="13" t="b">
        <f>IF($E91=Categories!$A$1,"",IF($E91=Categories!$A$2,Categories!$B$2,IF($E91=Categories!$A$3,Categories!$B$3,IF($E91=Categories!$A$4,Categories!$B$4,IF($E91=Categories!$A$5,Categories!$B$5,IF($E91=Categories!$A$6,Categories!$B$6,IF($E91=Categories!$A$7,Categories!$B$7,IF($E91=Categories!$A$8,Categories!$B$8,IF($E91=Categories!$A$9,Categories!$B$9,IF($E91=Categories!$A$10,Categories!$B$10,IF($E91=Categories!$A$11,Categories!$B$11,IF($E91=Categories!$A$12,Categories!$B$12,IF($E91=Categories!$A$13,Categories!$B$13,IF($E91=Categories!$A$14,Categories!$B$14,IF($E91=Categories!$A$15,Categories!$B$15,IF($E91=Categories!$A$16,Categories!$B$16,IF($E91=Categories!$A$17,Categories!$B$17,IF($E91=Categories!$A$18,Categories!$B$18,IF($E91=Categories!$A$19,Categories!$B$19)))))))))))))))))))</f>
        <v>0</v>
      </c>
      <c r="G91" s="9" t="str">
        <f t="shared" si="19"/>
        <v/>
      </c>
      <c r="H91" s="1" t="str">
        <f t="shared" si="20"/>
        <v/>
      </c>
      <c r="I91" s="1" t="str">
        <f t="shared" si="21"/>
        <v/>
      </c>
      <c r="J91" s="1" t="str">
        <f t="shared" si="22"/>
        <v/>
      </c>
      <c r="K91" s="13" t="str">
        <f t="shared" si="23"/>
        <v/>
      </c>
      <c r="L91" s="9" t="str">
        <f t="shared" si="24"/>
        <v/>
      </c>
      <c r="M91" s="1" t="str">
        <f t="shared" si="25"/>
        <v/>
      </c>
      <c r="N91" s="1" t="str">
        <f t="shared" si="26"/>
        <v/>
      </c>
      <c r="O91" s="1" t="str">
        <f t="shared" si="27"/>
        <v/>
      </c>
      <c r="P91" s="1" t="str">
        <f t="shared" si="28"/>
        <v/>
      </c>
      <c r="Q91" s="1" t="str">
        <f t="shared" si="29"/>
        <v/>
      </c>
      <c r="R91" s="1" t="str">
        <f t="shared" si="30"/>
        <v/>
      </c>
      <c r="S91" s="1" t="str">
        <f t="shared" si="31"/>
        <v/>
      </c>
      <c r="T91" s="1" t="str">
        <f t="shared" si="32"/>
        <v/>
      </c>
      <c r="U91" s="1" t="str">
        <f t="shared" si="33"/>
        <v/>
      </c>
      <c r="V91" s="1" t="str">
        <f t="shared" si="34"/>
        <v/>
      </c>
      <c r="W91" s="26" t="str">
        <f t="shared" si="35"/>
        <v/>
      </c>
      <c r="X91" s="13" t="str">
        <f t="shared" si="36"/>
        <v/>
      </c>
      <c r="Y91" s="9">
        <f t="shared" si="37"/>
        <v>0</v>
      </c>
    </row>
    <row r="92" spans="1:25" x14ac:dyDescent="0.25">
      <c r="A92" s="28"/>
      <c r="B92" s="29"/>
      <c r="C92" s="30"/>
      <c r="D92" s="31"/>
      <c r="E92" s="29" t="s">
        <v>16</v>
      </c>
      <c r="F92" s="13" t="b">
        <f>IF($E92=Categories!$A$1,"",IF($E92=Categories!$A$2,Categories!$B$2,IF($E92=Categories!$A$3,Categories!$B$3,IF($E92=Categories!$A$4,Categories!$B$4,IF($E92=Categories!$A$5,Categories!$B$5,IF($E92=Categories!$A$6,Categories!$B$6,IF($E92=Categories!$A$7,Categories!$B$7,IF($E92=Categories!$A$8,Categories!$B$8,IF($E92=Categories!$A$9,Categories!$B$9,IF($E92=Categories!$A$10,Categories!$B$10,IF($E92=Categories!$A$11,Categories!$B$11,IF($E92=Categories!$A$12,Categories!$B$12,IF($E92=Categories!$A$13,Categories!$B$13,IF($E92=Categories!$A$14,Categories!$B$14,IF($E92=Categories!$A$15,Categories!$B$15,IF($E92=Categories!$A$16,Categories!$B$16,IF($E92=Categories!$A$17,Categories!$B$17,IF($E92=Categories!$A$18,Categories!$B$18,IF($E92=Categories!$A$19,Categories!$B$19)))))))))))))))))))</f>
        <v>0</v>
      </c>
      <c r="G92" s="9" t="str">
        <f t="shared" si="19"/>
        <v/>
      </c>
      <c r="H92" s="1" t="str">
        <f t="shared" si="20"/>
        <v/>
      </c>
      <c r="I92" s="1" t="str">
        <f t="shared" si="21"/>
        <v/>
      </c>
      <c r="J92" s="1" t="str">
        <f t="shared" si="22"/>
        <v/>
      </c>
      <c r="K92" s="13" t="str">
        <f t="shared" si="23"/>
        <v/>
      </c>
      <c r="L92" s="9" t="str">
        <f t="shared" si="24"/>
        <v/>
      </c>
      <c r="M92" s="1" t="str">
        <f t="shared" si="25"/>
        <v/>
      </c>
      <c r="N92" s="1" t="str">
        <f t="shared" si="26"/>
        <v/>
      </c>
      <c r="O92" s="1" t="str">
        <f t="shared" si="27"/>
        <v/>
      </c>
      <c r="P92" s="1" t="str">
        <f t="shared" si="28"/>
        <v/>
      </c>
      <c r="Q92" s="1" t="str">
        <f t="shared" si="29"/>
        <v/>
      </c>
      <c r="R92" s="1" t="str">
        <f t="shared" si="30"/>
        <v/>
      </c>
      <c r="S92" s="1" t="str">
        <f t="shared" si="31"/>
        <v/>
      </c>
      <c r="T92" s="1" t="str">
        <f t="shared" si="32"/>
        <v/>
      </c>
      <c r="U92" s="1" t="str">
        <f t="shared" si="33"/>
        <v/>
      </c>
      <c r="V92" s="1" t="str">
        <f t="shared" si="34"/>
        <v/>
      </c>
      <c r="W92" s="26" t="str">
        <f t="shared" si="35"/>
        <v/>
      </c>
      <c r="X92" s="13" t="str">
        <f t="shared" si="36"/>
        <v/>
      </c>
      <c r="Y92" s="9">
        <f t="shared" si="37"/>
        <v>0</v>
      </c>
    </row>
    <row r="93" spans="1:25" x14ac:dyDescent="0.25">
      <c r="A93" s="28"/>
      <c r="B93" s="29"/>
      <c r="C93" s="30"/>
      <c r="D93" s="31"/>
      <c r="E93" s="29" t="s">
        <v>16</v>
      </c>
      <c r="F93" s="13" t="b">
        <f>IF($E93=Categories!$A$1,"",IF($E93=Categories!$A$2,Categories!$B$2,IF($E93=Categories!$A$3,Categories!$B$3,IF($E93=Categories!$A$4,Categories!$B$4,IF($E93=Categories!$A$5,Categories!$B$5,IF($E93=Categories!$A$6,Categories!$B$6,IF($E93=Categories!$A$7,Categories!$B$7,IF($E93=Categories!$A$8,Categories!$B$8,IF($E93=Categories!$A$9,Categories!$B$9,IF($E93=Categories!$A$10,Categories!$B$10,IF($E93=Categories!$A$11,Categories!$B$11,IF($E93=Categories!$A$12,Categories!$B$12,IF($E93=Categories!$A$13,Categories!$B$13,IF($E93=Categories!$A$14,Categories!$B$14,IF($E93=Categories!$A$15,Categories!$B$15,IF($E93=Categories!$A$16,Categories!$B$16,IF($E93=Categories!$A$17,Categories!$B$17,IF($E93=Categories!$A$18,Categories!$B$18,IF($E93=Categories!$A$19,Categories!$B$19)))))))))))))))))))</f>
        <v>0</v>
      </c>
      <c r="G93" s="9" t="str">
        <f t="shared" si="19"/>
        <v/>
      </c>
      <c r="H93" s="1" t="str">
        <f t="shared" si="20"/>
        <v/>
      </c>
      <c r="I93" s="1" t="str">
        <f t="shared" si="21"/>
        <v/>
      </c>
      <c r="J93" s="1" t="str">
        <f t="shared" si="22"/>
        <v/>
      </c>
      <c r="K93" s="13" t="str">
        <f t="shared" si="23"/>
        <v/>
      </c>
      <c r="L93" s="9" t="str">
        <f t="shared" si="24"/>
        <v/>
      </c>
      <c r="M93" s="1" t="str">
        <f t="shared" si="25"/>
        <v/>
      </c>
      <c r="N93" s="1" t="str">
        <f t="shared" si="26"/>
        <v/>
      </c>
      <c r="O93" s="1" t="str">
        <f t="shared" si="27"/>
        <v/>
      </c>
      <c r="P93" s="1" t="str">
        <f t="shared" si="28"/>
        <v/>
      </c>
      <c r="Q93" s="1" t="str">
        <f t="shared" si="29"/>
        <v/>
      </c>
      <c r="R93" s="1" t="str">
        <f t="shared" si="30"/>
        <v/>
      </c>
      <c r="S93" s="1" t="str">
        <f t="shared" si="31"/>
        <v/>
      </c>
      <c r="T93" s="1" t="str">
        <f t="shared" si="32"/>
        <v/>
      </c>
      <c r="U93" s="1" t="str">
        <f t="shared" si="33"/>
        <v/>
      </c>
      <c r="V93" s="1" t="str">
        <f t="shared" si="34"/>
        <v/>
      </c>
      <c r="W93" s="26" t="str">
        <f t="shared" si="35"/>
        <v/>
      </c>
      <c r="X93" s="13" t="str">
        <f t="shared" si="36"/>
        <v/>
      </c>
      <c r="Y93" s="9">
        <f t="shared" si="37"/>
        <v>0</v>
      </c>
    </row>
    <row r="94" spans="1:25" x14ac:dyDescent="0.25">
      <c r="A94" s="28"/>
      <c r="B94" s="29"/>
      <c r="C94" s="30"/>
      <c r="D94" s="31"/>
      <c r="E94" s="29" t="s">
        <v>16</v>
      </c>
      <c r="F94" s="13" t="b">
        <f>IF($E94=Categories!$A$1,"",IF($E94=Categories!$A$2,Categories!$B$2,IF($E94=Categories!$A$3,Categories!$B$3,IF($E94=Categories!$A$4,Categories!$B$4,IF($E94=Categories!$A$5,Categories!$B$5,IF($E94=Categories!$A$6,Categories!$B$6,IF($E94=Categories!$A$7,Categories!$B$7,IF($E94=Categories!$A$8,Categories!$B$8,IF($E94=Categories!$A$9,Categories!$B$9,IF($E94=Categories!$A$10,Categories!$B$10,IF($E94=Categories!$A$11,Categories!$B$11,IF($E94=Categories!$A$12,Categories!$B$12,IF($E94=Categories!$A$13,Categories!$B$13,IF($E94=Categories!$A$14,Categories!$B$14,IF($E94=Categories!$A$15,Categories!$B$15,IF($E94=Categories!$A$16,Categories!$B$16,IF($E94=Categories!$A$17,Categories!$B$17,IF($E94=Categories!$A$18,Categories!$B$18,IF($E94=Categories!$A$19,Categories!$B$19)))))))))))))))))))</f>
        <v>0</v>
      </c>
      <c r="G94" s="9" t="str">
        <f t="shared" si="19"/>
        <v/>
      </c>
      <c r="H94" s="1" t="str">
        <f t="shared" si="20"/>
        <v/>
      </c>
      <c r="I94" s="1" t="str">
        <f t="shared" si="21"/>
        <v/>
      </c>
      <c r="J94" s="1" t="str">
        <f t="shared" si="22"/>
        <v/>
      </c>
      <c r="K94" s="13" t="str">
        <f t="shared" si="23"/>
        <v/>
      </c>
      <c r="L94" s="9" t="str">
        <f t="shared" si="24"/>
        <v/>
      </c>
      <c r="M94" s="1" t="str">
        <f t="shared" si="25"/>
        <v/>
      </c>
      <c r="N94" s="1" t="str">
        <f t="shared" si="26"/>
        <v/>
      </c>
      <c r="O94" s="1" t="str">
        <f t="shared" si="27"/>
        <v/>
      </c>
      <c r="P94" s="1" t="str">
        <f t="shared" si="28"/>
        <v/>
      </c>
      <c r="Q94" s="1" t="str">
        <f t="shared" si="29"/>
        <v/>
      </c>
      <c r="R94" s="1" t="str">
        <f t="shared" si="30"/>
        <v/>
      </c>
      <c r="S94" s="1" t="str">
        <f t="shared" si="31"/>
        <v/>
      </c>
      <c r="T94" s="1" t="str">
        <f t="shared" si="32"/>
        <v/>
      </c>
      <c r="U94" s="1" t="str">
        <f t="shared" si="33"/>
        <v/>
      </c>
      <c r="V94" s="1" t="str">
        <f t="shared" si="34"/>
        <v/>
      </c>
      <c r="W94" s="26" t="str">
        <f t="shared" si="35"/>
        <v/>
      </c>
      <c r="X94" s="13" t="str">
        <f t="shared" si="36"/>
        <v/>
      </c>
      <c r="Y94" s="9">
        <f t="shared" si="37"/>
        <v>0</v>
      </c>
    </row>
    <row r="95" spans="1:25" x14ac:dyDescent="0.25">
      <c r="A95" s="28"/>
      <c r="B95" s="29"/>
      <c r="C95" s="30"/>
      <c r="D95" s="31"/>
      <c r="E95" s="29" t="s">
        <v>16</v>
      </c>
      <c r="F95" s="13" t="b">
        <f>IF($E95=Categories!$A$1,"",IF($E95=Categories!$A$2,Categories!$B$2,IF($E95=Categories!$A$3,Categories!$B$3,IF($E95=Categories!$A$4,Categories!$B$4,IF($E95=Categories!$A$5,Categories!$B$5,IF($E95=Categories!$A$6,Categories!$B$6,IF($E95=Categories!$A$7,Categories!$B$7,IF($E95=Categories!$A$8,Categories!$B$8,IF($E95=Categories!$A$9,Categories!$B$9,IF($E95=Categories!$A$10,Categories!$B$10,IF($E95=Categories!$A$11,Categories!$B$11,IF($E95=Categories!$A$12,Categories!$B$12,IF($E95=Categories!$A$13,Categories!$B$13,IF($E95=Categories!$A$14,Categories!$B$14,IF($E95=Categories!$A$15,Categories!$B$15,IF($E95=Categories!$A$16,Categories!$B$16,IF($E95=Categories!$A$17,Categories!$B$17,IF($E95=Categories!$A$18,Categories!$B$18,IF($E95=Categories!$A$19,Categories!$B$19)))))))))))))))))))</f>
        <v>0</v>
      </c>
      <c r="G95" s="9" t="str">
        <f t="shared" si="19"/>
        <v/>
      </c>
      <c r="H95" s="1" t="str">
        <f t="shared" si="20"/>
        <v/>
      </c>
      <c r="I95" s="1" t="str">
        <f t="shared" si="21"/>
        <v/>
      </c>
      <c r="J95" s="1" t="str">
        <f t="shared" si="22"/>
        <v/>
      </c>
      <c r="K95" s="13" t="str">
        <f t="shared" si="23"/>
        <v/>
      </c>
      <c r="L95" s="9" t="str">
        <f t="shared" si="24"/>
        <v/>
      </c>
      <c r="M95" s="1" t="str">
        <f t="shared" si="25"/>
        <v/>
      </c>
      <c r="N95" s="1" t="str">
        <f t="shared" si="26"/>
        <v/>
      </c>
      <c r="O95" s="1" t="str">
        <f t="shared" si="27"/>
        <v/>
      </c>
      <c r="P95" s="1" t="str">
        <f t="shared" si="28"/>
        <v/>
      </c>
      <c r="Q95" s="1" t="str">
        <f t="shared" si="29"/>
        <v/>
      </c>
      <c r="R95" s="1" t="str">
        <f t="shared" si="30"/>
        <v/>
      </c>
      <c r="S95" s="1" t="str">
        <f t="shared" si="31"/>
        <v/>
      </c>
      <c r="T95" s="1" t="str">
        <f t="shared" si="32"/>
        <v/>
      </c>
      <c r="U95" s="1" t="str">
        <f t="shared" si="33"/>
        <v/>
      </c>
      <c r="V95" s="1" t="str">
        <f t="shared" si="34"/>
        <v/>
      </c>
      <c r="W95" s="26" t="str">
        <f t="shared" si="35"/>
        <v/>
      </c>
      <c r="X95" s="13" t="str">
        <f t="shared" si="36"/>
        <v/>
      </c>
      <c r="Y95" s="9">
        <f t="shared" si="37"/>
        <v>0</v>
      </c>
    </row>
    <row r="96" spans="1:25" x14ac:dyDescent="0.25">
      <c r="A96" s="11"/>
      <c r="B96" s="16" t="s">
        <v>30</v>
      </c>
      <c r="C96" s="11"/>
      <c r="D96" s="11"/>
      <c r="E96" s="11"/>
      <c r="F96" s="21"/>
      <c r="G96" s="18">
        <f>SUM(G6:G95)</f>
        <v>0</v>
      </c>
      <c r="H96" s="18">
        <f t="shared" ref="H96:X96" si="38">SUM(H6:H95)</f>
        <v>0</v>
      </c>
      <c r="I96" s="18">
        <f t="shared" si="38"/>
        <v>0</v>
      </c>
      <c r="J96" s="18">
        <f t="shared" si="38"/>
        <v>0</v>
      </c>
      <c r="K96" s="19">
        <f t="shared" si="38"/>
        <v>0</v>
      </c>
      <c r="L96" s="20">
        <f t="shared" si="38"/>
        <v>0</v>
      </c>
      <c r="M96" s="18">
        <f t="shared" si="38"/>
        <v>0</v>
      </c>
      <c r="N96" s="18">
        <f t="shared" si="38"/>
        <v>0</v>
      </c>
      <c r="O96" s="18">
        <f t="shared" si="38"/>
        <v>0</v>
      </c>
      <c r="P96" s="18">
        <f t="shared" si="38"/>
        <v>0</v>
      </c>
      <c r="Q96" s="18">
        <f t="shared" si="38"/>
        <v>0</v>
      </c>
      <c r="R96" s="18">
        <f t="shared" si="38"/>
        <v>0</v>
      </c>
      <c r="S96" s="18">
        <f t="shared" si="38"/>
        <v>0</v>
      </c>
      <c r="T96" s="18">
        <f t="shared" si="38"/>
        <v>0</v>
      </c>
      <c r="U96" s="18">
        <f t="shared" si="38"/>
        <v>0</v>
      </c>
      <c r="V96" s="18">
        <f t="shared" si="38"/>
        <v>0</v>
      </c>
      <c r="W96" s="18">
        <f t="shared" si="38"/>
        <v>0</v>
      </c>
      <c r="X96" s="18">
        <f t="shared" si="38"/>
        <v>0</v>
      </c>
      <c r="Y96" s="18"/>
    </row>
  </sheetData>
  <mergeCells count="1">
    <mergeCell ref="A4:E4"/>
  </mergeCells>
  <printOptions gridLines="1"/>
  <pageMargins left="0.23622047244094491" right="0.23622047244094491" top="0.74803149606299213" bottom="0.74803149606299213" header="0.31496062992125984" footer="0.31496062992125984"/>
  <pageSetup paperSize="9" scale="50" fitToHeight="2" orientation="landscape" r:id="rId1"/>
  <extLst>
    <ext xmlns:x14="http://schemas.microsoft.com/office/spreadsheetml/2009/9/main" uri="{CCE6A557-97BC-4b89-ADB6-D9C93CAAB3DF}">
      <x14:dataValidations xmlns:xm="http://schemas.microsoft.com/office/excel/2006/main" count="1">
        <x14:dataValidation type="list" allowBlank="1" showErrorMessage="1" xr:uid="{00000000-0002-0000-0700-000000000000}">
          <x14:formula1>
            <xm:f>Categories!$A$1:$A$19</xm:f>
          </x14:formula1>
          <xm:sqref>E6:E95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Y96"/>
  <sheetViews>
    <sheetView workbookViewId="0">
      <pane xSplit="6" ySplit="5" topLeftCell="G6" activePane="bottomRight" state="frozen"/>
      <selection activeCell="B78" sqref="B78"/>
      <selection pane="topRight" activeCell="B78" sqref="B78"/>
      <selection pane="bottomLeft" activeCell="B78" sqref="B78"/>
      <selection pane="bottomRight" activeCell="B78" sqref="B78"/>
    </sheetView>
  </sheetViews>
  <sheetFormatPr defaultRowHeight="15" x14ac:dyDescent="0.25"/>
  <cols>
    <col min="1" max="1" width="10.7109375" bestFit="1" customWidth="1"/>
    <col min="2" max="2" width="13.7109375" customWidth="1"/>
    <col min="3" max="3" width="12" customWidth="1"/>
    <col min="5" max="5" width="15.28515625" customWidth="1"/>
    <col min="6" max="6" width="12.7109375" hidden="1" customWidth="1"/>
    <col min="7" max="25" width="11.7109375" customWidth="1"/>
  </cols>
  <sheetData>
    <row r="1" spans="1:25" ht="23.25" x14ac:dyDescent="0.35">
      <c r="A1" s="3" t="s">
        <v>46</v>
      </c>
      <c r="D1" s="8" t="str">
        <f>Instructions!C3</f>
        <v>Lucy's Tailored Tails</v>
      </c>
      <c r="Y1" s="9"/>
    </row>
    <row r="2" spans="1:25" ht="15" customHeight="1" x14ac:dyDescent="0.35">
      <c r="A2" s="3"/>
      <c r="D2" s="8"/>
      <c r="Y2" s="9"/>
    </row>
    <row r="3" spans="1:25" x14ac:dyDescent="0.25">
      <c r="R3" t="s">
        <v>0</v>
      </c>
      <c r="Y3" s="9">
        <f>IF(Instructions!C7="July",Instructions!C6,June!Y95)</f>
        <v>0</v>
      </c>
    </row>
    <row r="4" spans="1:25" x14ac:dyDescent="0.25">
      <c r="A4" s="39" t="s">
        <v>111</v>
      </c>
      <c r="B4" s="40"/>
      <c r="C4" s="40"/>
      <c r="D4" s="40"/>
      <c r="E4" s="41"/>
      <c r="F4" s="12"/>
      <c r="G4" s="17" t="s">
        <v>31</v>
      </c>
      <c r="H4" s="11"/>
      <c r="I4" s="11"/>
      <c r="J4" s="11"/>
      <c r="K4" s="12"/>
      <c r="L4" s="17" t="s">
        <v>33</v>
      </c>
      <c r="M4" s="11"/>
      <c r="N4" s="11"/>
      <c r="O4" s="11"/>
      <c r="P4" s="11"/>
      <c r="Q4" s="11"/>
      <c r="R4" s="11"/>
      <c r="S4" s="11"/>
      <c r="T4" s="11"/>
      <c r="U4" s="11"/>
      <c r="V4" s="11"/>
      <c r="W4" s="21"/>
      <c r="X4" s="12"/>
      <c r="Y4" s="10"/>
    </row>
    <row r="5" spans="1:25" ht="30" x14ac:dyDescent="0.25">
      <c r="A5" s="34" t="s">
        <v>1</v>
      </c>
      <c r="B5" s="35" t="s">
        <v>39</v>
      </c>
      <c r="C5" s="34" t="s">
        <v>2</v>
      </c>
      <c r="D5" s="34" t="s">
        <v>3</v>
      </c>
      <c r="E5" s="34" t="s">
        <v>105</v>
      </c>
      <c r="F5" s="12"/>
      <c r="G5" s="10" t="str">
        <f>Categories!A2</f>
        <v>Shop Sales</v>
      </c>
      <c r="H5" s="11" t="str">
        <f>Categories!A3</f>
        <v>Income 2</v>
      </c>
      <c r="I5" s="11" t="str">
        <f>Categories!A4</f>
        <v>Income 3</v>
      </c>
      <c r="J5" s="11" t="str">
        <f>Categories!A5</f>
        <v>Income 4</v>
      </c>
      <c r="K5" s="12" t="str">
        <f>Categories!A6</f>
        <v>Income 5</v>
      </c>
      <c r="L5" s="10" t="str">
        <f>Categories!A7</f>
        <v>Website Fees</v>
      </c>
      <c r="M5" s="11" t="str">
        <f>Categories!A8</f>
        <v>Exp 2</v>
      </c>
      <c r="N5" s="11" t="str">
        <f>Categories!A9</f>
        <v>Exp 3</v>
      </c>
      <c r="O5" s="11" t="str">
        <f>Categories!A10</f>
        <v>Exp 4</v>
      </c>
      <c r="P5" s="11" t="str">
        <f>Categories!A11</f>
        <v>Exp 5</v>
      </c>
      <c r="Q5" s="11" t="str">
        <f>Categories!A12</f>
        <v>Exp 6</v>
      </c>
      <c r="R5" s="11" t="str">
        <f>Categories!A13</f>
        <v>Exp 7</v>
      </c>
      <c r="S5" s="11" t="str">
        <f>Categories!A14</f>
        <v>Exp 8</v>
      </c>
      <c r="T5" s="11" t="str">
        <f>Categories!A15</f>
        <v>Exp 9</v>
      </c>
      <c r="U5" s="11" t="str">
        <f>Categories!A16</f>
        <v>Exp 10</v>
      </c>
      <c r="V5" s="11" t="str">
        <f>Categories!A17</f>
        <v>Exp 11</v>
      </c>
      <c r="W5" s="21" t="str">
        <f>Categories!A18</f>
        <v>Exp 12</v>
      </c>
      <c r="X5" s="12" t="str">
        <f>Categories!A19</f>
        <v>Exp 13</v>
      </c>
      <c r="Y5" s="10" t="s">
        <v>4</v>
      </c>
    </row>
    <row r="6" spans="1:25" x14ac:dyDescent="0.25">
      <c r="A6" s="28"/>
      <c r="B6" s="29"/>
      <c r="C6" s="30"/>
      <c r="D6" s="31"/>
      <c r="E6" s="29" t="s">
        <v>16</v>
      </c>
      <c r="F6" s="13" t="b">
        <f>IF($E6=Categories!$A$1,"",IF($E6=Categories!$A$2,Categories!$B$2,IF($E6=Categories!$A$3,Categories!$B$3,IF($E6=Categories!$A$4,Categories!$B$4,IF($E6=Categories!$A$5,Categories!$B$5,IF($E6=Categories!$A$6,Categories!$B$6,IF($E6=Categories!$A$7,Categories!$B$7,IF($E6=Categories!$A$8,Categories!$B$8,IF($E6=Categories!$A$9,Categories!$B$9,IF($E6=Categories!$A$10,Categories!$B$10,IF($E6=Categories!$A$11,Categories!$B$11,IF($E6=Categories!$A$12,Categories!$B$12,IF($E6=Categories!$A$13,Categories!$B$13,IF($E6=Categories!$A$14,Categories!$B$14,IF($E6=Categories!$A$15,Categories!$B$15,IF($E6=Categories!$A$16,Categories!$B$16,IF($E6=Categories!$A$17,Categories!$B$17,IF($E6=Categories!$A$18,Categories!$B$18,IF($E6=Categories!$A$19,Categories!$B$19)))))))))))))))))))</f>
        <v>0</v>
      </c>
      <c r="G6" s="9" t="str">
        <f>IF($F6="Inc1",$D6,"")</f>
        <v/>
      </c>
      <c r="H6" s="1" t="str">
        <f>IF($F6="Inc2",$D6,"")</f>
        <v/>
      </c>
      <c r="I6" s="1" t="str">
        <f>IF($F6="Int",$D6,"")</f>
        <v/>
      </c>
      <c r="J6" s="1" t="str">
        <f>IF($F6="Inc4",$D6,"")</f>
        <v/>
      </c>
      <c r="K6" s="13" t="str">
        <f>IF($F6="Inc5",$D6,"")</f>
        <v/>
      </c>
      <c r="L6" s="9" t="str">
        <f>IF($F6="ExpA",$D6,"")</f>
        <v/>
      </c>
      <c r="M6" s="1" t="str">
        <f>IF($F6="ExpB",$D6,"")</f>
        <v/>
      </c>
      <c r="N6" s="1" t="str">
        <f>IF($F6="ExpC",$D6,"")</f>
        <v/>
      </c>
      <c r="O6" s="1" t="str">
        <f>IF($F6="ExpD",$D6,"")</f>
        <v/>
      </c>
      <c r="P6" s="1" t="str">
        <f>IF($F6="ExpE",$D6,"")</f>
        <v/>
      </c>
      <c r="Q6" s="1" t="str">
        <f>IF($F6="ExpF",$D6,"")</f>
        <v/>
      </c>
      <c r="R6" s="1" t="str">
        <f>IF($F6="ExpG",$D6,"")</f>
        <v/>
      </c>
      <c r="S6" s="1" t="str">
        <f>IF($F6="ExpH",$D6,"")</f>
        <v/>
      </c>
      <c r="T6" s="1" t="str">
        <f>IF($F6="ExpI",$D6,"")</f>
        <v/>
      </c>
      <c r="U6" s="1" t="str">
        <f>IF($F6="ExpJ",$D6,"")</f>
        <v/>
      </c>
      <c r="V6" s="1" t="str">
        <f>IF($F6="ExpK",$D6,"")</f>
        <v/>
      </c>
      <c r="W6" s="26" t="str">
        <f>IF($F6="ExpL",$D6,"")</f>
        <v/>
      </c>
      <c r="X6" s="13" t="str">
        <f>IF($F6="Expm",$D6,"")</f>
        <v/>
      </c>
      <c r="Y6" s="9">
        <f>$Y$3+SUM(G6:K6)-SUM(L6:X6)</f>
        <v>0</v>
      </c>
    </row>
    <row r="7" spans="1:25" x14ac:dyDescent="0.25">
      <c r="A7" s="28"/>
      <c r="B7" s="29"/>
      <c r="C7" s="30"/>
      <c r="D7" s="31"/>
      <c r="E7" s="29" t="s">
        <v>16</v>
      </c>
      <c r="F7" s="13" t="b">
        <f>IF($E7=Categories!$A$1,"",IF($E7=Categories!$A$2,Categories!$B$2,IF($E7=Categories!$A$3,Categories!$B$3,IF($E7=Categories!$A$4,Categories!$B$4,IF($E7=Categories!$A$5,Categories!$B$5,IF($E7=Categories!$A$6,Categories!$B$6,IF($E7=Categories!$A$7,Categories!$B$7,IF($E7=Categories!$A$8,Categories!$B$8,IF($E7=Categories!$A$9,Categories!$B$9,IF($E7=Categories!$A$10,Categories!$B$10,IF($E7=Categories!$A$11,Categories!$B$11,IF($E7=Categories!$A$12,Categories!$B$12,IF($E7=Categories!$A$13,Categories!$B$13,IF($E7=Categories!$A$14,Categories!$B$14,IF($E7=Categories!$A$15,Categories!$B$15,IF($E7=Categories!$A$16,Categories!$B$16,IF($E7=Categories!$A$17,Categories!$B$17,IF($E7=Categories!$A$18,Categories!$B$18,IF($E7=Categories!$A$19,Categories!$B$19)))))))))))))))))))</f>
        <v>0</v>
      </c>
      <c r="G7" s="9" t="str">
        <f t="shared" ref="G7:G70" si="0">IF($F7="Inc1",$D7,"")</f>
        <v/>
      </c>
      <c r="H7" s="1" t="str">
        <f t="shared" ref="H7:H70" si="1">IF($F7="Inc2",$D7,"")</f>
        <v/>
      </c>
      <c r="I7" s="1" t="str">
        <f t="shared" ref="I7:I70" si="2">IF($F7="Int",$D7,"")</f>
        <v/>
      </c>
      <c r="J7" s="1" t="str">
        <f t="shared" ref="J7:J70" si="3">IF($F7="Inc4",$D7,"")</f>
        <v/>
      </c>
      <c r="K7" s="13" t="str">
        <f t="shared" ref="K7:K70" si="4">IF($F7="Inc5",$D7,"")</f>
        <v/>
      </c>
      <c r="L7" s="9" t="str">
        <f t="shared" ref="L7:L70" si="5">IF($F7="ExpA",$D7,"")</f>
        <v/>
      </c>
      <c r="M7" s="1" t="str">
        <f t="shared" ref="M7:M70" si="6">IF($F7="ExpB",$D7,"")</f>
        <v/>
      </c>
      <c r="N7" s="1" t="str">
        <f t="shared" ref="N7:N70" si="7">IF($F7="ExpC",$D7,"")</f>
        <v/>
      </c>
      <c r="O7" s="1" t="str">
        <f t="shared" ref="O7:O70" si="8">IF($F7="ExpD",$D7,"")</f>
        <v/>
      </c>
      <c r="P7" s="1" t="str">
        <f t="shared" ref="P7:P70" si="9">IF($F7="ExpE",$D7,"")</f>
        <v/>
      </c>
      <c r="Q7" s="1" t="str">
        <f t="shared" ref="Q7:Q70" si="10">IF($F7="ExpF",$D7,"")</f>
        <v/>
      </c>
      <c r="R7" s="1" t="str">
        <f t="shared" ref="R7:R70" si="11">IF($F7="ExpG",$D7,"")</f>
        <v/>
      </c>
      <c r="S7" s="1" t="str">
        <f t="shared" ref="S7:S70" si="12">IF($F7="ExpH",$D7,"")</f>
        <v/>
      </c>
      <c r="T7" s="1" t="str">
        <f t="shared" ref="T7:T70" si="13">IF($F7="ExpI",$D7,"")</f>
        <v/>
      </c>
      <c r="U7" s="1" t="str">
        <f t="shared" ref="U7:U70" si="14">IF($F7="ExpJ",$D7,"")</f>
        <v/>
      </c>
      <c r="V7" s="1" t="str">
        <f t="shared" ref="V7:V70" si="15">IF($F7="ExpK",$D7,"")</f>
        <v/>
      </c>
      <c r="W7" s="26" t="str">
        <f t="shared" ref="W7:W70" si="16">IF($F7="ExpL",$D7,"")</f>
        <v/>
      </c>
      <c r="X7" s="13" t="str">
        <f t="shared" ref="X7:X70" si="17">IF($F7="Expm",$D7,"")</f>
        <v/>
      </c>
      <c r="Y7" s="9">
        <f>Y6+SUM(G7:K7)-SUM(L7:X7)</f>
        <v>0</v>
      </c>
    </row>
    <row r="8" spans="1:25" x14ac:dyDescent="0.25">
      <c r="A8" s="28"/>
      <c r="B8" s="29"/>
      <c r="C8" s="30"/>
      <c r="D8" s="31"/>
      <c r="E8" s="29" t="s">
        <v>16</v>
      </c>
      <c r="F8" s="13" t="b">
        <f>IF($E8=Categories!$A$1,"",IF($E8=Categories!$A$2,Categories!$B$2,IF($E8=Categories!$A$3,Categories!$B$3,IF($E8=Categories!$A$4,Categories!$B$4,IF($E8=Categories!$A$5,Categories!$B$5,IF($E8=Categories!$A$6,Categories!$B$6,IF($E8=Categories!$A$7,Categories!$B$7,IF($E8=Categories!$A$8,Categories!$B$8,IF($E8=Categories!$A$9,Categories!$B$9,IF($E8=Categories!$A$10,Categories!$B$10,IF($E8=Categories!$A$11,Categories!$B$11,IF($E8=Categories!$A$12,Categories!$B$12,IF($E8=Categories!$A$13,Categories!$B$13,IF($E8=Categories!$A$14,Categories!$B$14,IF($E8=Categories!$A$15,Categories!$B$15,IF($E8=Categories!$A$16,Categories!$B$16,IF($E8=Categories!$A$17,Categories!$B$17,IF($E8=Categories!$A$18,Categories!$B$18,IF($E8=Categories!$A$19,Categories!$B$19)))))))))))))))))))</f>
        <v>0</v>
      </c>
      <c r="G8" s="9" t="str">
        <f t="shared" si="0"/>
        <v/>
      </c>
      <c r="H8" s="1" t="str">
        <f t="shared" si="1"/>
        <v/>
      </c>
      <c r="I8" s="1" t="str">
        <f t="shared" si="2"/>
        <v/>
      </c>
      <c r="J8" s="1" t="str">
        <f t="shared" si="3"/>
        <v/>
      </c>
      <c r="K8" s="13" t="str">
        <f t="shared" si="4"/>
        <v/>
      </c>
      <c r="L8" s="9" t="str">
        <f t="shared" si="5"/>
        <v/>
      </c>
      <c r="M8" s="1" t="str">
        <f t="shared" si="6"/>
        <v/>
      </c>
      <c r="N8" s="1" t="str">
        <f t="shared" si="7"/>
        <v/>
      </c>
      <c r="O8" s="1" t="str">
        <f t="shared" si="8"/>
        <v/>
      </c>
      <c r="P8" s="1" t="str">
        <f t="shared" si="9"/>
        <v/>
      </c>
      <c r="Q8" s="1" t="str">
        <f t="shared" si="10"/>
        <v/>
      </c>
      <c r="R8" s="1" t="str">
        <f t="shared" si="11"/>
        <v/>
      </c>
      <c r="S8" s="1" t="str">
        <f t="shared" si="12"/>
        <v/>
      </c>
      <c r="T8" s="1" t="str">
        <f t="shared" si="13"/>
        <v/>
      </c>
      <c r="U8" s="1" t="str">
        <f t="shared" si="14"/>
        <v/>
      </c>
      <c r="V8" s="1" t="str">
        <f t="shared" si="15"/>
        <v/>
      </c>
      <c r="W8" s="26" t="str">
        <f t="shared" si="16"/>
        <v/>
      </c>
      <c r="X8" s="13" t="str">
        <f t="shared" si="17"/>
        <v/>
      </c>
      <c r="Y8" s="9">
        <f t="shared" ref="Y8:Y71" si="18">Y7+SUM(G8:K8)-SUM(L8:X8)</f>
        <v>0</v>
      </c>
    </row>
    <row r="9" spans="1:25" x14ac:dyDescent="0.25">
      <c r="A9" s="28"/>
      <c r="B9" s="29"/>
      <c r="C9" s="30"/>
      <c r="D9" s="31"/>
      <c r="E9" s="29" t="s">
        <v>16</v>
      </c>
      <c r="F9" s="13" t="b">
        <f>IF($E9=Categories!$A$1,"",IF($E9=Categories!$A$2,Categories!$B$2,IF($E9=Categories!$A$3,Categories!$B$3,IF($E9=Categories!$A$4,Categories!$B$4,IF($E9=Categories!$A$5,Categories!$B$5,IF($E9=Categories!$A$6,Categories!$B$6,IF($E9=Categories!$A$7,Categories!$B$7,IF($E9=Categories!$A$8,Categories!$B$8,IF($E9=Categories!$A$9,Categories!$B$9,IF($E9=Categories!$A$10,Categories!$B$10,IF($E9=Categories!$A$11,Categories!$B$11,IF($E9=Categories!$A$12,Categories!$B$12,IF($E9=Categories!$A$13,Categories!$B$13,IF($E9=Categories!$A$14,Categories!$B$14,IF($E9=Categories!$A$15,Categories!$B$15,IF($E9=Categories!$A$16,Categories!$B$16,IF($E9=Categories!$A$17,Categories!$B$17,IF($E9=Categories!$A$18,Categories!$B$18,IF($E9=Categories!$A$19,Categories!$B$19)))))))))))))))))))</f>
        <v>0</v>
      </c>
      <c r="G9" s="9" t="str">
        <f t="shared" si="0"/>
        <v/>
      </c>
      <c r="H9" s="1" t="str">
        <f t="shared" si="1"/>
        <v/>
      </c>
      <c r="I9" s="1" t="str">
        <f t="shared" si="2"/>
        <v/>
      </c>
      <c r="J9" s="1" t="str">
        <f t="shared" si="3"/>
        <v/>
      </c>
      <c r="K9" s="13" t="str">
        <f t="shared" si="4"/>
        <v/>
      </c>
      <c r="L9" s="9" t="str">
        <f t="shared" si="5"/>
        <v/>
      </c>
      <c r="M9" s="1" t="str">
        <f t="shared" si="6"/>
        <v/>
      </c>
      <c r="N9" s="1" t="str">
        <f t="shared" si="7"/>
        <v/>
      </c>
      <c r="O9" s="1" t="str">
        <f t="shared" si="8"/>
        <v/>
      </c>
      <c r="P9" s="1" t="str">
        <f t="shared" si="9"/>
        <v/>
      </c>
      <c r="Q9" s="1" t="str">
        <f t="shared" si="10"/>
        <v/>
      </c>
      <c r="R9" s="1" t="str">
        <f t="shared" si="11"/>
        <v/>
      </c>
      <c r="S9" s="1" t="str">
        <f t="shared" si="12"/>
        <v/>
      </c>
      <c r="T9" s="1" t="str">
        <f t="shared" si="13"/>
        <v/>
      </c>
      <c r="U9" s="1" t="str">
        <f t="shared" si="14"/>
        <v/>
      </c>
      <c r="V9" s="1" t="str">
        <f t="shared" si="15"/>
        <v/>
      </c>
      <c r="W9" s="26" t="str">
        <f t="shared" si="16"/>
        <v/>
      </c>
      <c r="X9" s="13" t="str">
        <f t="shared" si="17"/>
        <v/>
      </c>
      <c r="Y9" s="9">
        <f t="shared" si="18"/>
        <v>0</v>
      </c>
    </row>
    <row r="10" spans="1:25" x14ac:dyDescent="0.25">
      <c r="A10" s="28"/>
      <c r="B10" s="29"/>
      <c r="C10" s="30"/>
      <c r="D10" s="31"/>
      <c r="E10" s="29" t="s">
        <v>16</v>
      </c>
      <c r="F10" s="13" t="b">
        <f>IF($E10=Categories!$A$1,"",IF($E10=Categories!$A$2,Categories!$B$2,IF($E10=Categories!$A$3,Categories!$B$3,IF($E10=Categories!$A$4,Categories!$B$4,IF($E10=Categories!$A$5,Categories!$B$5,IF($E10=Categories!$A$6,Categories!$B$6,IF($E10=Categories!$A$7,Categories!$B$7,IF($E10=Categories!$A$8,Categories!$B$8,IF($E10=Categories!$A$9,Categories!$B$9,IF($E10=Categories!$A$10,Categories!$B$10,IF($E10=Categories!$A$11,Categories!$B$11,IF($E10=Categories!$A$12,Categories!$B$12,IF($E10=Categories!$A$13,Categories!$B$13,IF($E10=Categories!$A$14,Categories!$B$14,IF($E10=Categories!$A$15,Categories!$B$15,IF($E10=Categories!$A$16,Categories!$B$16,IF($E10=Categories!$A$17,Categories!$B$17,IF($E10=Categories!$A$18,Categories!$B$18,IF($E10=Categories!$A$19,Categories!$B$19)))))))))))))))))))</f>
        <v>0</v>
      </c>
      <c r="G10" s="9" t="str">
        <f t="shared" si="0"/>
        <v/>
      </c>
      <c r="H10" s="1" t="str">
        <f t="shared" si="1"/>
        <v/>
      </c>
      <c r="I10" s="1" t="str">
        <f t="shared" si="2"/>
        <v/>
      </c>
      <c r="J10" s="1" t="str">
        <f t="shared" si="3"/>
        <v/>
      </c>
      <c r="K10" s="13" t="str">
        <f t="shared" si="4"/>
        <v/>
      </c>
      <c r="L10" s="9" t="str">
        <f t="shared" si="5"/>
        <v/>
      </c>
      <c r="M10" s="1" t="str">
        <f t="shared" si="6"/>
        <v/>
      </c>
      <c r="N10" s="1" t="str">
        <f t="shared" si="7"/>
        <v/>
      </c>
      <c r="O10" s="1" t="str">
        <f t="shared" si="8"/>
        <v/>
      </c>
      <c r="P10" s="1" t="str">
        <f t="shared" si="9"/>
        <v/>
      </c>
      <c r="Q10" s="1" t="str">
        <f t="shared" si="10"/>
        <v/>
      </c>
      <c r="R10" s="1" t="str">
        <f t="shared" si="11"/>
        <v/>
      </c>
      <c r="S10" s="1" t="str">
        <f t="shared" si="12"/>
        <v/>
      </c>
      <c r="T10" s="1" t="str">
        <f t="shared" si="13"/>
        <v/>
      </c>
      <c r="U10" s="1" t="str">
        <f t="shared" si="14"/>
        <v/>
      </c>
      <c r="V10" s="1" t="str">
        <f t="shared" si="15"/>
        <v/>
      </c>
      <c r="W10" s="26" t="str">
        <f t="shared" si="16"/>
        <v/>
      </c>
      <c r="X10" s="13" t="str">
        <f t="shared" si="17"/>
        <v/>
      </c>
      <c r="Y10" s="9">
        <f t="shared" si="18"/>
        <v>0</v>
      </c>
    </row>
    <row r="11" spans="1:25" x14ac:dyDescent="0.25">
      <c r="A11" s="28"/>
      <c r="B11" s="29"/>
      <c r="C11" s="30"/>
      <c r="D11" s="31"/>
      <c r="E11" s="29" t="s">
        <v>16</v>
      </c>
      <c r="F11" s="13" t="b">
        <f>IF($E11=Categories!$A$1,"",IF($E11=Categories!$A$2,Categories!$B$2,IF($E11=Categories!$A$3,Categories!$B$3,IF($E11=Categories!$A$4,Categories!$B$4,IF($E11=Categories!$A$5,Categories!$B$5,IF($E11=Categories!$A$6,Categories!$B$6,IF($E11=Categories!$A$7,Categories!$B$7,IF($E11=Categories!$A$8,Categories!$B$8,IF($E11=Categories!$A$9,Categories!$B$9,IF($E11=Categories!$A$10,Categories!$B$10,IF($E11=Categories!$A$11,Categories!$B$11,IF($E11=Categories!$A$12,Categories!$B$12,IF($E11=Categories!$A$13,Categories!$B$13,IF($E11=Categories!$A$14,Categories!$B$14,IF($E11=Categories!$A$15,Categories!$B$15,IF($E11=Categories!$A$16,Categories!$B$16,IF($E11=Categories!$A$17,Categories!$B$17,IF($E11=Categories!$A$18,Categories!$B$18,IF($E11=Categories!$A$19,Categories!$B$19)))))))))))))))))))</f>
        <v>0</v>
      </c>
      <c r="G11" s="9" t="str">
        <f t="shared" si="0"/>
        <v/>
      </c>
      <c r="H11" s="1" t="str">
        <f t="shared" si="1"/>
        <v/>
      </c>
      <c r="I11" s="1" t="str">
        <f t="shared" si="2"/>
        <v/>
      </c>
      <c r="J11" s="1" t="str">
        <f t="shared" si="3"/>
        <v/>
      </c>
      <c r="K11" s="13" t="str">
        <f t="shared" si="4"/>
        <v/>
      </c>
      <c r="L11" s="9" t="str">
        <f t="shared" si="5"/>
        <v/>
      </c>
      <c r="M11" s="1" t="str">
        <f t="shared" si="6"/>
        <v/>
      </c>
      <c r="N11" s="1" t="str">
        <f t="shared" si="7"/>
        <v/>
      </c>
      <c r="O11" s="1" t="str">
        <f t="shared" si="8"/>
        <v/>
      </c>
      <c r="P11" s="1" t="str">
        <f t="shared" si="9"/>
        <v/>
      </c>
      <c r="Q11" s="1" t="str">
        <f t="shared" si="10"/>
        <v/>
      </c>
      <c r="R11" s="1" t="str">
        <f t="shared" si="11"/>
        <v/>
      </c>
      <c r="S11" s="1" t="str">
        <f t="shared" si="12"/>
        <v/>
      </c>
      <c r="T11" s="1" t="str">
        <f t="shared" si="13"/>
        <v/>
      </c>
      <c r="U11" s="1" t="str">
        <f t="shared" si="14"/>
        <v/>
      </c>
      <c r="V11" s="1" t="str">
        <f t="shared" si="15"/>
        <v/>
      </c>
      <c r="W11" s="26" t="str">
        <f t="shared" si="16"/>
        <v/>
      </c>
      <c r="X11" s="13" t="str">
        <f t="shared" si="17"/>
        <v/>
      </c>
      <c r="Y11" s="9">
        <f t="shared" si="18"/>
        <v>0</v>
      </c>
    </row>
    <row r="12" spans="1:25" x14ac:dyDescent="0.25">
      <c r="A12" s="28"/>
      <c r="B12" s="29"/>
      <c r="C12" s="30"/>
      <c r="D12" s="31"/>
      <c r="E12" s="29" t="s">
        <v>16</v>
      </c>
      <c r="F12" s="13" t="b">
        <f>IF($E12=Categories!$A$1,"",IF($E12=Categories!$A$2,Categories!$B$2,IF($E12=Categories!$A$3,Categories!$B$3,IF($E12=Categories!$A$4,Categories!$B$4,IF($E12=Categories!$A$5,Categories!$B$5,IF($E12=Categories!$A$6,Categories!$B$6,IF($E12=Categories!$A$7,Categories!$B$7,IF($E12=Categories!$A$8,Categories!$B$8,IF($E12=Categories!$A$9,Categories!$B$9,IF($E12=Categories!$A$10,Categories!$B$10,IF($E12=Categories!$A$11,Categories!$B$11,IF($E12=Categories!$A$12,Categories!$B$12,IF($E12=Categories!$A$13,Categories!$B$13,IF($E12=Categories!$A$14,Categories!$B$14,IF($E12=Categories!$A$15,Categories!$B$15,IF($E12=Categories!$A$16,Categories!$B$16,IF($E12=Categories!$A$17,Categories!$B$17,IF($E12=Categories!$A$18,Categories!$B$18,IF($E12=Categories!$A$19,Categories!$B$19)))))))))))))))))))</f>
        <v>0</v>
      </c>
      <c r="G12" s="9" t="str">
        <f t="shared" si="0"/>
        <v/>
      </c>
      <c r="H12" s="1" t="str">
        <f t="shared" si="1"/>
        <v/>
      </c>
      <c r="I12" s="1" t="str">
        <f t="shared" si="2"/>
        <v/>
      </c>
      <c r="J12" s="1" t="str">
        <f t="shared" si="3"/>
        <v/>
      </c>
      <c r="K12" s="13" t="str">
        <f t="shared" si="4"/>
        <v/>
      </c>
      <c r="L12" s="9" t="str">
        <f t="shared" si="5"/>
        <v/>
      </c>
      <c r="M12" s="1" t="str">
        <f t="shared" si="6"/>
        <v/>
      </c>
      <c r="N12" s="1" t="str">
        <f t="shared" si="7"/>
        <v/>
      </c>
      <c r="O12" s="1" t="str">
        <f t="shared" si="8"/>
        <v/>
      </c>
      <c r="P12" s="1" t="str">
        <f t="shared" si="9"/>
        <v/>
      </c>
      <c r="Q12" s="1" t="str">
        <f t="shared" si="10"/>
        <v/>
      </c>
      <c r="R12" s="1" t="str">
        <f t="shared" si="11"/>
        <v/>
      </c>
      <c r="S12" s="1" t="str">
        <f t="shared" si="12"/>
        <v/>
      </c>
      <c r="T12" s="1" t="str">
        <f t="shared" si="13"/>
        <v/>
      </c>
      <c r="U12" s="1" t="str">
        <f t="shared" si="14"/>
        <v/>
      </c>
      <c r="V12" s="1" t="str">
        <f t="shared" si="15"/>
        <v/>
      </c>
      <c r="W12" s="26" t="str">
        <f t="shared" si="16"/>
        <v/>
      </c>
      <c r="X12" s="13" t="str">
        <f t="shared" si="17"/>
        <v/>
      </c>
      <c r="Y12" s="9">
        <f t="shared" si="18"/>
        <v>0</v>
      </c>
    </row>
    <row r="13" spans="1:25" x14ac:dyDescent="0.25">
      <c r="A13" s="28"/>
      <c r="B13" s="29"/>
      <c r="C13" s="30"/>
      <c r="D13" s="31"/>
      <c r="E13" s="29" t="s">
        <v>16</v>
      </c>
      <c r="F13" s="13" t="b">
        <f>IF($E13=Categories!$A$1,"",IF($E13=Categories!$A$2,Categories!$B$2,IF($E13=Categories!$A$3,Categories!$B$3,IF($E13=Categories!$A$4,Categories!$B$4,IF($E13=Categories!$A$5,Categories!$B$5,IF($E13=Categories!$A$6,Categories!$B$6,IF($E13=Categories!$A$7,Categories!$B$7,IF($E13=Categories!$A$8,Categories!$B$8,IF($E13=Categories!$A$9,Categories!$B$9,IF($E13=Categories!$A$10,Categories!$B$10,IF($E13=Categories!$A$11,Categories!$B$11,IF($E13=Categories!$A$12,Categories!$B$12,IF($E13=Categories!$A$13,Categories!$B$13,IF($E13=Categories!$A$14,Categories!$B$14,IF($E13=Categories!$A$15,Categories!$B$15,IF($E13=Categories!$A$16,Categories!$B$16,IF($E13=Categories!$A$17,Categories!$B$17,IF($E13=Categories!$A$18,Categories!$B$18,IF($E13=Categories!$A$19,Categories!$B$19)))))))))))))))))))</f>
        <v>0</v>
      </c>
      <c r="G13" s="9" t="str">
        <f t="shared" si="0"/>
        <v/>
      </c>
      <c r="H13" s="1" t="str">
        <f t="shared" si="1"/>
        <v/>
      </c>
      <c r="I13" s="1" t="str">
        <f t="shared" si="2"/>
        <v/>
      </c>
      <c r="J13" s="1" t="str">
        <f t="shared" si="3"/>
        <v/>
      </c>
      <c r="K13" s="13" t="str">
        <f t="shared" si="4"/>
        <v/>
      </c>
      <c r="L13" s="9" t="str">
        <f t="shared" si="5"/>
        <v/>
      </c>
      <c r="M13" s="1" t="str">
        <f t="shared" si="6"/>
        <v/>
      </c>
      <c r="N13" s="1" t="str">
        <f t="shared" si="7"/>
        <v/>
      </c>
      <c r="O13" s="1" t="str">
        <f t="shared" si="8"/>
        <v/>
      </c>
      <c r="P13" s="1" t="str">
        <f t="shared" si="9"/>
        <v/>
      </c>
      <c r="Q13" s="1" t="str">
        <f t="shared" si="10"/>
        <v/>
      </c>
      <c r="R13" s="1" t="str">
        <f t="shared" si="11"/>
        <v/>
      </c>
      <c r="S13" s="1" t="str">
        <f t="shared" si="12"/>
        <v/>
      </c>
      <c r="T13" s="1" t="str">
        <f t="shared" si="13"/>
        <v/>
      </c>
      <c r="U13" s="1" t="str">
        <f t="shared" si="14"/>
        <v/>
      </c>
      <c r="V13" s="1" t="str">
        <f t="shared" si="15"/>
        <v/>
      </c>
      <c r="W13" s="26" t="str">
        <f t="shared" si="16"/>
        <v/>
      </c>
      <c r="X13" s="13" t="str">
        <f t="shared" si="17"/>
        <v/>
      </c>
      <c r="Y13" s="9">
        <f t="shared" si="18"/>
        <v>0</v>
      </c>
    </row>
    <row r="14" spans="1:25" x14ac:dyDescent="0.25">
      <c r="A14" s="28"/>
      <c r="B14" s="29"/>
      <c r="C14" s="30"/>
      <c r="D14" s="31"/>
      <c r="E14" s="29" t="s">
        <v>16</v>
      </c>
      <c r="F14" s="13" t="b">
        <f>IF($E14=Categories!$A$1,"",IF($E14=Categories!$A$2,Categories!$B$2,IF($E14=Categories!$A$3,Categories!$B$3,IF($E14=Categories!$A$4,Categories!$B$4,IF($E14=Categories!$A$5,Categories!$B$5,IF($E14=Categories!$A$6,Categories!$B$6,IF($E14=Categories!$A$7,Categories!$B$7,IF($E14=Categories!$A$8,Categories!$B$8,IF($E14=Categories!$A$9,Categories!$B$9,IF($E14=Categories!$A$10,Categories!$B$10,IF($E14=Categories!$A$11,Categories!$B$11,IF($E14=Categories!$A$12,Categories!$B$12,IF($E14=Categories!$A$13,Categories!$B$13,IF($E14=Categories!$A$14,Categories!$B$14,IF($E14=Categories!$A$15,Categories!$B$15,IF($E14=Categories!$A$16,Categories!$B$16,IF($E14=Categories!$A$17,Categories!$B$17,IF($E14=Categories!$A$18,Categories!$B$18,IF($E14=Categories!$A$19,Categories!$B$19)))))))))))))))))))</f>
        <v>0</v>
      </c>
      <c r="G14" s="9" t="str">
        <f t="shared" si="0"/>
        <v/>
      </c>
      <c r="H14" s="1" t="str">
        <f t="shared" si="1"/>
        <v/>
      </c>
      <c r="I14" s="1" t="str">
        <f t="shared" si="2"/>
        <v/>
      </c>
      <c r="J14" s="1" t="str">
        <f t="shared" si="3"/>
        <v/>
      </c>
      <c r="K14" s="13" t="str">
        <f t="shared" si="4"/>
        <v/>
      </c>
      <c r="L14" s="9" t="str">
        <f t="shared" si="5"/>
        <v/>
      </c>
      <c r="M14" s="1" t="str">
        <f t="shared" si="6"/>
        <v/>
      </c>
      <c r="N14" s="1" t="str">
        <f t="shared" si="7"/>
        <v/>
      </c>
      <c r="O14" s="1" t="str">
        <f t="shared" si="8"/>
        <v/>
      </c>
      <c r="P14" s="1" t="str">
        <f t="shared" si="9"/>
        <v/>
      </c>
      <c r="Q14" s="1" t="str">
        <f t="shared" si="10"/>
        <v/>
      </c>
      <c r="R14" s="1" t="str">
        <f t="shared" si="11"/>
        <v/>
      </c>
      <c r="S14" s="1" t="str">
        <f t="shared" si="12"/>
        <v/>
      </c>
      <c r="T14" s="1" t="str">
        <f t="shared" si="13"/>
        <v/>
      </c>
      <c r="U14" s="1" t="str">
        <f t="shared" si="14"/>
        <v/>
      </c>
      <c r="V14" s="1" t="str">
        <f t="shared" si="15"/>
        <v/>
      </c>
      <c r="W14" s="26" t="str">
        <f t="shared" si="16"/>
        <v/>
      </c>
      <c r="X14" s="13" t="str">
        <f t="shared" si="17"/>
        <v/>
      </c>
      <c r="Y14" s="9">
        <f t="shared" si="18"/>
        <v>0</v>
      </c>
    </row>
    <row r="15" spans="1:25" x14ac:dyDescent="0.25">
      <c r="A15" s="28"/>
      <c r="B15" s="29"/>
      <c r="C15" s="30"/>
      <c r="D15" s="31"/>
      <c r="E15" s="29" t="s">
        <v>16</v>
      </c>
      <c r="F15" s="13" t="b">
        <f>IF($E15=Categories!$A$1,"",IF($E15=Categories!$A$2,Categories!$B$2,IF($E15=Categories!$A$3,Categories!$B$3,IF($E15=Categories!$A$4,Categories!$B$4,IF($E15=Categories!$A$5,Categories!$B$5,IF($E15=Categories!$A$6,Categories!$B$6,IF($E15=Categories!$A$7,Categories!$B$7,IF($E15=Categories!$A$8,Categories!$B$8,IF($E15=Categories!$A$9,Categories!$B$9,IF($E15=Categories!$A$10,Categories!$B$10,IF($E15=Categories!$A$11,Categories!$B$11,IF($E15=Categories!$A$12,Categories!$B$12,IF($E15=Categories!$A$13,Categories!$B$13,IF($E15=Categories!$A$14,Categories!$B$14,IF($E15=Categories!$A$15,Categories!$B$15,IF($E15=Categories!$A$16,Categories!$B$16,IF($E15=Categories!$A$17,Categories!$B$17,IF($E15=Categories!$A$18,Categories!$B$18,IF($E15=Categories!$A$19,Categories!$B$19)))))))))))))))))))</f>
        <v>0</v>
      </c>
      <c r="G15" s="9" t="str">
        <f t="shared" si="0"/>
        <v/>
      </c>
      <c r="H15" s="1" t="str">
        <f t="shared" si="1"/>
        <v/>
      </c>
      <c r="I15" s="1" t="str">
        <f t="shared" si="2"/>
        <v/>
      </c>
      <c r="J15" s="1" t="str">
        <f t="shared" si="3"/>
        <v/>
      </c>
      <c r="K15" s="13" t="str">
        <f t="shared" si="4"/>
        <v/>
      </c>
      <c r="L15" s="9" t="str">
        <f t="shared" si="5"/>
        <v/>
      </c>
      <c r="M15" s="1" t="str">
        <f t="shared" si="6"/>
        <v/>
      </c>
      <c r="N15" s="1" t="str">
        <f t="shared" si="7"/>
        <v/>
      </c>
      <c r="O15" s="1" t="str">
        <f t="shared" si="8"/>
        <v/>
      </c>
      <c r="P15" s="1" t="str">
        <f t="shared" si="9"/>
        <v/>
      </c>
      <c r="Q15" s="1" t="str">
        <f t="shared" si="10"/>
        <v/>
      </c>
      <c r="R15" s="1" t="str">
        <f t="shared" si="11"/>
        <v/>
      </c>
      <c r="S15" s="1" t="str">
        <f t="shared" si="12"/>
        <v/>
      </c>
      <c r="T15" s="1" t="str">
        <f t="shared" si="13"/>
        <v/>
      </c>
      <c r="U15" s="1" t="str">
        <f t="shared" si="14"/>
        <v/>
      </c>
      <c r="V15" s="1" t="str">
        <f t="shared" si="15"/>
        <v/>
      </c>
      <c r="W15" s="26" t="str">
        <f t="shared" si="16"/>
        <v/>
      </c>
      <c r="X15" s="13" t="str">
        <f t="shared" si="17"/>
        <v/>
      </c>
      <c r="Y15" s="9">
        <f t="shared" si="18"/>
        <v>0</v>
      </c>
    </row>
    <row r="16" spans="1:25" x14ac:dyDescent="0.25">
      <c r="A16" s="28"/>
      <c r="B16" s="29"/>
      <c r="C16" s="30"/>
      <c r="D16" s="31"/>
      <c r="E16" s="29" t="s">
        <v>16</v>
      </c>
      <c r="F16" s="13" t="b">
        <f>IF($E16=Categories!$A$1,"",IF($E16=Categories!$A$2,Categories!$B$2,IF($E16=Categories!$A$3,Categories!$B$3,IF($E16=Categories!$A$4,Categories!$B$4,IF($E16=Categories!$A$5,Categories!$B$5,IF($E16=Categories!$A$6,Categories!$B$6,IF($E16=Categories!$A$7,Categories!$B$7,IF($E16=Categories!$A$8,Categories!$B$8,IF($E16=Categories!$A$9,Categories!$B$9,IF($E16=Categories!$A$10,Categories!$B$10,IF($E16=Categories!$A$11,Categories!$B$11,IF($E16=Categories!$A$12,Categories!$B$12,IF($E16=Categories!$A$13,Categories!$B$13,IF($E16=Categories!$A$14,Categories!$B$14,IF($E16=Categories!$A$15,Categories!$B$15,IF($E16=Categories!$A$16,Categories!$B$16,IF($E16=Categories!$A$17,Categories!$B$17,IF($E16=Categories!$A$18,Categories!$B$18,IF($E16=Categories!$A$19,Categories!$B$19)))))))))))))))))))</f>
        <v>0</v>
      </c>
      <c r="G16" s="9" t="str">
        <f t="shared" si="0"/>
        <v/>
      </c>
      <c r="H16" s="1" t="str">
        <f t="shared" si="1"/>
        <v/>
      </c>
      <c r="I16" s="1" t="str">
        <f t="shared" si="2"/>
        <v/>
      </c>
      <c r="J16" s="1" t="str">
        <f t="shared" si="3"/>
        <v/>
      </c>
      <c r="K16" s="13" t="str">
        <f t="shared" si="4"/>
        <v/>
      </c>
      <c r="L16" s="9" t="str">
        <f t="shared" si="5"/>
        <v/>
      </c>
      <c r="M16" s="1" t="str">
        <f t="shared" si="6"/>
        <v/>
      </c>
      <c r="N16" s="1" t="str">
        <f t="shared" si="7"/>
        <v/>
      </c>
      <c r="O16" s="1" t="str">
        <f t="shared" si="8"/>
        <v/>
      </c>
      <c r="P16" s="1" t="str">
        <f t="shared" si="9"/>
        <v/>
      </c>
      <c r="Q16" s="1" t="str">
        <f t="shared" si="10"/>
        <v/>
      </c>
      <c r="R16" s="1" t="str">
        <f t="shared" si="11"/>
        <v/>
      </c>
      <c r="S16" s="1" t="str">
        <f t="shared" si="12"/>
        <v/>
      </c>
      <c r="T16" s="1" t="str">
        <f t="shared" si="13"/>
        <v/>
      </c>
      <c r="U16" s="1" t="str">
        <f t="shared" si="14"/>
        <v/>
      </c>
      <c r="V16" s="1" t="str">
        <f t="shared" si="15"/>
        <v/>
      </c>
      <c r="W16" s="26" t="str">
        <f t="shared" si="16"/>
        <v/>
      </c>
      <c r="X16" s="13" t="str">
        <f t="shared" si="17"/>
        <v/>
      </c>
      <c r="Y16" s="9">
        <f t="shared" si="18"/>
        <v>0</v>
      </c>
    </row>
    <row r="17" spans="1:25" x14ac:dyDescent="0.25">
      <c r="A17" s="28"/>
      <c r="B17" s="29"/>
      <c r="C17" s="30"/>
      <c r="D17" s="31"/>
      <c r="E17" s="29" t="s">
        <v>16</v>
      </c>
      <c r="F17" s="13" t="b">
        <f>IF($E17=Categories!$A$1,"",IF($E17=Categories!$A$2,Categories!$B$2,IF($E17=Categories!$A$3,Categories!$B$3,IF($E17=Categories!$A$4,Categories!$B$4,IF($E17=Categories!$A$5,Categories!$B$5,IF($E17=Categories!$A$6,Categories!$B$6,IF($E17=Categories!$A$7,Categories!$B$7,IF($E17=Categories!$A$8,Categories!$B$8,IF($E17=Categories!$A$9,Categories!$B$9,IF($E17=Categories!$A$10,Categories!$B$10,IF($E17=Categories!$A$11,Categories!$B$11,IF($E17=Categories!$A$12,Categories!$B$12,IF($E17=Categories!$A$13,Categories!$B$13,IF($E17=Categories!$A$14,Categories!$B$14,IF($E17=Categories!$A$15,Categories!$B$15,IF($E17=Categories!$A$16,Categories!$B$16,IF($E17=Categories!$A$17,Categories!$B$17,IF($E17=Categories!$A$18,Categories!$B$18,IF($E17=Categories!$A$19,Categories!$B$19)))))))))))))))))))</f>
        <v>0</v>
      </c>
      <c r="G17" s="9" t="str">
        <f t="shared" si="0"/>
        <v/>
      </c>
      <c r="H17" s="1" t="str">
        <f t="shared" si="1"/>
        <v/>
      </c>
      <c r="I17" s="1" t="str">
        <f t="shared" si="2"/>
        <v/>
      </c>
      <c r="J17" s="1" t="str">
        <f t="shared" si="3"/>
        <v/>
      </c>
      <c r="K17" s="13" t="str">
        <f t="shared" si="4"/>
        <v/>
      </c>
      <c r="L17" s="9" t="str">
        <f t="shared" si="5"/>
        <v/>
      </c>
      <c r="M17" s="1" t="str">
        <f t="shared" si="6"/>
        <v/>
      </c>
      <c r="N17" s="1" t="str">
        <f t="shared" si="7"/>
        <v/>
      </c>
      <c r="O17" s="1" t="str">
        <f t="shared" si="8"/>
        <v/>
      </c>
      <c r="P17" s="1" t="str">
        <f t="shared" si="9"/>
        <v/>
      </c>
      <c r="Q17" s="1" t="str">
        <f t="shared" si="10"/>
        <v/>
      </c>
      <c r="R17" s="1" t="str">
        <f t="shared" si="11"/>
        <v/>
      </c>
      <c r="S17" s="1" t="str">
        <f t="shared" si="12"/>
        <v/>
      </c>
      <c r="T17" s="1" t="str">
        <f t="shared" si="13"/>
        <v/>
      </c>
      <c r="U17" s="1" t="str">
        <f t="shared" si="14"/>
        <v/>
      </c>
      <c r="V17" s="1" t="str">
        <f t="shared" si="15"/>
        <v/>
      </c>
      <c r="W17" s="26" t="str">
        <f t="shared" si="16"/>
        <v/>
      </c>
      <c r="X17" s="13" t="str">
        <f t="shared" si="17"/>
        <v/>
      </c>
      <c r="Y17" s="9">
        <f t="shared" si="18"/>
        <v>0</v>
      </c>
    </row>
    <row r="18" spans="1:25" x14ac:dyDescent="0.25">
      <c r="A18" s="28"/>
      <c r="B18" s="29"/>
      <c r="C18" s="30"/>
      <c r="D18" s="31"/>
      <c r="E18" s="29" t="s">
        <v>16</v>
      </c>
      <c r="F18" s="13" t="b">
        <f>IF($E18=Categories!$A$1,"",IF($E18=Categories!$A$2,Categories!$B$2,IF($E18=Categories!$A$3,Categories!$B$3,IF($E18=Categories!$A$4,Categories!$B$4,IF($E18=Categories!$A$5,Categories!$B$5,IF($E18=Categories!$A$6,Categories!$B$6,IF($E18=Categories!$A$7,Categories!$B$7,IF($E18=Categories!$A$8,Categories!$B$8,IF($E18=Categories!$A$9,Categories!$B$9,IF($E18=Categories!$A$10,Categories!$B$10,IF($E18=Categories!$A$11,Categories!$B$11,IF($E18=Categories!$A$12,Categories!$B$12,IF($E18=Categories!$A$13,Categories!$B$13,IF($E18=Categories!$A$14,Categories!$B$14,IF($E18=Categories!$A$15,Categories!$B$15,IF($E18=Categories!$A$16,Categories!$B$16,IF($E18=Categories!$A$17,Categories!$B$17,IF($E18=Categories!$A$18,Categories!$B$18,IF($E18=Categories!$A$19,Categories!$B$19)))))))))))))))))))</f>
        <v>0</v>
      </c>
      <c r="G18" s="9" t="str">
        <f t="shared" si="0"/>
        <v/>
      </c>
      <c r="H18" s="1" t="str">
        <f t="shared" si="1"/>
        <v/>
      </c>
      <c r="I18" s="1" t="str">
        <f t="shared" si="2"/>
        <v/>
      </c>
      <c r="J18" s="1" t="str">
        <f t="shared" si="3"/>
        <v/>
      </c>
      <c r="K18" s="13" t="str">
        <f t="shared" si="4"/>
        <v/>
      </c>
      <c r="L18" s="9" t="str">
        <f t="shared" si="5"/>
        <v/>
      </c>
      <c r="M18" s="1" t="str">
        <f t="shared" si="6"/>
        <v/>
      </c>
      <c r="N18" s="1" t="str">
        <f t="shared" si="7"/>
        <v/>
      </c>
      <c r="O18" s="1" t="str">
        <f t="shared" si="8"/>
        <v/>
      </c>
      <c r="P18" s="1" t="str">
        <f t="shared" si="9"/>
        <v/>
      </c>
      <c r="Q18" s="1" t="str">
        <f t="shared" si="10"/>
        <v/>
      </c>
      <c r="R18" s="1" t="str">
        <f t="shared" si="11"/>
        <v/>
      </c>
      <c r="S18" s="1" t="str">
        <f t="shared" si="12"/>
        <v/>
      </c>
      <c r="T18" s="1" t="str">
        <f t="shared" si="13"/>
        <v/>
      </c>
      <c r="U18" s="1" t="str">
        <f t="shared" si="14"/>
        <v/>
      </c>
      <c r="V18" s="1" t="str">
        <f t="shared" si="15"/>
        <v/>
      </c>
      <c r="W18" s="26" t="str">
        <f t="shared" si="16"/>
        <v/>
      </c>
      <c r="X18" s="13" t="str">
        <f t="shared" si="17"/>
        <v/>
      </c>
      <c r="Y18" s="9">
        <f t="shared" si="18"/>
        <v>0</v>
      </c>
    </row>
    <row r="19" spans="1:25" x14ac:dyDescent="0.25">
      <c r="A19" s="28"/>
      <c r="B19" s="29"/>
      <c r="C19" s="30"/>
      <c r="D19" s="31"/>
      <c r="E19" s="29" t="s">
        <v>16</v>
      </c>
      <c r="F19" s="13" t="b">
        <f>IF($E19=Categories!$A$1,"",IF($E19=Categories!$A$2,Categories!$B$2,IF($E19=Categories!$A$3,Categories!$B$3,IF($E19=Categories!$A$4,Categories!$B$4,IF($E19=Categories!$A$5,Categories!$B$5,IF($E19=Categories!$A$6,Categories!$B$6,IF($E19=Categories!$A$7,Categories!$B$7,IF($E19=Categories!$A$8,Categories!$B$8,IF($E19=Categories!$A$9,Categories!$B$9,IF($E19=Categories!$A$10,Categories!$B$10,IF($E19=Categories!$A$11,Categories!$B$11,IF($E19=Categories!$A$12,Categories!$B$12,IF($E19=Categories!$A$13,Categories!$B$13,IF($E19=Categories!$A$14,Categories!$B$14,IF($E19=Categories!$A$15,Categories!$B$15,IF($E19=Categories!$A$16,Categories!$B$16,IF($E19=Categories!$A$17,Categories!$B$17,IF($E19=Categories!$A$18,Categories!$B$18,IF($E19=Categories!$A$19,Categories!$B$19)))))))))))))))))))</f>
        <v>0</v>
      </c>
      <c r="G19" s="9" t="str">
        <f t="shared" si="0"/>
        <v/>
      </c>
      <c r="H19" s="1" t="str">
        <f t="shared" si="1"/>
        <v/>
      </c>
      <c r="I19" s="1" t="str">
        <f t="shared" si="2"/>
        <v/>
      </c>
      <c r="J19" s="1" t="str">
        <f t="shared" si="3"/>
        <v/>
      </c>
      <c r="K19" s="13" t="str">
        <f t="shared" si="4"/>
        <v/>
      </c>
      <c r="L19" s="9" t="str">
        <f t="shared" si="5"/>
        <v/>
      </c>
      <c r="M19" s="1" t="str">
        <f t="shared" si="6"/>
        <v/>
      </c>
      <c r="N19" s="1" t="str">
        <f t="shared" si="7"/>
        <v/>
      </c>
      <c r="O19" s="1" t="str">
        <f t="shared" si="8"/>
        <v/>
      </c>
      <c r="P19" s="1" t="str">
        <f t="shared" si="9"/>
        <v/>
      </c>
      <c r="Q19" s="1" t="str">
        <f t="shared" si="10"/>
        <v/>
      </c>
      <c r="R19" s="1" t="str">
        <f t="shared" si="11"/>
        <v/>
      </c>
      <c r="S19" s="1" t="str">
        <f t="shared" si="12"/>
        <v/>
      </c>
      <c r="T19" s="1" t="str">
        <f t="shared" si="13"/>
        <v/>
      </c>
      <c r="U19" s="1" t="str">
        <f t="shared" si="14"/>
        <v/>
      </c>
      <c r="V19" s="1" t="str">
        <f t="shared" si="15"/>
        <v/>
      </c>
      <c r="W19" s="26" t="str">
        <f t="shared" si="16"/>
        <v/>
      </c>
      <c r="X19" s="13" t="str">
        <f t="shared" si="17"/>
        <v/>
      </c>
      <c r="Y19" s="9">
        <f t="shared" si="18"/>
        <v>0</v>
      </c>
    </row>
    <row r="20" spans="1:25" x14ac:dyDescent="0.25">
      <c r="A20" s="28"/>
      <c r="B20" s="29"/>
      <c r="C20" s="30"/>
      <c r="D20" s="31"/>
      <c r="E20" s="29" t="s">
        <v>16</v>
      </c>
      <c r="F20" s="13" t="b">
        <f>IF($E20=Categories!$A$1,"",IF($E20=Categories!$A$2,Categories!$B$2,IF($E20=Categories!$A$3,Categories!$B$3,IF($E20=Categories!$A$4,Categories!$B$4,IF($E20=Categories!$A$5,Categories!$B$5,IF($E20=Categories!$A$6,Categories!$B$6,IF($E20=Categories!$A$7,Categories!$B$7,IF($E20=Categories!$A$8,Categories!$B$8,IF($E20=Categories!$A$9,Categories!$B$9,IF($E20=Categories!$A$10,Categories!$B$10,IF($E20=Categories!$A$11,Categories!$B$11,IF($E20=Categories!$A$12,Categories!$B$12,IF($E20=Categories!$A$13,Categories!$B$13,IF($E20=Categories!$A$14,Categories!$B$14,IF($E20=Categories!$A$15,Categories!$B$15,IF($E20=Categories!$A$16,Categories!$B$16,IF($E20=Categories!$A$17,Categories!$B$17,IF($E20=Categories!$A$18,Categories!$B$18,IF($E20=Categories!$A$19,Categories!$B$19)))))))))))))))))))</f>
        <v>0</v>
      </c>
      <c r="G20" s="9" t="str">
        <f t="shared" si="0"/>
        <v/>
      </c>
      <c r="H20" s="1" t="str">
        <f t="shared" si="1"/>
        <v/>
      </c>
      <c r="I20" s="1" t="str">
        <f t="shared" si="2"/>
        <v/>
      </c>
      <c r="J20" s="1" t="str">
        <f t="shared" si="3"/>
        <v/>
      </c>
      <c r="K20" s="13" t="str">
        <f t="shared" si="4"/>
        <v/>
      </c>
      <c r="L20" s="9" t="str">
        <f t="shared" si="5"/>
        <v/>
      </c>
      <c r="M20" s="1" t="str">
        <f t="shared" si="6"/>
        <v/>
      </c>
      <c r="N20" s="1" t="str">
        <f t="shared" si="7"/>
        <v/>
      </c>
      <c r="O20" s="1" t="str">
        <f t="shared" si="8"/>
        <v/>
      </c>
      <c r="P20" s="1" t="str">
        <f t="shared" si="9"/>
        <v/>
      </c>
      <c r="Q20" s="1" t="str">
        <f t="shared" si="10"/>
        <v/>
      </c>
      <c r="R20" s="1" t="str">
        <f t="shared" si="11"/>
        <v/>
      </c>
      <c r="S20" s="1" t="str">
        <f t="shared" si="12"/>
        <v/>
      </c>
      <c r="T20" s="1" t="str">
        <f t="shared" si="13"/>
        <v/>
      </c>
      <c r="U20" s="1" t="str">
        <f t="shared" si="14"/>
        <v/>
      </c>
      <c r="V20" s="1" t="str">
        <f t="shared" si="15"/>
        <v/>
      </c>
      <c r="W20" s="26" t="str">
        <f t="shared" si="16"/>
        <v/>
      </c>
      <c r="X20" s="13" t="str">
        <f t="shared" si="17"/>
        <v/>
      </c>
      <c r="Y20" s="9">
        <f t="shared" si="18"/>
        <v>0</v>
      </c>
    </row>
    <row r="21" spans="1:25" x14ac:dyDescent="0.25">
      <c r="A21" s="28"/>
      <c r="B21" s="29"/>
      <c r="C21" s="30"/>
      <c r="D21" s="31"/>
      <c r="E21" s="29" t="s">
        <v>16</v>
      </c>
      <c r="F21" s="13" t="b">
        <f>IF($E21=Categories!$A$1,"",IF($E21=Categories!$A$2,Categories!$B$2,IF($E21=Categories!$A$3,Categories!$B$3,IF($E21=Categories!$A$4,Categories!$B$4,IF($E21=Categories!$A$5,Categories!$B$5,IF($E21=Categories!$A$6,Categories!$B$6,IF($E21=Categories!$A$7,Categories!$B$7,IF($E21=Categories!$A$8,Categories!$B$8,IF($E21=Categories!$A$9,Categories!$B$9,IF($E21=Categories!$A$10,Categories!$B$10,IF($E21=Categories!$A$11,Categories!$B$11,IF($E21=Categories!$A$12,Categories!$B$12,IF($E21=Categories!$A$13,Categories!$B$13,IF($E21=Categories!$A$14,Categories!$B$14,IF($E21=Categories!$A$15,Categories!$B$15,IF($E21=Categories!$A$16,Categories!$B$16,IF($E21=Categories!$A$17,Categories!$B$17,IF($E21=Categories!$A$18,Categories!$B$18,IF($E21=Categories!$A$19,Categories!$B$19)))))))))))))))))))</f>
        <v>0</v>
      </c>
      <c r="G21" s="9" t="str">
        <f t="shared" si="0"/>
        <v/>
      </c>
      <c r="H21" s="1" t="str">
        <f t="shared" si="1"/>
        <v/>
      </c>
      <c r="I21" s="1" t="str">
        <f t="shared" si="2"/>
        <v/>
      </c>
      <c r="J21" s="1" t="str">
        <f t="shared" si="3"/>
        <v/>
      </c>
      <c r="K21" s="13" t="str">
        <f t="shared" si="4"/>
        <v/>
      </c>
      <c r="L21" s="9" t="str">
        <f t="shared" si="5"/>
        <v/>
      </c>
      <c r="M21" s="1" t="str">
        <f t="shared" si="6"/>
        <v/>
      </c>
      <c r="N21" s="1" t="str">
        <f t="shared" si="7"/>
        <v/>
      </c>
      <c r="O21" s="1" t="str">
        <f t="shared" si="8"/>
        <v/>
      </c>
      <c r="P21" s="1" t="str">
        <f t="shared" si="9"/>
        <v/>
      </c>
      <c r="Q21" s="1" t="str">
        <f t="shared" si="10"/>
        <v/>
      </c>
      <c r="R21" s="1" t="str">
        <f t="shared" si="11"/>
        <v/>
      </c>
      <c r="S21" s="1" t="str">
        <f t="shared" si="12"/>
        <v/>
      </c>
      <c r="T21" s="1" t="str">
        <f t="shared" si="13"/>
        <v/>
      </c>
      <c r="U21" s="1" t="str">
        <f t="shared" si="14"/>
        <v/>
      </c>
      <c r="V21" s="1" t="str">
        <f t="shared" si="15"/>
        <v/>
      </c>
      <c r="W21" s="26" t="str">
        <f t="shared" si="16"/>
        <v/>
      </c>
      <c r="X21" s="13" t="str">
        <f t="shared" si="17"/>
        <v/>
      </c>
      <c r="Y21" s="9">
        <f t="shared" si="18"/>
        <v>0</v>
      </c>
    </row>
    <row r="22" spans="1:25" x14ac:dyDescent="0.25">
      <c r="A22" s="28"/>
      <c r="B22" s="29"/>
      <c r="C22" s="30"/>
      <c r="D22" s="31"/>
      <c r="E22" s="29" t="s">
        <v>16</v>
      </c>
      <c r="F22" s="13" t="b">
        <f>IF($E22=Categories!$A$1,"",IF($E22=Categories!$A$2,Categories!$B$2,IF($E22=Categories!$A$3,Categories!$B$3,IF($E22=Categories!$A$4,Categories!$B$4,IF($E22=Categories!$A$5,Categories!$B$5,IF($E22=Categories!$A$6,Categories!$B$6,IF($E22=Categories!$A$7,Categories!$B$7,IF($E22=Categories!$A$8,Categories!$B$8,IF($E22=Categories!$A$9,Categories!$B$9,IF($E22=Categories!$A$10,Categories!$B$10,IF($E22=Categories!$A$11,Categories!$B$11,IF($E22=Categories!$A$12,Categories!$B$12,IF($E22=Categories!$A$13,Categories!$B$13,IF($E22=Categories!$A$14,Categories!$B$14,IF($E22=Categories!$A$15,Categories!$B$15,IF($E22=Categories!$A$16,Categories!$B$16,IF($E22=Categories!$A$17,Categories!$B$17,IF($E22=Categories!$A$18,Categories!$B$18,IF($E22=Categories!$A$19,Categories!$B$19)))))))))))))))))))</f>
        <v>0</v>
      </c>
      <c r="G22" s="9" t="str">
        <f t="shared" si="0"/>
        <v/>
      </c>
      <c r="H22" s="1" t="str">
        <f t="shared" si="1"/>
        <v/>
      </c>
      <c r="I22" s="1" t="str">
        <f t="shared" si="2"/>
        <v/>
      </c>
      <c r="J22" s="1" t="str">
        <f t="shared" si="3"/>
        <v/>
      </c>
      <c r="K22" s="13" t="str">
        <f t="shared" si="4"/>
        <v/>
      </c>
      <c r="L22" s="9" t="str">
        <f t="shared" si="5"/>
        <v/>
      </c>
      <c r="M22" s="1" t="str">
        <f t="shared" si="6"/>
        <v/>
      </c>
      <c r="N22" s="1" t="str">
        <f t="shared" si="7"/>
        <v/>
      </c>
      <c r="O22" s="1" t="str">
        <f t="shared" si="8"/>
        <v/>
      </c>
      <c r="P22" s="1" t="str">
        <f t="shared" si="9"/>
        <v/>
      </c>
      <c r="Q22" s="1" t="str">
        <f t="shared" si="10"/>
        <v/>
      </c>
      <c r="R22" s="1" t="str">
        <f t="shared" si="11"/>
        <v/>
      </c>
      <c r="S22" s="1" t="str">
        <f t="shared" si="12"/>
        <v/>
      </c>
      <c r="T22" s="1" t="str">
        <f t="shared" si="13"/>
        <v/>
      </c>
      <c r="U22" s="1" t="str">
        <f t="shared" si="14"/>
        <v/>
      </c>
      <c r="V22" s="1" t="str">
        <f t="shared" si="15"/>
        <v/>
      </c>
      <c r="W22" s="26" t="str">
        <f t="shared" si="16"/>
        <v/>
      </c>
      <c r="X22" s="13" t="str">
        <f t="shared" si="17"/>
        <v/>
      </c>
      <c r="Y22" s="9">
        <f t="shared" si="18"/>
        <v>0</v>
      </c>
    </row>
    <row r="23" spans="1:25" x14ac:dyDescent="0.25">
      <c r="A23" s="28"/>
      <c r="B23" s="29"/>
      <c r="C23" s="30"/>
      <c r="D23" s="31"/>
      <c r="E23" s="29" t="s">
        <v>16</v>
      </c>
      <c r="F23" s="13" t="b">
        <f>IF($E23=Categories!$A$1,"",IF($E23=Categories!$A$2,Categories!$B$2,IF($E23=Categories!$A$3,Categories!$B$3,IF($E23=Categories!$A$4,Categories!$B$4,IF($E23=Categories!$A$5,Categories!$B$5,IF($E23=Categories!$A$6,Categories!$B$6,IF($E23=Categories!$A$7,Categories!$B$7,IF($E23=Categories!$A$8,Categories!$B$8,IF($E23=Categories!$A$9,Categories!$B$9,IF($E23=Categories!$A$10,Categories!$B$10,IF($E23=Categories!$A$11,Categories!$B$11,IF($E23=Categories!$A$12,Categories!$B$12,IF($E23=Categories!$A$13,Categories!$B$13,IF($E23=Categories!$A$14,Categories!$B$14,IF($E23=Categories!$A$15,Categories!$B$15,IF($E23=Categories!$A$16,Categories!$B$16,IF($E23=Categories!$A$17,Categories!$B$17,IF($E23=Categories!$A$18,Categories!$B$18,IF($E23=Categories!$A$19,Categories!$B$19)))))))))))))))))))</f>
        <v>0</v>
      </c>
      <c r="G23" s="9" t="str">
        <f t="shared" si="0"/>
        <v/>
      </c>
      <c r="H23" s="1" t="str">
        <f t="shared" si="1"/>
        <v/>
      </c>
      <c r="I23" s="1" t="str">
        <f t="shared" si="2"/>
        <v/>
      </c>
      <c r="J23" s="1" t="str">
        <f t="shared" si="3"/>
        <v/>
      </c>
      <c r="K23" s="13" t="str">
        <f t="shared" si="4"/>
        <v/>
      </c>
      <c r="L23" s="9" t="str">
        <f t="shared" si="5"/>
        <v/>
      </c>
      <c r="M23" s="1" t="str">
        <f t="shared" si="6"/>
        <v/>
      </c>
      <c r="N23" s="1" t="str">
        <f t="shared" si="7"/>
        <v/>
      </c>
      <c r="O23" s="1" t="str">
        <f t="shared" si="8"/>
        <v/>
      </c>
      <c r="P23" s="1" t="str">
        <f t="shared" si="9"/>
        <v/>
      </c>
      <c r="Q23" s="1" t="str">
        <f t="shared" si="10"/>
        <v/>
      </c>
      <c r="R23" s="1" t="str">
        <f t="shared" si="11"/>
        <v/>
      </c>
      <c r="S23" s="1" t="str">
        <f t="shared" si="12"/>
        <v/>
      </c>
      <c r="T23" s="1" t="str">
        <f t="shared" si="13"/>
        <v/>
      </c>
      <c r="U23" s="1" t="str">
        <f t="shared" si="14"/>
        <v/>
      </c>
      <c r="V23" s="1" t="str">
        <f t="shared" si="15"/>
        <v/>
      </c>
      <c r="W23" s="26" t="str">
        <f t="shared" si="16"/>
        <v/>
      </c>
      <c r="X23" s="13" t="str">
        <f t="shared" si="17"/>
        <v/>
      </c>
      <c r="Y23" s="9">
        <f t="shared" si="18"/>
        <v>0</v>
      </c>
    </row>
    <row r="24" spans="1:25" x14ac:dyDescent="0.25">
      <c r="A24" s="28"/>
      <c r="B24" s="29"/>
      <c r="C24" s="30"/>
      <c r="D24" s="31"/>
      <c r="E24" s="29" t="s">
        <v>16</v>
      </c>
      <c r="F24" s="13" t="b">
        <f>IF($E24=Categories!$A$1,"",IF($E24=Categories!$A$2,Categories!$B$2,IF($E24=Categories!$A$3,Categories!$B$3,IF($E24=Categories!$A$4,Categories!$B$4,IF($E24=Categories!$A$5,Categories!$B$5,IF($E24=Categories!$A$6,Categories!$B$6,IF($E24=Categories!$A$7,Categories!$B$7,IF($E24=Categories!$A$8,Categories!$B$8,IF($E24=Categories!$A$9,Categories!$B$9,IF($E24=Categories!$A$10,Categories!$B$10,IF($E24=Categories!$A$11,Categories!$B$11,IF($E24=Categories!$A$12,Categories!$B$12,IF($E24=Categories!$A$13,Categories!$B$13,IF($E24=Categories!$A$14,Categories!$B$14,IF($E24=Categories!$A$15,Categories!$B$15,IF($E24=Categories!$A$16,Categories!$B$16,IF($E24=Categories!$A$17,Categories!$B$17,IF($E24=Categories!$A$18,Categories!$B$18,IF($E24=Categories!$A$19,Categories!$B$19)))))))))))))))))))</f>
        <v>0</v>
      </c>
      <c r="G24" s="9" t="str">
        <f t="shared" si="0"/>
        <v/>
      </c>
      <c r="H24" s="1" t="str">
        <f t="shared" si="1"/>
        <v/>
      </c>
      <c r="I24" s="1" t="str">
        <f t="shared" si="2"/>
        <v/>
      </c>
      <c r="J24" s="1" t="str">
        <f t="shared" si="3"/>
        <v/>
      </c>
      <c r="K24" s="13" t="str">
        <f t="shared" si="4"/>
        <v/>
      </c>
      <c r="L24" s="9" t="str">
        <f t="shared" si="5"/>
        <v/>
      </c>
      <c r="M24" s="1" t="str">
        <f t="shared" si="6"/>
        <v/>
      </c>
      <c r="N24" s="1" t="str">
        <f t="shared" si="7"/>
        <v/>
      </c>
      <c r="O24" s="1" t="str">
        <f t="shared" si="8"/>
        <v/>
      </c>
      <c r="P24" s="1" t="str">
        <f t="shared" si="9"/>
        <v/>
      </c>
      <c r="Q24" s="1" t="str">
        <f t="shared" si="10"/>
        <v/>
      </c>
      <c r="R24" s="1" t="str">
        <f t="shared" si="11"/>
        <v/>
      </c>
      <c r="S24" s="1" t="str">
        <f t="shared" si="12"/>
        <v/>
      </c>
      <c r="T24" s="1" t="str">
        <f t="shared" si="13"/>
        <v/>
      </c>
      <c r="U24" s="1" t="str">
        <f t="shared" si="14"/>
        <v/>
      </c>
      <c r="V24" s="1" t="str">
        <f t="shared" si="15"/>
        <v/>
      </c>
      <c r="W24" s="26" t="str">
        <f t="shared" si="16"/>
        <v/>
      </c>
      <c r="X24" s="13" t="str">
        <f t="shared" si="17"/>
        <v/>
      </c>
      <c r="Y24" s="9">
        <f t="shared" si="18"/>
        <v>0</v>
      </c>
    </row>
    <row r="25" spans="1:25" x14ac:dyDescent="0.25">
      <c r="A25" s="28"/>
      <c r="B25" s="29"/>
      <c r="C25" s="30"/>
      <c r="D25" s="31"/>
      <c r="E25" s="29" t="s">
        <v>16</v>
      </c>
      <c r="F25" s="13" t="b">
        <f>IF($E25=Categories!$A$1,"",IF($E25=Categories!$A$2,Categories!$B$2,IF($E25=Categories!$A$3,Categories!$B$3,IF($E25=Categories!$A$4,Categories!$B$4,IF($E25=Categories!$A$5,Categories!$B$5,IF($E25=Categories!$A$6,Categories!$B$6,IF($E25=Categories!$A$7,Categories!$B$7,IF($E25=Categories!$A$8,Categories!$B$8,IF($E25=Categories!$A$9,Categories!$B$9,IF($E25=Categories!$A$10,Categories!$B$10,IF($E25=Categories!$A$11,Categories!$B$11,IF($E25=Categories!$A$12,Categories!$B$12,IF($E25=Categories!$A$13,Categories!$B$13,IF($E25=Categories!$A$14,Categories!$B$14,IF($E25=Categories!$A$15,Categories!$B$15,IF($E25=Categories!$A$16,Categories!$B$16,IF($E25=Categories!$A$17,Categories!$B$17,IF($E25=Categories!$A$18,Categories!$B$18,IF($E25=Categories!$A$19,Categories!$B$19)))))))))))))))))))</f>
        <v>0</v>
      </c>
      <c r="G25" s="9" t="str">
        <f t="shared" si="0"/>
        <v/>
      </c>
      <c r="H25" s="1" t="str">
        <f t="shared" si="1"/>
        <v/>
      </c>
      <c r="I25" s="1" t="str">
        <f t="shared" si="2"/>
        <v/>
      </c>
      <c r="J25" s="1" t="str">
        <f t="shared" si="3"/>
        <v/>
      </c>
      <c r="K25" s="13" t="str">
        <f t="shared" si="4"/>
        <v/>
      </c>
      <c r="L25" s="9" t="str">
        <f t="shared" si="5"/>
        <v/>
      </c>
      <c r="M25" s="1" t="str">
        <f t="shared" si="6"/>
        <v/>
      </c>
      <c r="N25" s="1" t="str">
        <f t="shared" si="7"/>
        <v/>
      </c>
      <c r="O25" s="1" t="str">
        <f t="shared" si="8"/>
        <v/>
      </c>
      <c r="P25" s="1" t="str">
        <f t="shared" si="9"/>
        <v/>
      </c>
      <c r="Q25" s="1" t="str">
        <f t="shared" si="10"/>
        <v/>
      </c>
      <c r="R25" s="1" t="str">
        <f t="shared" si="11"/>
        <v/>
      </c>
      <c r="S25" s="1" t="str">
        <f t="shared" si="12"/>
        <v/>
      </c>
      <c r="T25" s="1" t="str">
        <f t="shared" si="13"/>
        <v/>
      </c>
      <c r="U25" s="1" t="str">
        <f t="shared" si="14"/>
        <v/>
      </c>
      <c r="V25" s="1" t="str">
        <f t="shared" si="15"/>
        <v/>
      </c>
      <c r="W25" s="26" t="str">
        <f t="shared" si="16"/>
        <v/>
      </c>
      <c r="X25" s="13" t="str">
        <f t="shared" si="17"/>
        <v/>
      </c>
      <c r="Y25" s="9">
        <f t="shared" si="18"/>
        <v>0</v>
      </c>
    </row>
    <row r="26" spans="1:25" x14ac:dyDescent="0.25">
      <c r="A26" s="28"/>
      <c r="B26" s="29"/>
      <c r="C26" s="30"/>
      <c r="D26" s="31"/>
      <c r="E26" s="29" t="s">
        <v>16</v>
      </c>
      <c r="F26" s="13" t="b">
        <f>IF($E26=Categories!$A$1,"",IF($E26=Categories!$A$2,Categories!$B$2,IF($E26=Categories!$A$3,Categories!$B$3,IF($E26=Categories!$A$4,Categories!$B$4,IF($E26=Categories!$A$5,Categories!$B$5,IF($E26=Categories!$A$6,Categories!$B$6,IF($E26=Categories!$A$7,Categories!$B$7,IF($E26=Categories!$A$8,Categories!$B$8,IF($E26=Categories!$A$9,Categories!$B$9,IF($E26=Categories!$A$10,Categories!$B$10,IF($E26=Categories!$A$11,Categories!$B$11,IF($E26=Categories!$A$12,Categories!$B$12,IF($E26=Categories!$A$13,Categories!$B$13,IF($E26=Categories!$A$14,Categories!$B$14,IF($E26=Categories!$A$15,Categories!$B$15,IF($E26=Categories!$A$16,Categories!$B$16,IF($E26=Categories!$A$17,Categories!$B$17,IF($E26=Categories!$A$18,Categories!$B$18,IF($E26=Categories!$A$19,Categories!$B$19)))))))))))))))))))</f>
        <v>0</v>
      </c>
      <c r="G26" s="9" t="str">
        <f t="shared" si="0"/>
        <v/>
      </c>
      <c r="H26" s="1" t="str">
        <f t="shared" si="1"/>
        <v/>
      </c>
      <c r="I26" s="1" t="str">
        <f t="shared" si="2"/>
        <v/>
      </c>
      <c r="J26" s="1" t="str">
        <f t="shared" si="3"/>
        <v/>
      </c>
      <c r="K26" s="13" t="str">
        <f t="shared" si="4"/>
        <v/>
      </c>
      <c r="L26" s="9" t="str">
        <f t="shared" si="5"/>
        <v/>
      </c>
      <c r="M26" s="1" t="str">
        <f t="shared" si="6"/>
        <v/>
      </c>
      <c r="N26" s="1" t="str">
        <f t="shared" si="7"/>
        <v/>
      </c>
      <c r="O26" s="1" t="str">
        <f t="shared" si="8"/>
        <v/>
      </c>
      <c r="P26" s="1" t="str">
        <f t="shared" si="9"/>
        <v/>
      </c>
      <c r="Q26" s="1" t="str">
        <f t="shared" si="10"/>
        <v/>
      </c>
      <c r="R26" s="1" t="str">
        <f t="shared" si="11"/>
        <v/>
      </c>
      <c r="S26" s="1" t="str">
        <f t="shared" si="12"/>
        <v/>
      </c>
      <c r="T26" s="1" t="str">
        <f t="shared" si="13"/>
        <v/>
      </c>
      <c r="U26" s="1" t="str">
        <f t="shared" si="14"/>
        <v/>
      </c>
      <c r="V26" s="1" t="str">
        <f t="shared" si="15"/>
        <v/>
      </c>
      <c r="W26" s="26" t="str">
        <f t="shared" si="16"/>
        <v/>
      </c>
      <c r="X26" s="13" t="str">
        <f t="shared" si="17"/>
        <v/>
      </c>
      <c r="Y26" s="9">
        <f t="shared" si="18"/>
        <v>0</v>
      </c>
    </row>
    <row r="27" spans="1:25" x14ac:dyDescent="0.25">
      <c r="A27" s="28"/>
      <c r="B27" s="29"/>
      <c r="C27" s="30"/>
      <c r="D27" s="31"/>
      <c r="E27" s="29" t="s">
        <v>16</v>
      </c>
      <c r="F27" s="13" t="b">
        <f>IF($E27=Categories!$A$1,"",IF($E27=Categories!$A$2,Categories!$B$2,IF($E27=Categories!$A$3,Categories!$B$3,IF($E27=Categories!$A$4,Categories!$B$4,IF($E27=Categories!$A$5,Categories!$B$5,IF($E27=Categories!$A$6,Categories!$B$6,IF($E27=Categories!$A$7,Categories!$B$7,IF($E27=Categories!$A$8,Categories!$B$8,IF($E27=Categories!$A$9,Categories!$B$9,IF($E27=Categories!$A$10,Categories!$B$10,IF($E27=Categories!$A$11,Categories!$B$11,IF($E27=Categories!$A$12,Categories!$B$12,IF($E27=Categories!$A$13,Categories!$B$13,IF($E27=Categories!$A$14,Categories!$B$14,IF($E27=Categories!$A$15,Categories!$B$15,IF($E27=Categories!$A$16,Categories!$B$16,IF($E27=Categories!$A$17,Categories!$B$17,IF($E27=Categories!$A$18,Categories!$B$18,IF($E27=Categories!$A$19,Categories!$B$19)))))))))))))))))))</f>
        <v>0</v>
      </c>
      <c r="G27" s="9" t="str">
        <f t="shared" si="0"/>
        <v/>
      </c>
      <c r="H27" s="1" t="str">
        <f t="shared" si="1"/>
        <v/>
      </c>
      <c r="I27" s="1" t="str">
        <f t="shared" si="2"/>
        <v/>
      </c>
      <c r="J27" s="1" t="str">
        <f t="shared" si="3"/>
        <v/>
      </c>
      <c r="K27" s="13" t="str">
        <f t="shared" si="4"/>
        <v/>
      </c>
      <c r="L27" s="9" t="str">
        <f t="shared" si="5"/>
        <v/>
      </c>
      <c r="M27" s="1" t="str">
        <f t="shared" si="6"/>
        <v/>
      </c>
      <c r="N27" s="1" t="str">
        <f t="shared" si="7"/>
        <v/>
      </c>
      <c r="O27" s="1" t="str">
        <f t="shared" si="8"/>
        <v/>
      </c>
      <c r="P27" s="1" t="str">
        <f t="shared" si="9"/>
        <v/>
      </c>
      <c r="Q27" s="1" t="str">
        <f t="shared" si="10"/>
        <v/>
      </c>
      <c r="R27" s="1" t="str">
        <f t="shared" si="11"/>
        <v/>
      </c>
      <c r="S27" s="1" t="str">
        <f t="shared" si="12"/>
        <v/>
      </c>
      <c r="T27" s="1" t="str">
        <f t="shared" si="13"/>
        <v/>
      </c>
      <c r="U27" s="1" t="str">
        <f t="shared" si="14"/>
        <v/>
      </c>
      <c r="V27" s="1" t="str">
        <f t="shared" si="15"/>
        <v/>
      </c>
      <c r="W27" s="26" t="str">
        <f t="shared" si="16"/>
        <v/>
      </c>
      <c r="X27" s="13" t="str">
        <f t="shared" si="17"/>
        <v/>
      </c>
      <c r="Y27" s="9">
        <f t="shared" si="18"/>
        <v>0</v>
      </c>
    </row>
    <row r="28" spans="1:25" x14ac:dyDescent="0.25">
      <c r="A28" s="28"/>
      <c r="B28" s="29"/>
      <c r="C28" s="30"/>
      <c r="D28" s="31"/>
      <c r="E28" s="29" t="s">
        <v>16</v>
      </c>
      <c r="F28" s="13" t="b">
        <f>IF($E28=Categories!$A$1,"",IF($E28=Categories!$A$2,Categories!$B$2,IF($E28=Categories!$A$3,Categories!$B$3,IF($E28=Categories!$A$4,Categories!$B$4,IF($E28=Categories!$A$5,Categories!$B$5,IF($E28=Categories!$A$6,Categories!$B$6,IF($E28=Categories!$A$7,Categories!$B$7,IF($E28=Categories!$A$8,Categories!$B$8,IF($E28=Categories!$A$9,Categories!$B$9,IF($E28=Categories!$A$10,Categories!$B$10,IF($E28=Categories!$A$11,Categories!$B$11,IF($E28=Categories!$A$12,Categories!$B$12,IF($E28=Categories!$A$13,Categories!$B$13,IF($E28=Categories!$A$14,Categories!$B$14,IF($E28=Categories!$A$15,Categories!$B$15,IF($E28=Categories!$A$16,Categories!$B$16,IF($E28=Categories!$A$17,Categories!$B$17,IF($E28=Categories!$A$18,Categories!$B$18,IF($E28=Categories!$A$19,Categories!$B$19)))))))))))))))))))</f>
        <v>0</v>
      </c>
      <c r="G28" s="9" t="str">
        <f t="shared" si="0"/>
        <v/>
      </c>
      <c r="H28" s="1" t="str">
        <f t="shared" si="1"/>
        <v/>
      </c>
      <c r="I28" s="1" t="str">
        <f t="shared" si="2"/>
        <v/>
      </c>
      <c r="J28" s="1" t="str">
        <f t="shared" si="3"/>
        <v/>
      </c>
      <c r="K28" s="13" t="str">
        <f t="shared" si="4"/>
        <v/>
      </c>
      <c r="L28" s="9" t="str">
        <f t="shared" si="5"/>
        <v/>
      </c>
      <c r="M28" s="1" t="str">
        <f t="shared" si="6"/>
        <v/>
      </c>
      <c r="N28" s="1" t="str">
        <f t="shared" si="7"/>
        <v/>
      </c>
      <c r="O28" s="1" t="str">
        <f t="shared" si="8"/>
        <v/>
      </c>
      <c r="P28" s="1" t="str">
        <f t="shared" si="9"/>
        <v/>
      </c>
      <c r="Q28" s="1" t="str">
        <f t="shared" si="10"/>
        <v/>
      </c>
      <c r="R28" s="1" t="str">
        <f t="shared" si="11"/>
        <v/>
      </c>
      <c r="S28" s="1" t="str">
        <f t="shared" si="12"/>
        <v/>
      </c>
      <c r="T28" s="1" t="str">
        <f t="shared" si="13"/>
        <v/>
      </c>
      <c r="U28" s="1" t="str">
        <f t="shared" si="14"/>
        <v/>
      </c>
      <c r="V28" s="1" t="str">
        <f t="shared" si="15"/>
        <v/>
      </c>
      <c r="W28" s="26" t="str">
        <f t="shared" si="16"/>
        <v/>
      </c>
      <c r="X28" s="13" t="str">
        <f t="shared" si="17"/>
        <v/>
      </c>
      <c r="Y28" s="9">
        <f t="shared" si="18"/>
        <v>0</v>
      </c>
    </row>
    <row r="29" spans="1:25" x14ac:dyDescent="0.25">
      <c r="A29" s="28"/>
      <c r="B29" s="29"/>
      <c r="C29" s="30"/>
      <c r="D29" s="31"/>
      <c r="E29" s="29" t="s">
        <v>16</v>
      </c>
      <c r="F29" s="13" t="b">
        <f>IF($E29=Categories!$A$1,"",IF($E29=Categories!$A$2,Categories!$B$2,IF($E29=Categories!$A$3,Categories!$B$3,IF($E29=Categories!$A$4,Categories!$B$4,IF($E29=Categories!$A$5,Categories!$B$5,IF($E29=Categories!$A$6,Categories!$B$6,IF($E29=Categories!$A$7,Categories!$B$7,IF($E29=Categories!$A$8,Categories!$B$8,IF($E29=Categories!$A$9,Categories!$B$9,IF($E29=Categories!$A$10,Categories!$B$10,IF($E29=Categories!$A$11,Categories!$B$11,IF($E29=Categories!$A$12,Categories!$B$12,IF($E29=Categories!$A$13,Categories!$B$13,IF($E29=Categories!$A$14,Categories!$B$14,IF($E29=Categories!$A$15,Categories!$B$15,IF($E29=Categories!$A$16,Categories!$B$16,IF($E29=Categories!$A$17,Categories!$B$17,IF($E29=Categories!$A$18,Categories!$B$18,IF($E29=Categories!$A$19,Categories!$B$19)))))))))))))))))))</f>
        <v>0</v>
      </c>
      <c r="G29" s="9" t="str">
        <f t="shared" si="0"/>
        <v/>
      </c>
      <c r="H29" s="1" t="str">
        <f t="shared" si="1"/>
        <v/>
      </c>
      <c r="I29" s="1" t="str">
        <f t="shared" si="2"/>
        <v/>
      </c>
      <c r="J29" s="1" t="str">
        <f t="shared" si="3"/>
        <v/>
      </c>
      <c r="K29" s="13" t="str">
        <f t="shared" si="4"/>
        <v/>
      </c>
      <c r="L29" s="9" t="str">
        <f t="shared" si="5"/>
        <v/>
      </c>
      <c r="M29" s="1" t="str">
        <f t="shared" si="6"/>
        <v/>
      </c>
      <c r="N29" s="1" t="str">
        <f t="shared" si="7"/>
        <v/>
      </c>
      <c r="O29" s="1" t="str">
        <f t="shared" si="8"/>
        <v/>
      </c>
      <c r="P29" s="1" t="str">
        <f t="shared" si="9"/>
        <v/>
      </c>
      <c r="Q29" s="1" t="str">
        <f t="shared" si="10"/>
        <v/>
      </c>
      <c r="R29" s="1" t="str">
        <f t="shared" si="11"/>
        <v/>
      </c>
      <c r="S29" s="1" t="str">
        <f t="shared" si="12"/>
        <v/>
      </c>
      <c r="T29" s="1" t="str">
        <f t="shared" si="13"/>
        <v/>
      </c>
      <c r="U29" s="1" t="str">
        <f t="shared" si="14"/>
        <v/>
      </c>
      <c r="V29" s="1" t="str">
        <f t="shared" si="15"/>
        <v/>
      </c>
      <c r="W29" s="26" t="str">
        <f t="shared" si="16"/>
        <v/>
      </c>
      <c r="X29" s="13" t="str">
        <f t="shared" si="17"/>
        <v/>
      </c>
      <c r="Y29" s="9">
        <f t="shared" si="18"/>
        <v>0</v>
      </c>
    </row>
    <row r="30" spans="1:25" x14ac:dyDescent="0.25">
      <c r="A30" s="28"/>
      <c r="B30" s="29"/>
      <c r="C30" s="30"/>
      <c r="D30" s="31"/>
      <c r="E30" s="29" t="s">
        <v>16</v>
      </c>
      <c r="F30" s="13" t="b">
        <f>IF($E30=Categories!$A$1,"",IF($E30=Categories!$A$2,Categories!$B$2,IF($E30=Categories!$A$3,Categories!$B$3,IF($E30=Categories!$A$4,Categories!$B$4,IF($E30=Categories!$A$5,Categories!$B$5,IF($E30=Categories!$A$6,Categories!$B$6,IF($E30=Categories!$A$7,Categories!$B$7,IF($E30=Categories!$A$8,Categories!$B$8,IF($E30=Categories!$A$9,Categories!$B$9,IF($E30=Categories!$A$10,Categories!$B$10,IF($E30=Categories!$A$11,Categories!$B$11,IF($E30=Categories!$A$12,Categories!$B$12,IF($E30=Categories!$A$13,Categories!$B$13,IF($E30=Categories!$A$14,Categories!$B$14,IF($E30=Categories!$A$15,Categories!$B$15,IF($E30=Categories!$A$16,Categories!$B$16,IF($E30=Categories!$A$17,Categories!$B$17,IF($E30=Categories!$A$18,Categories!$B$18,IF($E30=Categories!$A$19,Categories!$B$19)))))))))))))))))))</f>
        <v>0</v>
      </c>
      <c r="G30" s="9" t="str">
        <f t="shared" si="0"/>
        <v/>
      </c>
      <c r="H30" s="1" t="str">
        <f t="shared" si="1"/>
        <v/>
      </c>
      <c r="I30" s="1" t="str">
        <f t="shared" si="2"/>
        <v/>
      </c>
      <c r="J30" s="1" t="str">
        <f t="shared" si="3"/>
        <v/>
      </c>
      <c r="K30" s="13" t="str">
        <f t="shared" si="4"/>
        <v/>
      </c>
      <c r="L30" s="9" t="str">
        <f t="shared" si="5"/>
        <v/>
      </c>
      <c r="M30" s="1" t="str">
        <f t="shared" si="6"/>
        <v/>
      </c>
      <c r="N30" s="1" t="str">
        <f t="shared" si="7"/>
        <v/>
      </c>
      <c r="O30" s="1" t="str">
        <f t="shared" si="8"/>
        <v/>
      </c>
      <c r="P30" s="1" t="str">
        <f t="shared" si="9"/>
        <v/>
      </c>
      <c r="Q30" s="1" t="str">
        <f t="shared" si="10"/>
        <v/>
      </c>
      <c r="R30" s="1" t="str">
        <f t="shared" si="11"/>
        <v/>
      </c>
      <c r="S30" s="1" t="str">
        <f t="shared" si="12"/>
        <v/>
      </c>
      <c r="T30" s="1" t="str">
        <f t="shared" si="13"/>
        <v/>
      </c>
      <c r="U30" s="1" t="str">
        <f t="shared" si="14"/>
        <v/>
      </c>
      <c r="V30" s="1" t="str">
        <f t="shared" si="15"/>
        <v/>
      </c>
      <c r="W30" s="26" t="str">
        <f t="shared" si="16"/>
        <v/>
      </c>
      <c r="X30" s="13" t="str">
        <f t="shared" si="17"/>
        <v/>
      </c>
      <c r="Y30" s="9">
        <f t="shared" si="18"/>
        <v>0</v>
      </c>
    </row>
    <row r="31" spans="1:25" x14ac:dyDescent="0.25">
      <c r="A31" s="28"/>
      <c r="B31" s="29"/>
      <c r="C31" s="30"/>
      <c r="D31" s="31"/>
      <c r="E31" s="29" t="s">
        <v>16</v>
      </c>
      <c r="F31" s="13" t="b">
        <f>IF($E31=Categories!$A$1,"",IF($E31=Categories!$A$2,Categories!$B$2,IF($E31=Categories!$A$3,Categories!$B$3,IF($E31=Categories!$A$4,Categories!$B$4,IF($E31=Categories!$A$5,Categories!$B$5,IF($E31=Categories!$A$6,Categories!$B$6,IF($E31=Categories!$A$7,Categories!$B$7,IF($E31=Categories!$A$8,Categories!$B$8,IF($E31=Categories!$A$9,Categories!$B$9,IF($E31=Categories!$A$10,Categories!$B$10,IF($E31=Categories!$A$11,Categories!$B$11,IF($E31=Categories!$A$12,Categories!$B$12,IF($E31=Categories!$A$13,Categories!$B$13,IF($E31=Categories!$A$14,Categories!$B$14,IF($E31=Categories!$A$15,Categories!$B$15,IF($E31=Categories!$A$16,Categories!$B$16,IF($E31=Categories!$A$17,Categories!$B$17,IF($E31=Categories!$A$18,Categories!$B$18,IF($E31=Categories!$A$19,Categories!$B$19)))))))))))))))))))</f>
        <v>0</v>
      </c>
      <c r="G31" s="9" t="str">
        <f t="shared" si="0"/>
        <v/>
      </c>
      <c r="H31" s="1" t="str">
        <f t="shared" si="1"/>
        <v/>
      </c>
      <c r="I31" s="1" t="str">
        <f t="shared" si="2"/>
        <v/>
      </c>
      <c r="J31" s="1" t="str">
        <f t="shared" si="3"/>
        <v/>
      </c>
      <c r="K31" s="13" t="str">
        <f t="shared" si="4"/>
        <v/>
      </c>
      <c r="L31" s="9" t="str">
        <f t="shared" si="5"/>
        <v/>
      </c>
      <c r="M31" s="1" t="str">
        <f t="shared" si="6"/>
        <v/>
      </c>
      <c r="N31" s="1" t="str">
        <f t="shared" si="7"/>
        <v/>
      </c>
      <c r="O31" s="1" t="str">
        <f t="shared" si="8"/>
        <v/>
      </c>
      <c r="P31" s="1" t="str">
        <f t="shared" si="9"/>
        <v/>
      </c>
      <c r="Q31" s="1" t="str">
        <f t="shared" si="10"/>
        <v/>
      </c>
      <c r="R31" s="1" t="str">
        <f t="shared" si="11"/>
        <v/>
      </c>
      <c r="S31" s="1" t="str">
        <f t="shared" si="12"/>
        <v/>
      </c>
      <c r="T31" s="1" t="str">
        <f t="shared" si="13"/>
        <v/>
      </c>
      <c r="U31" s="1" t="str">
        <f t="shared" si="14"/>
        <v/>
      </c>
      <c r="V31" s="1" t="str">
        <f t="shared" si="15"/>
        <v/>
      </c>
      <c r="W31" s="26" t="str">
        <f t="shared" si="16"/>
        <v/>
      </c>
      <c r="X31" s="13" t="str">
        <f t="shared" si="17"/>
        <v/>
      </c>
      <c r="Y31" s="9">
        <f t="shared" si="18"/>
        <v>0</v>
      </c>
    </row>
    <row r="32" spans="1:25" x14ac:dyDescent="0.25">
      <c r="A32" s="28"/>
      <c r="B32" s="29"/>
      <c r="C32" s="30"/>
      <c r="D32" s="31"/>
      <c r="E32" s="29" t="s">
        <v>16</v>
      </c>
      <c r="F32" s="13" t="b">
        <f>IF($E32=Categories!$A$1,"",IF($E32=Categories!$A$2,Categories!$B$2,IF($E32=Categories!$A$3,Categories!$B$3,IF($E32=Categories!$A$4,Categories!$B$4,IF($E32=Categories!$A$5,Categories!$B$5,IF($E32=Categories!$A$6,Categories!$B$6,IF($E32=Categories!$A$7,Categories!$B$7,IF($E32=Categories!$A$8,Categories!$B$8,IF($E32=Categories!$A$9,Categories!$B$9,IF($E32=Categories!$A$10,Categories!$B$10,IF($E32=Categories!$A$11,Categories!$B$11,IF($E32=Categories!$A$12,Categories!$B$12,IF($E32=Categories!$A$13,Categories!$B$13,IF($E32=Categories!$A$14,Categories!$B$14,IF($E32=Categories!$A$15,Categories!$B$15,IF($E32=Categories!$A$16,Categories!$B$16,IF($E32=Categories!$A$17,Categories!$B$17,IF($E32=Categories!$A$18,Categories!$B$18,IF($E32=Categories!$A$19,Categories!$B$19)))))))))))))))))))</f>
        <v>0</v>
      </c>
      <c r="G32" s="9" t="str">
        <f t="shared" si="0"/>
        <v/>
      </c>
      <c r="H32" s="1" t="str">
        <f t="shared" si="1"/>
        <v/>
      </c>
      <c r="I32" s="1" t="str">
        <f t="shared" si="2"/>
        <v/>
      </c>
      <c r="J32" s="1" t="str">
        <f t="shared" si="3"/>
        <v/>
      </c>
      <c r="K32" s="13" t="str">
        <f t="shared" si="4"/>
        <v/>
      </c>
      <c r="L32" s="9" t="str">
        <f t="shared" si="5"/>
        <v/>
      </c>
      <c r="M32" s="1" t="str">
        <f t="shared" si="6"/>
        <v/>
      </c>
      <c r="N32" s="1" t="str">
        <f t="shared" si="7"/>
        <v/>
      </c>
      <c r="O32" s="1" t="str">
        <f t="shared" si="8"/>
        <v/>
      </c>
      <c r="P32" s="1" t="str">
        <f t="shared" si="9"/>
        <v/>
      </c>
      <c r="Q32" s="1" t="str">
        <f t="shared" si="10"/>
        <v/>
      </c>
      <c r="R32" s="1" t="str">
        <f t="shared" si="11"/>
        <v/>
      </c>
      <c r="S32" s="1" t="str">
        <f t="shared" si="12"/>
        <v/>
      </c>
      <c r="T32" s="1" t="str">
        <f t="shared" si="13"/>
        <v/>
      </c>
      <c r="U32" s="1" t="str">
        <f t="shared" si="14"/>
        <v/>
      </c>
      <c r="V32" s="1" t="str">
        <f t="shared" si="15"/>
        <v/>
      </c>
      <c r="W32" s="26" t="str">
        <f t="shared" si="16"/>
        <v/>
      </c>
      <c r="X32" s="13" t="str">
        <f t="shared" si="17"/>
        <v/>
      </c>
      <c r="Y32" s="9">
        <f t="shared" si="18"/>
        <v>0</v>
      </c>
    </row>
    <row r="33" spans="1:25" x14ac:dyDescent="0.25">
      <c r="A33" s="28"/>
      <c r="B33" s="29"/>
      <c r="C33" s="30"/>
      <c r="D33" s="31"/>
      <c r="E33" s="29" t="s">
        <v>16</v>
      </c>
      <c r="F33" s="13" t="b">
        <f>IF($E33=Categories!$A$1,"",IF($E33=Categories!$A$2,Categories!$B$2,IF($E33=Categories!$A$3,Categories!$B$3,IF($E33=Categories!$A$4,Categories!$B$4,IF($E33=Categories!$A$5,Categories!$B$5,IF($E33=Categories!$A$6,Categories!$B$6,IF($E33=Categories!$A$7,Categories!$B$7,IF($E33=Categories!$A$8,Categories!$B$8,IF($E33=Categories!$A$9,Categories!$B$9,IF($E33=Categories!$A$10,Categories!$B$10,IF($E33=Categories!$A$11,Categories!$B$11,IF($E33=Categories!$A$12,Categories!$B$12,IF($E33=Categories!$A$13,Categories!$B$13,IF($E33=Categories!$A$14,Categories!$B$14,IF($E33=Categories!$A$15,Categories!$B$15,IF($E33=Categories!$A$16,Categories!$B$16,IF($E33=Categories!$A$17,Categories!$B$17,IF($E33=Categories!$A$18,Categories!$B$18,IF($E33=Categories!$A$19,Categories!$B$19)))))))))))))))))))</f>
        <v>0</v>
      </c>
      <c r="G33" s="9" t="str">
        <f t="shared" si="0"/>
        <v/>
      </c>
      <c r="H33" s="1" t="str">
        <f t="shared" si="1"/>
        <v/>
      </c>
      <c r="I33" s="1" t="str">
        <f t="shared" si="2"/>
        <v/>
      </c>
      <c r="J33" s="1" t="str">
        <f t="shared" si="3"/>
        <v/>
      </c>
      <c r="K33" s="13" t="str">
        <f t="shared" si="4"/>
        <v/>
      </c>
      <c r="L33" s="9" t="str">
        <f t="shared" si="5"/>
        <v/>
      </c>
      <c r="M33" s="1" t="str">
        <f t="shared" si="6"/>
        <v/>
      </c>
      <c r="N33" s="1" t="str">
        <f t="shared" si="7"/>
        <v/>
      </c>
      <c r="O33" s="1" t="str">
        <f t="shared" si="8"/>
        <v/>
      </c>
      <c r="P33" s="1" t="str">
        <f t="shared" si="9"/>
        <v/>
      </c>
      <c r="Q33" s="1" t="str">
        <f t="shared" si="10"/>
        <v/>
      </c>
      <c r="R33" s="1" t="str">
        <f t="shared" si="11"/>
        <v/>
      </c>
      <c r="S33" s="1" t="str">
        <f t="shared" si="12"/>
        <v/>
      </c>
      <c r="T33" s="1" t="str">
        <f t="shared" si="13"/>
        <v/>
      </c>
      <c r="U33" s="1" t="str">
        <f t="shared" si="14"/>
        <v/>
      </c>
      <c r="V33" s="1" t="str">
        <f t="shared" si="15"/>
        <v/>
      </c>
      <c r="W33" s="26" t="str">
        <f t="shared" si="16"/>
        <v/>
      </c>
      <c r="X33" s="13" t="str">
        <f t="shared" si="17"/>
        <v/>
      </c>
      <c r="Y33" s="9">
        <f t="shared" si="18"/>
        <v>0</v>
      </c>
    </row>
    <row r="34" spans="1:25" x14ac:dyDescent="0.25">
      <c r="A34" s="28"/>
      <c r="B34" s="29"/>
      <c r="C34" s="30"/>
      <c r="D34" s="31"/>
      <c r="E34" s="29" t="s">
        <v>16</v>
      </c>
      <c r="F34" s="13" t="b">
        <f>IF($E34=Categories!$A$1,"",IF($E34=Categories!$A$2,Categories!$B$2,IF($E34=Categories!$A$3,Categories!$B$3,IF($E34=Categories!$A$4,Categories!$B$4,IF($E34=Categories!$A$5,Categories!$B$5,IF($E34=Categories!$A$6,Categories!$B$6,IF($E34=Categories!$A$7,Categories!$B$7,IF($E34=Categories!$A$8,Categories!$B$8,IF($E34=Categories!$A$9,Categories!$B$9,IF($E34=Categories!$A$10,Categories!$B$10,IF($E34=Categories!$A$11,Categories!$B$11,IF($E34=Categories!$A$12,Categories!$B$12,IF($E34=Categories!$A$13,Categories!$B$13,IF($E34=Categories!$A$14,Categories!$B$14,IF($E34=Categories!$A$15,Categories!$B$15,IF($E34=Categories!$A$16,Categories!$B$16,IF($E34=Categories!$A$17,Categories!$B$17,IF($E34=Categories!$A$18,Categories!$B$18,IF($E34=Categories!$A$19,Categories!$B$19)))))))))))))))))))</f>
        <v>0</v>
      </c>
      <c r="G34" s="9" t="str">
        <f t="shared" si="0"/>
        <v/>
      </c>
      <c r="H34" s="1" t="str">
        <f t="shared" si="1"/>
        <v/>
      </c>
      <c r="I34" s="1" t="str">
        <f t="shared" si="2"/>
        <v/>
      </c>
      <c r="J34" s="1" t="str">
        <f t="shared" si="3"/>
        <v/>
      </c>
      <c r="K34" s="13" t="str">
        <f t="shared" si="4"/>
        <v/>
      </c>
      <c r="L34" s="9" t="str">
        <f t="shared" si="5"/>
        <v/>
      </c>
      <c r="M34" s="1" t="str">
        <f t="shared" si="6"/>
        <v/>
      </c>
      <c r="N34" s="1" t="str">
        <f t="shared" si="7"/>
        <v/>
      </c>
      <c r="O34" s="1" t="str">
        <f t="shared" si="8"/>
        <v/>
      </c>
      <c r="P34" s="1" t="str">
        <f t="shared" si="9"/>
        <v/>
      </c>
      <c r="Q34" s="1" t="str">
        <f t="shared" si="10"/>
        <v/>
      </c>
      <c r="R34" s="1" t="str">
        <f t="shared" si="11"/>
        <v/>
      </c>
      <c r="S34" s="1" t="str">
        <f t="shared" si="12"/>
        <v/>
      </c>
      <c r="T34" s="1" t="str">
        <f t="shared" si="13"/>
        <v/>
      </c>
      <c r="U34" s="1" t="str">
        <f t="shared" si="14"/>
        <v/>
      </c>
      <c r="V34" s="1" t="str">
        <f t="shared" si="15"/>
        <v/>
      </c>
      <c r="W34" s="26" t="str">
        <f t="shared" si="16"/>
        <v/>
      </c>
      <c r="X34" s="13" t="str">
        <f t="shared" si="17"/>
        <v/>
      </c>
      <c r="Y34" s="9">
        <f t="shared" si="18"/>
        <v>0</v>
      </c>
    </row>
    <row r="35" spans="1:25" x14ac:dyDescent="0.25">
      <c r="A35" s="28"/>
      <c r="B35" s="29"/>
      <c r="C35" s="30"/>
      <c r="D35" s="31"/>
      <c r="E35" s="29" t="s">
        <v>16</v>
      </c>
      <c r="F35" s="13" t="b">
        <f>IF($E35=Categories!$A$1,"",IF($E35=Categories!$A$2,Categories!$B$2,IF($E35=Categories!$A$3,Categories!$B$3,IF($E35=Categories!$A$4,Categories!$B$4,IF($E35=Categories!$A$5,Categories!$B$5,IF($E35=Categories!$A$6,Categories!$B$6,IF($E35=Categories!$A$7,Categories!$B$7,IF($E35=Categories!$A$8,Categories!$B$8,IF($E35=Categories!$A$9,Categories!$B$9,IF($E35=Categories!$A$10,Categories!$B$10,IF($E35=Categories!$A$11,Categories!$B$11,IF($E35=Categories!$A$12,Categories!$B$12,IF($E35=Categories!$A$13,Categories!$B$13,IF($E35=Categories!$A$14,Categories!$B$14,IF($E35=Categories!$A$15,Categories!$B$15,IF($E35=Categories!$A$16,Categories!$B$16,IF($E35=Categories!$A$17,Categories!$B$17,IF($E35=Categories!$A$18,Categories!$B$18,IF($E35=Categories!$A$19,Categories!$B$19)))))))))))))))))))</f>
        <v>0</v>
      </c>
      <c r="G35" s="9" t="str">
        <f t="shared" si="0"/>
        <v/>
      </c>
      <c r="H35" s="1" t="str">
        <f t="shared" si="1"/>
        <v/>
      </c>
      <c r="I35" s="1" t="str">
        <f t="shared" si="2"/>
        <v/>
      </c>
      <c r="J35" s="1" t="str">
        <f t="shared" si="3"/>
        <v/>
      </c>
      <c r="K35" s="13" t="str">
        <f t="shared" si="4"/>
        <v/>
      </c>
      <c r="L35" s="9" t="str">
        <f t="shared" si="5"/>
        <v/>
      </c>
      <c r="M35" s="1" t="str">
        <f t="shared" si="6"/>
        <v/>
      </c>
      <c r="N35" s="1" t="str">
        <f t="shared" si="7"/>
        <v/>
      </c>
      <c r="O35" s="1" t="str">
        <f t="shared" si="8"/>
        <v/>
      </c>
      <c r="P35" s="1" t="str">
        <f t="shared" si="9"/>
        <v/>
      </c>
      <c r="Q35" s="1" t="str">
        <f t="shared" si="10"/>
        <v/>
      </c>
      <c r="R35" s="1" t="str">
        <f t="shared" si="11"/>
        <v/>
      </c>
      <c r="S35" s="1" t="str">
        <f t="shared" si="12"/>
        <v/>
      </c>
      <c r="T35" s="1" t="str">
        <f t="shared" si="13"/>
        <v/>
      </c>
      <c r="U35" s="1" t="str">
        <f t="shared" si="14"/>
        <v/>
      </c>
      <c r="V35" s="1" t="str">
        <f t="shared" si="15"/>
        <v/>
      </c>
      <c r="W35" s="26" t="str">
        <f t="shared" si="16"/>
        <v/>
      </c>
      <c r="X35" s="13" t="str">
        <f t="shared" si="17"/>
        <v/>
      </c>
      <c r="Y35" s="9">
        <f t="shared" si="18"/>
        <v>0</v>
      </c>
    </row>
    <row r="36" spans="1:25" x14ac:dyDescent="0.25">
      <c r="A36" s="28"/>
      <c r="B36" s="29"/>
      <c r="C36" s="30"/>
      <c r="D36" s="31"/>
      <c r="E36" s="29" t="s">
        <v>16</v>
      </c>
      <c r="F36" s="13" t="b">
        <f>IF($E36=Categories!$A$1,"",IF($E36=Categories!$A$2,Categories!$B$2,IF($E36=Categories!$A$3,Categories!$B$3,IF($E36=Categories!$A$4,Categories!$B$4,IF($E36=Categories!$A$5,Categories!$B$5,IF($E36=Categories!$A$6,Categories!$B$6,IF($E36=Categories!$A$7,Categories!$B$7,IF($E36=Categories!$A$8,Categories!$B$8,IF($E36=Categories!$A$9,Categories!$B$9,IF($E36=Categories!$A$10,Categories!$B$10,IF($E36=Categories!$A$11,Categories!$B$11,IF($E36=Categories!$A$12,Categories!$B$12,IF($E36=Categories!$A$13,Categories!$B$13,IF($E36=Categories!$A$14,Categories!$B$14,IF($E36=Categories!$A$15,Categories!$B$15,IF($E36=Categories!$A$16,Categories!$B$16,IF($E36=Categories!$A$17,Categories!$B$17,IF($E36=Categories!$A$18,Categories!$B$18,IF($E36=Categories!$A$19,Categories!$B$19)))))))))))))))))))</f>
        <v>0</v>
      </c>
      <c r="G36" s="9" t="str">
        <f t="shared" si="0"/>
        <v/>
      </c>
      <c r="H36" s="1" t="str">
        <f t="shared" si="1"/>
        <v/>
      </c>
      <c r="I36" s="1" t="str">
        <f t="shared" si="2"/>
        <v/>
      </c>
      <c r="J36" s="1" t="str">
        <f t="shared" si="3"/>
        <v/>
      </c>
      <c r="K36" s="13" t="str">
        <f t="shared" si="4"/>
        <v/>
      </c>
      <c r="L36" s="9" t="str">
        <f t="shared" si="5"/>
        <v/>
      </c>
      <c r="M36" s="1" t="str">
        <f t="shared" si="6"/>
        <v/>
      </c>
      <c r="N36" s="1" t="str">
        <f t="shared" si="7"/>
        <v/>
      </c>
      <c r="O36" s="1" t="str">
        <f t="shared" si="8"/>
        <v/>
      </c>
      <c r="P36" s="1" t="str">
        <f t="shared" si="9"/>
        <v/>
      </c>
      <c r="Q36" s="1" t="str">
        <f t="shared" si="10"/>
        <v/>
      </c>
      <c r="R36" s="1" t="str">
        <f t="shared" si="11"/>
        <v/>
      </c>
      <c r="S36" s="1" t="str">
        <f t="shared" si="12"/>
        <v/>
      </c>
      <c r="T36" s="1" t="str">
        <f t="shared" si="13"/>
        <v/>
      </c>
      <c r="U36" s="1" t="str">
        <f t="shared" si="14"/>
        <v/>
      </c>
      <c r="V36" s="1" t="str">
        <f t="shared" si="15"/>
        <v/>
      </c>
      <c r="W36" s="26" t="str">
        <f t="shared" si="16"/>
        <v/>
      </c>
      <c r="X36" s="13" t="str">
        <f t="shared" si="17"/>
        <v/>
      </c>
      <c r="Y36" s="9">
        <f t="shared" si="18"/>
        <v>0</v>
      </c>
    </row>
    <row r="37" spans="1:25" x14ac:dyDescent="0.25">
      <c r="A37" s="28"/>
      <c r="B37" s="29"/>
      <c r="C37" s="30"/>
      <c r="D37" s="31"/>
      <c r="E37" s="29" t="s">
        <v>16</v>
      </c>
      <c r="F37" s="13" t="b">
        <f>IF($E37=Categories!$A$1,"",IF($E37=Categories!$A$2,Categories!$B$2,IF($E37=Categories!$A$3,Categories!$B$3,IF($E37=Categories!$A$4,Categories!$B$4,IF($E37=Categories!$A$5,Categories!$B$5,IF($E37=Categories!$A$6,Categories!$B$6,IF($E37=Categories!$A$7,Categories!$B$7,IF($E37=Categories!$A$8,Categories!$B$8,IF($E37=Categories!$A$9,Categories!$B$9,IF($E37=Categories!$A$10,Categories!$B$10,IF($E37=Categories!$A$11,Categories!$B$11,IF($E37=Categories!$A$12,Categories!$B$12,IF($E37=Categories!$A$13,Categories!$B$13,IF($E37=Categories!$A$14,Categories!$B$14,IF($E37=Categories!$A$15,Categories!$B$15,IF($E37=Categories!$A$16,Categories!$B$16,IF($E37=Categories!$A$17,Categories!$B$17,IF($E37=Categories!$A$18,Categories!$B$18,IF($E37=Categories!$A$19,Categories!$B$19)))))))))))))))))))</f>
        <v>0</v>
      </c>
      <c r="G37" s="9" t="str">
        <f t="shared" si="0"/>
        <v/>
      </c>
      <c r="H37" s="1" t="str">
        <f t="shared" si="1"/>
        <v/>
      </c>
      <c r="I37" s="1" t="str">
        <f t="shared" si="2"/>
        <v/>
      </c>
      <c r="J37" s="1" t="str">
        <f t="shared" si="3"/>
        <v/>
      </c>
      <c r="K37" s="13" t="str">
        <f t="shared" si="4"/>
        <v/>
      </c>
      <c r="L37" s="9" t="str">
        <f t="shared" si="5"/>
        <v/>
      </c>
      <c r="M37" s="1" t="str">
        <f t="shared" si="6"/>
        <v/>
      </c>
      <c r="N37" s="1" t="str">
        <f t="shared" si="7"/>
        <v/>
      </c>
      <c r="O37" s="1" t="str">
        <f t="shared" si="8"/>
        <v/>
      </c>
      <c r="P37" s="1" t="str">
        <f t="shared" si="9"/>
        <v/>
      </c>
      <c r="Q37" s="1" t="str">
        <f t="shared" si="10"/>
        <v/>
      </c>
      <c r="R37" s="1" t="str">
        <f t="shared" si="11"/>
        <v/>
      </c>
      <c r="S37" s="1" t="str">
        <f t="shared" si="12"/>
        <v/>
      </c>
      <c r="T37" s="1" t="str">
        <f t="shared" si="13"/>
        <v/>
      </c>
      <c r="U37" s="1" t="str">
        <f t="shared" si="14"/>
        <v/>
      </c>
      <c r="V37" s="1" t="str">
        <f t="shared" si="15"/>
        <v/>
      </c>
      <c r="W37" s="26" t="str">
        <f t="shared" si="16"/>
        <v/>
      </c>
      <c r="X37" s="13" t="str">
        <f t="shared" si="17"/>
        <v/>
      </c>
      <c r="Y37" s="9">
        <f t="shared" si="18"/>
        <v>0</v>
      </c>
    </row>
    <row r="38" spans="1:25" x14ac:dyDescent="0.25">
      <c r="A38" s="28"/>
      <c r="B38" s="29"/>
      <c r="C38" s="30"/>
      <c r="D38" s="31"/>
      <c r="E38" s="29" t="s">
        <v>16</v>
      </c>
      <c r="F38" s="13" t="b">
        <f>IF($E38=Categories!$A$1,"",IF($E38=Categories!$A$2,Categories!$B$2,IF($E38=Categories!$A$3,Categories!$B$3,IF($E38=Categories!$A$4,Categories!$B$4,IF($E38=Categories!$A$5,Categories!$B$5,IF($E38=Categories!$A$6,Categories!$B$6,IF($E38=Categories!$A$7,Categories!$B$7,IF($E38=Categories!$A$8,Categories!$B$8,IF($E38=Categories!$A$9,Categories!$B$9,IF($E38=Categories!$A$10,Categories!$B$10,IF($E38=Categories!$A$11,Categories!$B$11,IF($E38=Categories!$A$12,Categories!$B$12,IF($E38=Categories!$A$13,Categories!$B$13,IF($E38=Categories!$A$14,Categories!$B$14,IF($E38=Categories!$A$15,Categories!$B$15,IF($E38=Categories!$A$16,Categories!$B$16,IF($E38=Categories!$A$17,Categories!$B$17,IF($E38=Categories!$A$18,Categories!$B$18,IF($E38=Categories!$A$19,Categories!$B$19)))))))))))))))))))</f>
        <v>0</v>
      </c>
      <c r="G38" s="9" t="str">
        <f t="shared" si="0"/>
        <v/>
      </c>
      <c r="H38" s="1" t="str">
        <f t="shared" si="1"/>
        <v/>
      </c>
      <c r="I38" s="1" t="str">
        <f t="shared" si="2"/>
        <v/>
      </c>
      <c r="J38" s="1" t="str">
        <f t="shared" si="3"/>
        <v/>
      </c>
      <c r="K38" s="13" t="str">
        <f t="shared" si="4"/>
        <v/>
      </c>
      <c r="L38" s="9" t="str">
        <f t="shared" si="5"/>
        <v/>
      </c>
      <c r="M38" s="1" t="str">
        <f t="shared" si="6"/>
        <v/>
      </c>
      <c r="N38" s="1" t="str">
        <f t="shared" si="7"/>
        <v/>
      </c>
      <c r="O38" s="1" t="str">
        <f t="shared" si="8"/>
        <v/>
      </c>
      <c r="P38" s="1" t="str">
        <f t="shared" si="9"/>
        <v/>
      </c>
      <c r="Q38" s="1" t="str">
        <f t="shared" si="10"/>
        <v/>
      </c>
      <c r="R38" s="1" t="str">
        <f t="shared" si="11"/>
        <v/>
      </c>
      <c r="S38" s="1" t="str">
        <f t="shared" si="12"/>
        <v/>
      </c>
      <c r="T38" s="1" t="str">
        <f t="shared" si="13"/>
        <v/>
      </c>
      <c r="U38" s="1" t="str">
        <f t="shared" si="14"/>
        <v/>
      </c>
      <c r="V38" s="1" t="str">
        <f t="shared" si="15"/>
        <v/>
      </c>
      <c r="W38" s="26" t="str">
        <f t="shared" si="16"/>
        <v/>
      </c>
      <c r="X38" s="13" t="str">
        <f t="shared" si="17"/>
        <v/>
      </c>
      <c r="Y38" s="9">
        <f t="shared" si="18"/>
        <v>0</v>
      </c>
    </row>
    <row r="39" spans="1:25" x14ac:dyDescent="0.25">
      <c r="A39" s="28"/>
      <c r="B39" s="29"/>
      <c r="C39" s="30"/>
      <c r="D39" s="31"/>
      <c r="E39" s="29" t="s">
        <v>16</v>
      </c>
      <c r="F39" s="13" t="b">
        <f>IF($E39=Categories!$A$1,"",IF($E39=Categories!$A$2,Categories!$B$2,IF($E39=Categories!$A$3,Categories!$B$3,IF($E39=Categories!$A$4,Categories!$B$4,IF($E39=Categories!$A$5,Categories!$B$5,IF($E39=Categories!$A$6,Categories!$B$6,IF($E39=Categories!$A$7,Categories!$B$7,IF($E39=Categories!$A$8,Categories!$B$8,IF($E39=Categories!$A$9,Categories!$B$9,IF($E39=Categories!$A$10,Categories!$B$10,IF($E39=Categories!$A$11,Categories!$B$11,IF($E39=Categories!$A$12,Categories!$B$12,IF($E39=Categories!$A$13,Categories!$B$13,IF($E39=Categories!$A$14,Categories!$B$14,IF($E39=Categories!$A$15,Categories!$B$15,IF($E39=Categories!$A$16,Categories!$B$16,IF($E39=Categories!$A$17,Categories!$B$17,IF($E39=Categories!$A$18,Categories!$B$18,IF($E39=Categories!$A$19,Categories!$B$19)))))))))))))))))))</f>
        <v>0</v>
      </c>
      <c r="G39" s="9" t="str">
        <f t="shared" si="0"/>
        <v/>
      </c>
      <c r="H39" s="1" t="str">
        <f t="shared" si="1"/>
        <v/>
      </c>
      <c r="I39" s="1" t="str">
        <f t="shared" si="2"/>
        <v/>
      </c>
      <c r="J39" s="1" t="str">
        <f t="shared" si="3"/>
        <v/>
      </c>
      <c r="K39" s="13" t="str">
        <f t="shared" si="4"/>
        <v/>
      </c>
      <c r="L39" s="9" t="str">
        <f t="shared" si="5"/>
        <v/>
      </c>
      <c r="M39" s="1" t="str">
        <f t="shared" si="6"/>
        <v/>
      </c>
      <c r="N39" s="1" t="str">
        <f t="shared" si="7"/>
        <v/>
      </c>
      <c r="O39" s="1" t="str">
        <f t="shared" si="8"/>
        <v/>
      </c>
      <c r="P39" s="1" t="str">
        <f t="shared" si="9"/>
        <v/>
      </c>
      <c r="Q39" s="1" t="str">
        <f t="shared" si="10"/>
        <v/>
      </c>
      <c r="R39" s="1" t="str">
        <f t="shared" si="11"/>
        <v/>
      </c>
      <c r="S39" s="1" t="str">
        <f t="shared" si="12"/>
        <v/>
      </c>
      <c r="T39" s="1" t="str">
        <f t="shared" si="13"/>
        <v/>
      </c>
      <c r="U39" s="1" t="str">
        <f t="shared" si="14"/>
        <v/>
      </c>
      <c r="V39" s="1" t="str">
        <f t="shared" si="15"/>
        <v/>
      </c>
      <c r="W39" s="26" t="str">
        <f t="shared" si="16"/>
        <v/>
      </c>
      <c r="X39" s="13" t="str">
        <f t="shared" si="17"/>
        <v/>
      </c>
      <c r="Y39" s="9">
        <f t="shared" si="18"/>
        <v>0</v>
      </c>
    </row>
    <row r="40" spans="1:25" x14ac:dyDescent="0.25">
      <c r="A40" s="28"/>
      <c r="B40" s="29"/>
      <c r="C40" s="30"/>
      <c r="D40" s="31"/>
      <c r="E40" s="29" t="s">
        <v>16</v>
      </c>
      <c r="F40" s="13" t="b">
        <f>IF($E40=Categories!$A$1,"",IF($E40=Categories!$A$2,Categories!$B$2,IF($E40=Categories!$A$3,Categories!$B$3,IF($E40=Categories!$A$4,Categories!$B$4,IF($E40=Categories!$A$5,Categories!$B$5,IF($E40=Categories!$A$6,Categories!$B$6,IF($E40=Categories!$A$7,Categories!$B$7,IF($E40=Categories!$A$8,Categories!$B$8,IF($E40=Categories!$A$9,Categories!$B$9,IF($E40=Categories!$A$10,Categories!$B$10,IF($E40=Categories!$A$11,Categories!$B$11,IF($E40=Categories!$A$12,Categories!$B$12,IF($E40=Categories!$A$13,Categories!$B$13,IF($E40=Categories!$A$14,Categories!$B$14,IF($E40=Categories!$A$15,Categories!$B$15,IF($E40=Categories!$A$16,Categories!$B$16,IF($E40=Categories!$A$17,Categories!$B$17,IF($E40=Categories!$A$18,Categories!$B$18,IF($E40=Categories!$A$19,Categories!$B$19)))))))))))))))))))</f>
        <v>0</v>
      </c>
      <c r="G40" s="9" t="str">
        <f t="shared" si="0"/>
        <v/>
      </c>
      <c r="H40" s="1" t="str">
        <f t="shared" si="1"/>
        <v/>
      </c>
      <c r="I40" s="1" t="str">
        <f t="shared" si="2"/>
        <v/>
      </c>
      <c r="J40" s="1" t="str">
        <f t="shared" si="3"/>
        <v/>
      </c>
      <c r="K40" s="13" t="str">
        <f t="shared" si="4"/>
        <v/>
      </c>
      <c r="L40" s="9" t="str">
        <f t="shared" si="5"/>
        <v/>
      </c>
      <c r="M40" s="1" t="str">
        <f t="shared" si="6"/>
        <v/>
      </c>
      <c r="N40" s="1" t="str">
        <f t="shared" si="7"/>
        <v/>
      </c>
      <c r="O40" s="1" t="str">
        <f t="shared" si="8"/>
        <v/>
      </c>
      <c r="P40" s="1" t="str">
        <f t="shared" si="9"/>
        <v/>
      </c>
      <c r="Q40" s="1" t="str">
        <f t="shared" si="10"/>
        <v/>
      </c>
      <c r="R40" s="1" t="str">
        <f t="shared" si="11"/>
        <v/>
      </c>
      <c r="S40" s="1" t="str">
        <f t="shared" si="12"/>
        <v/>
      </c>
      <c r="T40" s="1" t="str">
        <f t="shared" si="13"/>
        <v/>
      </c>
      <c r="U40" s="1" t="str">
        <f t="shared" si="14"/>
        <v/>
      </c>
      <c r="V40" s="1" t="str">
        <f t="shared" si="15"/>
        <v/>
      </c>
      <c r="W40" s="26" t="str">
        <f t="shared" si="16"/>
        <v/>
      </c>
      <c r="X40" s="13" t="str">
        <f t="shared" si="17"/>
        <v/>
      </c>
      <c r="Y40" s="9">
        <f t="shared" si="18"/>
        <v>0</v>
      </c>
    </row>
    <row r="41" spans="1:25" x14ac:dyDescent="0.25">
      <c r="A41" s="28"/>
      <c r="B41" s="29"/>
      <c r="C41" s="30"/>
      <c r="D41" s="31"/>
      <c r="E41" s="29" t="s">
        <v>16</v>
      </c>
      <c r="F41" s="13" t="b">
        <f>IF($E41=Categories!$A$1,"",IF($E41=Categories!$A$2,Categories!$B$2,IF($E41=Categories!$A$3,Categories!$B$3,IF($E41=Categories!$A$4,Categories!$B$4,IF($E41=Categories!$A$5,Categories!$B$5,IF($E41=Categories!$A$6,Categories!$B$6,IF($E41=Categories!$A$7,Categories!$B$7,IF($E41=Categories!$A$8,Categories!$B$8,IF($E41=Categories!$A$9,Categories!$B$9,IF($E41=Categories!$A$10,Categories!$B$10,IF($E41=Categories!$A$11,Categories!$B$11,IF($E41=Categories!$A$12,Categories!$B$12,IF($E41=Categories!$A$13,Categories!$B$13,IF($E41=Categories!$A$14,Categories!$B$14,IF($E41=Categories!$A$15,Categories!$B$15,IF($E41=Categories!$A$16,Categories!$B$16,IF($E41=Categories!$A$17,Categories!$B$17,IF($E41=Categories!$A$18,Categories!$B$18,IF($E41=Categories!$A$19,Categories!$B$19)))))))))))))))))))</f>
        <v>0</v>
      </c>
      <c r="G41" s="9" t="str">
        <f t="shared" si="0"/>
        <v/>
      </c>
      <c r="H41" s="1" t="str">
        <f t="shared" si="1"/>
        <v/>
      </c>
      <c r="I41" s="1" t="str">
        <f t="shared" si="2"/>
        <v/>
      </c>
      <c r="J41" s="1" t="str">
        <f t="shared" si="3"/>
        <v/>
      </c>
      <c r="K41" s="13" t="str">
        <f t="shared" si="4"/>
        <v/>
      </c>
      <c r="L41" s="9" t="str">
        <f t="shared" si="5"/>
        <v/>
      </c>
      <c r="M41" s="1" t="str">
        <f t="shared" si="6"/>
        <v/>
      </c>
      <c r="N41" s="1" t="str">
        <f t="shared" si="7"/>
        <v/>
      </c>
      <c r="O41" s="1" t="str">
        <f t="shared" si="8"/>
        <v/>
      </c>
      <c r="P41" s="1" t="str">
        <f t="shared" si="9"/>
        <v/>
      </c>
      <c r="Q41" s="1" t="str">
        <f t="shared" si="10"/>
        <v/>
      </c>
      <c r="R41" s="1" t="str">
        <f t="shared" si="11"/>
        <v/>
      </c>
      <c r="S41" s="1" t="str">
        <f t="shared" si="12"/>
        <v/>
      </c>
      <c r="T41" s="1" t="str">
        <f t="shared" si="13"/>
        <v/>
      </c>
      <c r="U41" s="1" t="str">
        <f t="shared" si="14"/>
        <v/>
      </c>
      <c r="V41" s="1" t="str">
        <f t="shared" si="15"/>
        <v/>
      </c>
      <c r="W41" s="26" t="str">
        <f t="shared" si="16"/>
        <v/>
      </c>
      <c r="X41" s="13" t="str">
        <f t="shared" si="17"/>
        <v/>
      </c>
      <c r="Y41" s="9">
        <f t="shared" si="18"/>
        <v>0</v>
      </c>
    </row>
    <row r="42" spans="1:25" x14ac:dyDescent="0.25">
      <c r="A42" s="28"/>
      <c r="B42" s="29"/>
      <c r="C42" s="30"/>
      <c r="D42" s="31"/>
      <c r="E42" s="29" t="s">
        <v>16</v>
      </c>
      <c r="F42" s="13" t="b">
        <f>IF($E42=Categories!$A$1,"",IF($E42=Categories!$A$2,Categories!$B$2,IF($E42=Categories!$A$3,Categories!$B$3,IF($E42=Categories!$A$4,Categories!$B$4,IF($E42=Categories!$A$5,Categories!$B$5,IF($E42=Categories!$A$6,Categories!$B$6,IF($E42=Categories!$A$7,Categories!$B$7,IF($E42=Categories!$A$8,Categories!$B$8,IF($E42=Categories!$A$9,Categories!$B$9,IF($E42=Categories!$A$10,Categories!$B$10,IF($E42=Categories!$A$11,Categories!$B$11,IF($E42=Categories!$A$12,Categories!$B$12,IF($E42=Categories!$A$13,Categories!$B$13,IF($E42=Categories!$A$14,Categories!$B$14,IF($E42=Categories!$A$15,Categories!$B$15,IF($E42=Categories!$A$16,Categories!$B$16,IF($E42=Categories!$A$17,Categories!$B$17,IF($E42=Categories!$A$18,Categories!$B$18,IF($E42=Categories!$A$19,Categories!$B$19)))))))))))))))))))</f>
        <v>0</v>
      </c>
      <c r="G42" s="9" t="str">
        <f t="shared" si="0"/>
        <v/>
      </c>
      <c r="H42" s="1" t="str">
        <f t="shared" si="1"/>
        <v/>
      </c>
      <c r="I42" s="1" t="str">
        <f t="shared" si="2"/>
        <v/>
      </c>
      <c r="J42" s="1" t="str">
        <f t="shared" si="3"/>
        <v/>
      </c>
      <c r="K42" s="13" t="str">
        <f t="shared" si="4"/>
        <v/>
      </c>
      <c r="L42" s="9" t="str">
        <f t="shared" si="5"/>
        <v/>
      </c>
      <c r="M42" s="1" t="str">
        <f t="shared" si="6"/>
        <v/>
      </c>
      <c r="N42" s="1" t="str">
        <f t="shared" si="7"/>
        <v/>
      </c>
      <c r="O42" s="1" t="str">
        <f t="shared" si="8"/>
        <v/>
      </c>
      <c r="P42" s="1" t="str">
        <f t="shared" si="9"/>
        <v/>
      </c>
      <c r="Q42" s="1" t="str">
        <f t="shared" si="10"/>
        <v/>
      </c>
      <c r="R42" s="1" t="str">
        <f t="shared" si="11"/>
        <v/>
      </c>
      <c r="S42" s="1" t="str">
        <f t="shared" si="12"/>
        <v/>
      </c>
      <c r="T42" s="1" t="str">
        <f t="shared" si="13"/>
        <v/>
      </c>
      <c r="U42" s="1" t="str">
        <f t="shared" si="14"/>
        <v/>
      </c>
      <c r="V42" s="1" t="str">
        <f t="shared" si="15"/>
        <v/>
      </c>
      <c r="W42" s="26" t="str">
        <f t="shared" si="16"/>
        <v/>
      </c>
      <c r="X42" s="13" t="str">
        <f t="shared" si="17"/>
        <v/>
      </c>
      <c r="Y42" s="9">
        <f t="shared" si="18"/>
        <v>0</v>
      </c>
    </row>
    <row r="43" spans="1:25" x14ac:dyDescent="0.25">
      <c r="A43" s="28"/>
      <c r="B43" s="29"/>
      <c r="C43" s="30"/>
      <c r="D43" s="31"/>
      <c r="E43" s="29" t="s">
        <v>16</v>
      </c>
      <c r="F43" s="13" t="b">
        <f>IF($E43=Categories!$A$1,"",IF($E43=Categories!$A$2,Categories!$B$2,IF($E43=Categories!$A$3,Categories!$B$3,IF($E43=Categories!$A$4,Categories!$B$4,IF($E43=Categories!$A$5,Categories!$B$5,IF($E43=Categories!$A$6,Categories!$B$6,IF($E43=Categories!$A$7,Categories!$B$7,IF($E43=Categories!$A$8,Categories!$B$8,IF($E43=Categories!$A$9,Categories!$B$9,IF($E43=Categories!$A$10,Categories!$B$10,IF($E43=Categories!$A$11,Categories!$B$11,IF($E43=Categories!$A$12,Categories!$B$12,IF($E43=Categories!$A$13,Categories!$B$13,IF($E43=Categories!$A$14,Categories!$B$14,IF($E43=Categories!$A$15,Categories!$B$15,IF($E43=Categories!$A$16,Categories!$B$16,IF($E43=Categories!$A$17,Categories!$B$17,IF($E43=Categories!$A$18,Categories!$B$18,IF($E43=Categories!$A$19,Categories!$B$19)))))))))))))))))))</f>
        <v>0</v>
      </c>
      <c r="G43" s="9" t="str">
        <f t="shared" si="0"/>
        <v/>
      </c>
      <c r="H43" s="1" t="str">
        <f t="shared" si="1"/>
        <v/>
      </c>
      <c r="I43" s="1" t="str">
        <f t="shared" si="2"/>
        <v/>
      </c>
      <c r="J43" s="1" t="str">
        <f t="shared" si="3"/>
        <v/>
      </c>
      <c r="K43" s="13" t="str">
        <f t="shared" si="4"/>
        <v/>
      </c>
      <c r="L43" s="9" t="str">
        <f t="shared" si="5"/>
        <v/>
      </c>
      <c r="M43" s="1" t="str">
        <f t="shared" si="6"/>
        <v/>
      </c>
      <c r="N43" s="1" t="str">
        <f t="shared" si="7"/>
        <v/>
      </c>
      <c r="O43" s="1" t="str">
        <f t="shared" si="8"/>
        <v/>
      </c>
      <c r="P43" s="1" t="str">
        <f t="shared" si="9"/>
        <v/>
      </c>
      <c r="Q43" s="1" t="str">
        <f t="shared" si="10"/>
        <v/>
      </c>
      <c r="R43" s="1" t="str">
        <f t="shared" si="11"/>
        <v/>
      </c>
      <c r="S43" s="1" t="str">
        <f t="shared" si="12"/>
        <v/>
      </c>
      <c r="T43" s="1" t="str">
        <f t="shared" si="13"/>
        <v/>
      </c>
      <c r="U43" s="1" t="str">
        <f t="shared" si="14"/>
        <v/>
      </c>
      <c r="V43" s="1" t="str">
        <f t="shared" si="15"/>
        <v/>
      </c>
      <c r="W43" s="26" t="str">
        <f t="shared" si="16"/>
        <v/>
      </c>
      <c r="X43" s="13" t="str">
        <f t="shared" si="17"/>
        <v/>
      </c>
      <c r="Y43" s="9">
        <f t="shared" si="18"/>
        <v>0</v>
      </c>
    </row>
    <row r="44" spans="1:25" x14ac:dyDescent="0.25">
      <c r="A44" s="28"/>
      <c r="B44" s="29"/>
      <c r="C44" s="30"/>
      <c r="D44" s="31"/>
      <c r="E44" s="29" t="s">
        <v>16</v>
      </c>
      <c r="F44" s="13" t="b">
        <f>IF($E44=Categories!$A$1,"",IF($E44=Categories!$A$2,Categories!$B$2,IF($E44=Categories!$A$3,Categories!$B$3,IF($E44=Categories!$A$4,Categories!$B$4,IF($E44=Categories!$A$5,Categories!$B$5,IF($E44=Categories!$A$6,Categories!$B$6,IF($E44=Categories!$A$7,Categories!$B$7,IF($E44=Categories!$A$8,Categories!$B$8,IF($E44=Categories!$A$9,Categories!$B$9,IF($E44=Categories!$A$10,Categories!$B$10,IF($E44=Categories!$A$11,Categories!$B$11,IF($E44=Categories!$A$12,Categories!$B$12,IF($E44=Categories!$A$13,Categories!$B$13,IF($E44=Categories!$A$14,Categories!$B$14,IF($E44=Categories!$A$15,Categories!$B$15,IF($E44=Categories!$A$16,Categories!$B$16,IF($E44=Categories!$A$17,Categories!$B$17,IF($E44=Categories!$A$18,Categories!$B$18,IF($E44=Categories!$A$19,Categories!$B$19)))))))))))))))))))</f>
        <v>0</v>
      </c>
      <c r="G44" s="9" t="str">
        <f t="shared" si="0"/>
        <v/>
      </c>
      <c r="H44" s="1" t="str">
        <f t="shared" si="1"/>
        <v/>
      </c>
      <c r="I44" s="1" t="str">
        <f t="shared" si="2"/>
        <v/>
      </c>
      <c r="J44" s="1" t="str">
        <f t="shared" si="3"/>
        <v/>
      </c>
      <c r="K44" s="13" t="str">
        <f t="shared" si="4"/>
        <v/>
      </c>
      <c r="L44" s="9" t="str">
        <f t="shared" si="5"/>
        <v/>
      </c>
      <c r="M44" s="1" t="str">
        <f t="shared" si="6"/>
        <v/>
      </c>
      <c r="N44" s="1" t="str">
        <f t="shared" si="7"/>
        <v/>
      </c>
      <c r="O44" s="1" t="str">
        <f t="shared" si="8"/>
        <v/>
      </c>
      <c r="P44" s="1" t="str">
        <f t="shared" si="9"/>
        <v/>
      </c>
      <c r="Q44" s="1" t="str">
        <f t="shared" si="10"/>
        <v/>
      </c>
      <c r="R44" s="1" t="str">
        <f t="shared" si="11"/>
        <v/>
      </c>
      <c r="S44" s="1" t="str">
        <f t="shared" si="12"/>
        <v/>
      </c>
      <c r="T44" s="1" t="str">
        <f t="shared" si="13"/>
        <v/>
      </c>
      <c r="U44" s="1" t="str">
        <f t="shared" si="14"/>
        <v/>
      </c>
      <c r="V44" s="1" t="str">
        <f t="shared" si="15"/>
        <v/>
      </c>
      <c r="W44" s="26" t="str">
        <f t="shared" si="16"/>
        <v/>
      </c>
      <c r="X44" s="13" t="str">
        <f t="shared" si="17"/>
        <v/>
      </c>
      <c r="Y44" s="9">
        <f t="shared" si="18"/>
        <v>0</v>
      </c>
    </row>
    <row r="45" spans="1:25" x14ac:dyDescent="0.25">
      <c r="A45" s="28"/>
      <c r="B45" s="29"/>
      <c r="C45" s="30"/>
      <c r="D45" s="31"/>
      <c r="E45" s="29" t="s">
        <v>16</v>
      </c>
      <c r="F45" s="13" t="b">
        <f>IF($E45=Categories!$A$1,"",IF($E45=Categories!$A$2,Categories!$B$2,IF($E45=Categories!$A$3,Categories!$B$3,IF($E45=Categories!$A$4,Categories!$B$4,IF($E45=Categories!$A$5,Categories!$B$5,IF($E45=Categories!$A$6,Categories!$B$6,IF($E45=Categories!$A$7,Categories!$B$7,IF($E45=Categories!$A$8,Categories!$B$8,IF($E45=Categories!$A$9,Categories!$B$9,IF($E45=Categories!$A$10,Categories!$B$10,IF($E45=Categories!$A$11,Categories!$B$11,IF($E45=Categories!$A$12,Categories!$B$12,IF($E45=Categories!$A$13,Categories!$B$13,IF($E45=Categories!$A$14,Categories!$B$14,IF($E45=Categories!$A$15,Categories!$B$15,IF($E45=Categories!$A$16,Categories!$B$16,IF($E45=Categories!$A$17,Categories!$B$17,IF($E45=Categories!$A$18,Categories!$B$18,IF($E45=Categories!$A$19,Categories!$B$19)))))))))))))))))))</f>
        <v>0</v>
      </c>
      <c r="G45" s="9" t="str">
        <f t="shared" si="0"/>
        <v/>
      </c>
      <c r="H45" s="1" t="str">
        <f t="shared" si="1"/>
        <v/>
      </c>
      <c r="I45" s="1" t="str">
        <f t="shared" si="2"/>
        <v/>
      </c>
      <c r="J45" s="1" t="str">
        <f t="shared" si="3"/>
        <v/>
      </c>
      <c r="K45" s="13" t="str">
        <f t="shared" si="4"/>
        <v/>
      </c>
      <c r="L45" s="9" t="str">
        <f t="shared" si="5"/>
        <v/>
      </c>
      <c r="M45" s="1" t="str">
        <f t="shared" si="6"/>
        <v/>
      </c>
      <c r="N45" s="1" t="str">
        <f t="shared" si="7"/>
        <v/>
      </c>
      <c r="O45" s="1" t="str">
        <f t="shared" si="8"/>
        <v/>
      </c>
      <c r="P45" s="1" t="str">
        <f t="shared" si="9"/>
        <v/>
      </c>
      <c r="Q45" s="1" t="str">
        <f t="shared" si="10"/>
        <v/>
      </c>
      <c r="R45" s="1" t="str">
        <f t="shared" si="11"/>
        <v/>
      </c>
      <c r="S45" s="1" t="str">
        <f t="shared" si="12"/>
        <v/>
      </c>
      <c r="T45" s="1" t="str">
        <f t="shared" si="13"/>
        <v/>
      </c>
      <c r="U45" s="1" t="str">
        <f t="shared" si="14"/>
        <v/>
      </c>
      <c r="V45" s="1" t="str">
        <f t="shared" si="15"/>
        <v/>
      </c>
      <c r="W45" s="26" t="str">
        <f t="shared" si="16"/>
        <v/>
      </c>
      <c r="X45" s="13" t="str">
        <f t="shared" si="17"/>
        <v/>
      </c>
      <c r="Y45" s="9">
        <f t="shared" si="18"/>
        <v>0</v>
      </c>
    </row>
    <row r="46" spans="1:25" x14ac:dyDescent="0.25">
      <c r="A46" s="28"/>
      <c r="B46" s="29"/>
      <c r="C46" s="30"/>
      <c r="D46" s="31"/>
      <c r="E46" s="29" t="s">
        <v>16</v>
      </c>
      <c r="F46" s="13" t="b">
        <f>IF($E46=Categories!$A$1,"",IF($E46=Categories!$A$2,Categories!$B$2,IF($E46=Categories!$A$3,Categories!$B$3,IF($E46=Categories!$A$4,Categories!$B$4,IF($E46=Categories!$A$5,Categories!$B$5,IF($E46=Categories!$A$6,Categories!$B$6,IF($E46=Categories!$A$7,Categories!$B$7,IF($E46=Categories!$A$8,Categories!$B$8,IF($E46=Categories!$A$9,Categories!$B$9,IF($E46=Categories!$A$10,Categories!$B$10,IF($E46=Categories!$A$11,Categories!$B$11,IF($E46=Categories!$A$12,Categories!$B$12,IF($E46=Categories!$A$13,Categories!$B$13,IF($E46=Categories!$A$14,Categories!$B$14,IF($E46=Categories!$A$15,Categories!$B$15,IF($E46=Categories!$A$16,Categories!$B$16,IF($E46=Categories!$A$17,Categories!$B$17,IF($E46=Categories!$A$18,Categories!$B$18,IF($E46=Categories!$A$19,Categories!$B$19)))))))))))))))))))</f>
        <v>0</v>
      </c>
      <c r="G46" s="9" t="str">
        <f t="shared" si="0"/>
        <v/>
      </c>
      <c r="H46" s="1" t="str">
        <f t="shared" si="1"/>
        <v/>
      </c>
      <c r="I46" s="1" t="str">
        <f t="shared" si="2"/>
        <v/>
      </c>
      <c r="J46" s="1" t="str">
        <f t="shared" si="3"/>
        <v/>
      </c>
      <c r="K46" s="13" t="str">
        <f t="shared" si="4"/>
        <v/>
      </c>
      <c r="L46" s="9" t="str">
        <f t="shared" si="5"/>
        <v/>
      </c>
      <c r="M46" s="1" t="str">
        <f t="shared" si="6"/>
        <v/>
      </c>
      <c r="N46" s="1" t="str">
        <f t="shared" si="7"/>
        <v/>
      </c>
      <c r="O46" s="1" t="str">
        <f t="shared" si="8"/>
        <v/>
      </c>
      <c r="P46" s="1" t="str">
        <f t="shared" si="9"/>
        <v/>
      </c>
      <c r="Q46" s="1" t="str">
        <f t="shared" si="10"/>
        <v/>
      </c>
      <c r="R46" s="1" t="str">
        <f t="shared" si="11"/>
        <v/>
      </c>
      <c r="S46" s="1" t="str">
        <f t="shared" si="12"/>
        <v/>
      </c>
      <c r="T46" s="1" t="str">
        <f t="shared" si="13"/>
        <v/>
      </c>
      <c r="U46" s="1" t="str">
        <f t="shared" si="14"/>
        <v/>
      </c>
      <c r="V46" s="1" t="str">
        <f t="shared" si="15"/>
        <v/>
      </c>
      <c r="W46" s="26" t="str">
        <f t="shared" si="16"/>
        <v/>
      </c>
      <c r="X46" s="13" t="str">
        <f t="shared" si="17"/>
        <v/>
      </c>
      <c r="Y46" s="9">
        <f t="shared" si="18"/>
        <v>0</v>
      </c>
    </row>
    <row r="47" spans="1:25" x14ac:dyDescent="0.25">
      <c r="A47" s="28"/>
      <c r="B47" s="29"/>
      <c r="C47" s="30"/>
      <c r="D47" s="31"/>
      <c r="E47" s="29" t="s">
        <v>16</v>
      </c>
      <c r="F47" s="13" t="b">
        <f>IF($E47=Categories!$A$1,"",IF($E47=Categories!$A$2,Categories!$B$2,IF($E47=Categories!$A$3,Categories!$B$3,IF($E47=Categories!$A$4,Categories!$B$4,IF($E47=Categories!$A$5,Categories!$B$5,IF($E47=Categories!$A$6,Categories!$B$6,IF($E47=Categories!$A$7,Categories!$B$7,IF($E47=Categories!$A$8,Categories!$B$8,IF($E47=Categories!$A$9,Categories!$B$9,IF($E47=Categories!$A$10,Categories!$B$10,IF($E47=Categories!$A$11,Categories!$B$11,IF($E47=Categories!$A$12,Categories!$B$12,IF($E47=Categories!$A$13,Categories!$B$13,IF($E47=Categories!$A$14,Categories!$B$14,IF($E47=Categories!$A$15,Categories!$B$15,IF($E47=Categories!$A$16,Categories!$B$16,IF($E47=Categories!$A$17,Categories!$B$17,IF($E47=Categories!$A$18,Categories!$B$18,IF($E47=Categories!$A$19,Categories!$B$19)))))))))))))))))))</f>
        <v>0</v>
      </c>
      <c r="G47" s="9" t="str">
        <f t="shared" si="0"/>
        <v/>
      </c>
      <c r="H47" s="1" t="str">
        <f t="shared" si="1"/>
        <v/>
      </c>
      <c r="I47" s="1" t="str">
        <f t="shared" si="2"/>
        <v/>
      </c>
      <c r="J47" s="1" t="str">
        <f t="shared" si="3"/>
        <v/>
      </c>
      <c r="K47" s="13" t="str">
        <f t="shared" si="4"/>
        <v/>
      </c>
      <c r="L47" s="9" t="str">
        <f t="shared" si="5"/>
        <v/>
      </c>
      <c r="M47" s="1" t="str">
        <f t="shared" si="6"/>
        <v/>
      </c>
      <c r="N47" s="1" t="str">
        <f t="shared" si="7"/>
        <v/>
      </c>
      <c r="O47" s="1" t="str">
        <f t="shared" si="8"/>
        <v/>
      </c>
      <c r="P47" s="1" t="str">
        <f t="shared" si="9"/>
        <v/>
      </c>
      <c r="Q47" s="1" t="str">
        <f t="shared" si="10"/>
        <v/>
      </c>
      <c r="R47" s="1" t="str">
        <f t="shared" si="11"/>
        <v/>
      </c>
      <c r="S47" s="1" t="str">
        <f t="shared" si="12"/>
        <v/>
      </c>
      <c r="T47" s="1" t="str">
        <f t="shared" si="13"/>
        <v/>
      </c>
      <c r="U47" s="1" t="str">
        <f t="shared" si="14"/>
        <v/>
      </c>
      <c r="V47" s="1" t="str">
        <f t="shared" si="15"/>
        <v/>
      </c>
      <c r="W47" s="26" t="str">
        <f t="shared" si="16"/>
        <v/>
      </c>
      <c r="X47" s="13" t="str">
        <f t="shared" si="17"/>
        <v/>
      </c>
      <c r="Y47" s="9">
        <f t="shared" si="18"/>
        <v>0</v>
      </c>
    </row>
    <row r="48" spans="1:25" x14ac:dyDescent="0.25">
      <c r="A48" s="28"/>
      <c r="B48" s="29"/>
      <c r="C48" s="30"/>
      <c r="D48" s="31"/>
      <c r="E48" s="29" t="s">
        <v>16</v>
      </c>
      <c r="F48" s="13" t="b">
        <f>IF($E48=Categories!$A$1,"",IF($E48=Categories!$A$2,Categories!$B$2,IF($E48=Categories!$A$3,Categories!$B$3,IF($E48=Categories!$A$4,Categories!$B$4,IF($E48=Categories!$A$5,Categories!$B$5,IF($E48=Categories!$A$6,Categories!$B$6,IF($E48=Categories!$A$7,Categories!$B$7,IF($E48=Categories!$A$8,Categories!$B$8,IF($E48=Categories!$A$9,Categories!$B$9,IF($E48=Categories!$A$10,Categories!$B$10,IF($E48=Categories!$A$11,Categories!$B$11,IF($E48=Categories!$A$12,Categories!$B$12,IF($E48=Categories!$A$13,Categories!$B$13,IF($E48=Categories!$A$14,Categories!$B$14,IF($E48=Categories!$A$15,Categories!$B$15,IF($E48=Categories!$A$16,Categories!$B$16,IF($E48=Categories!$A$17,Categories!$B$17,IF($E48=Categories!$A$18,Categories!$B$18,IF($E48=Categories!$A$19,Categories!$B$19)))))))))))))))))))</f>
        <v>0</v>
      </c>
      <c r="G48" s="9" t="str">
        <f t="shared" si="0"/>
        <v/>
      </c>
      <c r="H48" s="1" t="str">
        <f t="shared" si="1"/>
        <v/>
      </c>
      <c r="I48" s="1" t="str">
        <f t="shared" si="2"/>
        <v/>
      </c>
      <c r="J48" s="1" t="str">
        <f t="shared" si="3"/>
        <v/>
      </c>
      <c r="K48" s="13" t="str">
        <f t="shared" si="4"/>
        <v/>
      </c>
      <c r="L48" s="9" t="str">
        <f t="shared" si="5"/>
        <v/>
      </c>
      <c r="M48" s="1" t="str">
        <f t="shared" si="6"/>
        <v/>
      </c>
      <c r="N48" s="1" t="str">
        <f t="shared" si="7"/>
        <v/>
      </c>
      <c r="O48" s="1" t="str">
        <f t="shared" si="8"/>
        <v/>
      </c>
      <c r="P48" s="1" t="str">
        <f t="shared" si="9"/>
        <v/>
      </c>
      <c r="Q48" s="1" t="str">
        <f t="shared" si="10"/>
        <v/>
      </c>
      <c r="R48" s="1" t="str">
        <f t="shared" si="11"/>
        <v/>
      </c>
      <c r="S48" s="1" t="str">
        <f t="shared" si="12"/>
        <v/>
      </c>
      <c r="T48" s="1" t="str">
        <f t="shared" si="13"/>
        <v/>
      </c>
      <c r="U48" s="1" t="str">
        <f t="shared" si="14"/>
        <v/>
      </c>
      <c r="V48" s="1" t="str">
        <f t="shared" si="15"/>
        <v/>
      </c>
      <c r="W48" s="26" t="str">
        <f t="shared" si="16"/>
        <v/>
      </c>
      <c r="X48" s="13" t="str">
        <f t="shared" si="17"/>
        <v/>
      </c>
      <c r="Y48" s="9">
        <f t="shared" si="18"/>
        <v>0</v>
      </c>
    </row>
    <row r="49" spans="1:25" x14ac:dyDescent="0.25">
      <c r="A49" s="28"/>
      <c r="B49" s="29"/>
      <c r="C49" s="30"/>
      <c r="D49" s="31"/>
      <c r="E49" s="29" t="s">
        <v>16</v>
      </c>
      <c r="F49" s="13" t="b">
        <f>IF($E49=Categories!$A$1,"",IF($E49=Categories!$A$2,Categories!$B$2,IF($E49=Categories!$A$3,Categories!$B$3,IF($E49=Categories!$A$4,Categories!$B$4,IF($E49=Categories!$A$5,Categories!$B$5,IF($E49=Categories!$A$6,Categories!$B$6,IF($E49=Categories!$A$7,Categories!$B$7,IF($E49=Categories!$A$8,Categories!$B$8,IF($E49=Categories!$A$9,Categories!$B$9,IF($E49=Categories!$A$10,Categories!$B$10,IF($E49=Categories!$A$11,Categories!$B$11,IF($E49=Categories!$A$12,Categories!$B$12,IF($E49=Categories!$A$13,Categories!$B$13,IF($E49=Categories!$A$14,Categories!$B$14,IF($E49=Categories!$A$15,Categories!$B$15,IF($E49=Categories!$A$16,Categories!$B$16,IF($E49=Categories!$A$17,Categories!$B$17,IF($E49=Categories!$A$18,Categories!$B$18,IF($E49=Categories!$A$19,Categories!$B$19)))))))))))))))))))</f>
        <v>0</v>
      </c>
      <c r="G49" s="9" t="str">
        <f t="shared" si="0"/>
        <v/>
      </c>
      <c r="H49" s="1" t="str">
        <f t="shared" si="1"/>
        <v/>
      </c>
      <c r="I49" s="1" t="str">
        <f t="shared" si="2"/>
        <v/>
      </c>
      <c r="J49" s="1" t="str">
        <f t="shared" si="3"/>
        <v/>
      </c>
      <c r="K49" s="13" t="str">
        <f t="shared" si="4"/>
        <v/>
      </c>
      <c r="L49" s="9" t="str">
        <f t="shared" si="5"/>
        <v/>
      </c>
      <c r="M49" s="1" t="str">
        <f t="shared" si="6"/>
        <v/>
      </c>
      <c r="N49" s="1" t="str">
        <f t="shared" si="7"/>
        <v/>
      </c>
      <c r="O49" s="1" t="str">
        <f t="shared" si="8"/>
        <v/>
      </c>
      <c r="P49" s="1" t="str">
        <f t="shared" si="9"/>
        <v/>
      </c>
      <c r="Q49" s="1" t="str">
        <f t="shared" si="10"/>
        <v/>
      </c>
      <c r="R49" s="1" t="str">
        <f t="shared" si="11"/>
        <v/>
      </c>
      <c r="S49" s="1" t="str">
        <f t="shared" si="12"/>
        <v/>
      </c>
      <c r="T49" s="1" t="str">
        <f t="shared" si="13"/>
        <v/>
      </c>
      <c r="U49" s="1" t="str">
        <f t="shared" si="14"/>
        <v/>
      </c>
      <c r="V49" s="1" t="str">
        <f t="shared" si="15"/>
        <v/>
      </c>
      <c r="W49" s="26" t="str">
        <f t="shared" si="16"/>
        <v/>
      </c>
      <c r="X49" s="13" t="str">
        <f t="shared" si="17"/>
        <v/>
      </c>
      <c r="Y49" s="9">
        <f t="shared" si="18"/>
        <v>0</v>
      </c>
    </row>
    <row r="50" spans="1:25" x14ac:dyDescent="0.25">
      <c r="A50" s="28"/>
      <c r="B50" s="29"/>
      <c r="C50" s="30"/>
      <c r="D50" s="31"/>
      <c r="E50" s="29" t="s">
        <v>16</v>
      </c>
      <c r="F50" s="13" t="b">
        <f>IF($E50=Categories!$A$1,"",IF($E50=Categories!$A$2,Categories!$B$2,IF($E50=Categories!$A$3,Categories!$B$3,IF($E50=Categories!$A$4,Categories!$B$4,IF($E50=Categories!$A$5,Categories!$B$5,IF($E50=Categories!$A$6,Categories!$B$6,IF($E50=Categories!$A$7,Categories!$B$7,IF($E50=Categories!$A$8,Categories!$B$8,IF($E50=Categories!$A$9,Categories!$B$9,IF($E50=Categories!$A$10,Categories!$B$10,IF($E50=Categories!$A$11,Categories!$B$11,IF($E50=Categories!$A$12,Categories!$B$12,IF($E50=Categories!$A$13,Categories!$B$13,IF($E50=Categories!$A$14,Categories!$B$14,IF($E50=Categories!$A$15,Categories!$B$15,IF($E50=Categories!$A$16,Categories!$B$16,IF($E50=Categories!$A$17,Categories!$B$17,IF($E50=Categories!$A$18,Categories!$B$18,IF($E50=Categories!$A$19,Categories!$B$19)))))))))))))))))))</f>
        <v>0</v>
      </c>
      <c r="G50" s="9" t="str">
        <f t="shared" si="0"/>
        <v/>
      </c>
      <c r="H50" s="1" t="str">
        <f t="shared" si="1"/>
        <v/>
      </c>
      <c r="I50" s="1" t="str">
        <f t="shared" si="2"/>
        <v/>
      </c>
      <c r="J50" s="1" t="str">
        <f t="shared" si="3"/>
        <v/>
      </c>
      <c r="K50" s="13" t="str">
        <f t="shared" si="4"/>
        <v/>
      </c>
      <c r="L50" s="9" t="str">
        <f t="shared" si="5"/>
        <v/>
      </c>
      <c r="M50" s="1" t="str">
        <f t="shared" si="6"/>
        <v/>
      </c>
      <c r="N50" s="1" t="str">
        <f t="shared" si="7"/>
        <v/>
      </c>
      <c r="O50" s="1" t="str">
        <f t="shared" si="8"/>
        <v/>
      </c>
      <c r="P50" s="1" t="str">
        <f t="shared" si="9"/>
        <v/>
      </c>
      <c r="Q50" s="1" t="str">
        <f t="shared" si="10"/>
        <v/>
      </c>
      <c r="R50" s="1" t="str">
        <f t="shared" si="11"/>
        <v/>
      </c>
      <c r="S50" s="1" t="str">
        <f t="shared" si="12"/>
        <v/>
      </c>
      <c r="T50" s="1" t="str">
        <f t="shared" si="13"/>
        <v/>
      </c>
      <c r="U50" s="1" t="str">
        <f t="shared" si="14"/>
        <v/>
      </c>
      <c r="V50" s="1" t="str">
        <f t="shared" si="15"/>
        <v/>
      </c>
      <c r="W50" s="26" t="str">
        <f t="shared" si="16"/>
        <v/>
      </c>
      <c r="X50" s="13" t="str">
        <f t="shared" si="17"/>
        <v/>
      </c>
      <c r="Y50" s="9">
        <f t="shared" si="18"/>
        <v>0</v>
      </c>
    </row>
    <row r="51" spans="1:25" x14ac:dyDescent="0.25">
      <c r="A51" s="28"/>
      <c r="B51" s="29"/>
      <c r="C51" s="30"/>
      <c r="D51" s="31"/>
      <c r="E51" s="29" t="s">
        <v>16</v>
      </c>
      <c r="F51" s="13" t="b">
        <f>IF($E51=Categories!$A$1,"",IF($E51=Categories!$A$2,Categories!$B$2,IF($E51=Categories!$A$3,Categories!$B$3,IF($E51=Categories!$A$4,Categories!$B$4,IF($E51=Categories!$A$5,Categories!$B$5,IF($E51=Categories!$A$6,Categories!$B$6,IF($E51=Categories!$A$7,Categories!$B$7,IF($E51=Categories!$A$8,Categories!$B$8,IF($E51=Categories!$A$9,Categories!$B$9,IF($E51=Categories!$A$10,Categories!$B$10,IF($E51=Categories!$A$11,Categories!$B$11,IF($E51=Categories!$A$12,Categories!$B$12,IF($E51=Categories!$A$13,Categories!$B$13,IF($E51=Categories!$A$14,Categories!$B$14,IF($E51=Categories!$A$15,Categories!$B$15,IF($E51=Categories!$A$16,Categories!$B$16,IF($E51=Categories!$A$17,Categories!$B$17,IF($E51=Categories!$A$18,Categories!$B$18,IF($E51=Categories!$A$19,Categories!$B$19)))))))))))))))))))</f>
        <v>0</v>
      </c>
      <c r="G51" s="9" t="str">
        <f t="shared" si="0"/>
        <v/>
      </c>
      <c r="H51" s="1" t="str">
        <f t="shared" si="1"/>
        <v/>
      </c>
      <c r="I51" s="1" t="str">
        <f t="shared" si="2"/>
        <v/>
      </c>
      <c r="J51" s="1" t="str">
        <f t="shared" si="3"/>
        <v/>
      </c>
      <c r="K51" s="13" t="str">
        <f t="shared" si="4"/>
        <v/>
      </c>
      <c r="L51" s="9" t="str">
        <f t="shared" si="5"/>
        <v/>
      </c>
      <c r="M51" s="1" t="str">
        <f t="shared" si="6"/>
        <v/>
      </c>
      <c r="N51" s="1" t="str">
        <f t="shared" si="7"/>
        <v/>
      </c>
      <c r="O51" s="1" t="str">
        <f t="shared" si="8"/>
        <v/>
      </c>
      <c r="P51" s="1" t="str">
        <f t="shared" si="9"/>
        <v/>
      </c>
      <c r="Q51" s="1" t="str">
        <f t="shared" si="10"/>
        <v/>
      </c>
      <c r="R51" s="1" t="str">
        <f t="shared" si="11"/>
        <v/>
      </c>
      <c r="S51" s="1" t="str">
        <f t="shared" si="12"/>
        <v/>
      </c>
      <c r="T51" s="1" t="str">
        <f t="shared" si="13"/>
        <v/>
      </c>
      <c r="U51" s="1" t="str">
        <f t="shared" si="14"/>
        <v/>
      </c>
      <c r="V51" s="1" t="str">
        <f t="shared" si="15"/>
        <v/>
      </c>
      <c r="W51" s="26" t="str">
        <f t="shared" si="16"/>
        <v/>
      </c>
      <c r="X51" s="13" t="str">
        <f t="shared" si="17"/>
        <v/>
      </c>
      <c r="Y51" s="9">
        <f t="shared" si="18"/>
        <v>0</v>
      </c>
    </row>
    <row r="52" spans="1:25" x14ac:dyDescent="0.25">
      <c r="A52" s="28"/>
      <c r="B52" s="29"/>
      <c r="C52" s="30"/>
      <c r="D52" s="31"/>
      <c r="E52" s="29" t="s">
        <v>16</v>
      </c>
      <c r="F52" s="13" t="b">
        <f>IF($E52=Categories!$A$1,"",IF($E52=Categories!$A$2,Categories!$B$2,IF($E52=Categories!$A$3,Categories!$B$3,IF($E52=Categories!$A$4,Categories!$B$4,IF($E52=Categories!$A$5,Categories!$B$5,IF($E52=Categories!$A$6,Categories!$B$6,IF($E52=Categories!$A$7,Categories!$B$7,IF($E52=Categories!$A$8,Categories!$B$8,IF($E52=Categories!$A$9,Categories!$B$9,IF($E52=Categories!$A$10,Categories!$B$10,IF($E52=Categories!$A$11,Categories!$B$11,IF($E52=Categories!$A$12,Categories!$B$12,IF($E52=Categories!$A$13,Categories!$B$13,IF($E52=Categories!$A$14,Categories!$B$14,IF($E52=Categories!$A$15,Categories!$B$15,IF($E52=Categories!$A$16,Categories!$B$16,IF($E52=Categories!$A$17,Categories!$B$17,IF($E52=Categories!$A$18,Categories!$B$18,IF($E52=Categories!$A$19,Categories!$B$19)))))))))))))))))))</f>
        <v>0</v>
      </c>
      <c r="G52" s="9" t="str">
        <f t="shared" si="0"/>
        <v/>
      </c>
      <c r="H52" s="1" t="str">
        <f t="shared" si="1"/>
        <v/>
      </c>
      <c r="I52" s="1" t="str">
        <f t="shared" si="2"/>
        <v/>
      </c>
      <c r="J52" s="1" t="str">
        <f t="shared" si="3"/>
        <v/>
      </c>
      <c r="K52" s="13" t="str">
        <f t="shared" si="4"/>
        <v/>
      </c>
      <c r="L52" s="9" t="str">
        <f t="shared" si="5"/>
        <v/>
      </c>
      <c r="M52" s="1" t="str">
        <f t="shared" si="6"/>
        <v/>
      </c>
      <c r="N52" s="1" t="str">
        <f t="shared" si="7"/>
        <v/>
      </c>
      <c r="O52" s="1" t="str">
        <f t="shared" si="8"/>
        <v/>
      </c>
      <c r="P52" s="1" t="str">
        <f t="shared" si="9"/>
        <v/>
      </c>
      <c r="Q52" s="1" t="str">
        <f t="shared" si="10"/>
        <v/>
      </c>
      <c r="R52" s="1" t="str">
        <f t="shared" si="11"/>
        <v/>
      </c>
      <c r="S52" s="1" t="str">
        <f t="shared" si="12"/>
        <v/>
      </c>
      <c r="T52" s="1" t="str">
        <f t="shared" si="13"/>
        <v/>
      </c>
      <c r="U52" s="1" t="str">
        <f t="shared" si="14"/>
        <v/>
      </c>
      <c r="V52" s="1" t="str">
        <f t="shared" si="15"/>
        <v/>
      </c>
      <c r="W52" s="26" t="str">
        <f t="shared" si="16"/>
        <v/>
      </c>
      <c r="X52" s="13" t="str">
        <f t="shared" si="17"/>
        <v/>
      </c>
      <c r="Y52" s="9">
        <f t="shared" si="18"/>
        <v>0</v>
      </c>
    </row>
    <row r="53" spans="1:25" x14ac:dyDescent="0.25">
      <c r="A53" s="28"/>
      <c r="B53" s="29"/>
      <c r="C53" s="30"/>
      <c r="D53" s="31"/>
      <c r="E53" s="29" t="s">
        <v>16</v>
      </c>
      <c r="F53" s="13" t="b">
        <f>IF($E53=Categories!$A$1,"",IF($E53=Categories!$A$2,Categories!$B$2,IF($E53=Categories!$A$3,Categories!$B$3,IF($E53=Categories!$A$4,Categories!$B$4,IF($E53=Categories!$A$5,Categories!$B$5,IF($E53=Categories!$A$6,Categories!$B$6,IF($E53=Categories!$A$7,Categories!$B$7,IF($E53=Categories!$A$8,Categories!$B$8,IF($E53=Categories!$A$9,Categories!$B$9,IF($E53=Categories!$A$10,Categories!$B$10,IF($E53=Categories!$A$11,Categories!$B$11,IF($E53=Categories!$A$12,Categories!$B$12,IF($E53=Categories!$A$13,Categories!$B$13,IF($E53=Categories!$A$14,Categories!$B$14,IF($E53=Categories!$A$15,Categories!$B$15,IF($E53=Categories!$A$16,Categories!$B$16,IF($E53=Categories!$A$17,Categories!$B$17,IF($E53=Categories!$A$18,Categories!$B$18,IF($E53=Categories!$A$19,Categories!$B$19)))))))))))))))))))</f>
        <v>0</v>
      </c>
      <c r="G53" s="9" t="str">
        <f t="shared" si="0"/>
        <v/>
      </c>
      <c r="H53" s="1" t="str">
        <f t="shared" si="1"/>
        <v/>
      </c>
      <c r="I53" s="1" t="str">
        <f t="shared" si="2"/>
        <v/>
      </c>
      <c r="J53" s="1" t="str">
        <f t="shared" si="3"/>
        <v/>
      </c>
      <c r="K53" s="13" t="str">
        <f t="shared" si="4"/>
        <v/>
      </c>
      <c r="L53" s="9" t="str">
        <f t="shared" si="5"/>
        <v/>
      </c>
      <c r="M53" s="1" t="str">
        <f t="shared" si="6"/>
        <v/>
      </c>
      <c r="N53" s="1" t="str">
        <f t="shared" si="7"/>
        <v/>
      </c>
      <c r="O53" s="1" t="str">
        <f t="shared" si="8"/>
        <v/>
      </c>
      <c r="P53" s="1" t="str">
        <f t="shared" si="9"/>
        <v/>
      </c>
      <c r="Q53" s="1" t="str">
        <f t="shared" si="10"/>
        <v/>
      </c>
      <c r="R53" s="1" t="str">
        <f t="shared" si="11"/>
        <v/>
      </c>
      <c r="S53" s="1" t="str">
        <f t="shared" si="12"/>
        <v/>
      </c>
      <c r="T53" s="1" t="str">
        <f t="shared" si="13"/>
        <v/>
      </c>
      <c r="U53" s="1" t="str">
        <f t="shared" si="14"/>
        <v/>
      </c>
      <c r="V53" s="1" t="str">
        <f t="shared" si="15"/>
        <v/>
      </c>
      <c r="W53" s="26" t="str">
        <f t="shared" si="16"/>
        <v/>
      </c>
      <c r="X53" s="13" t="str">
        <f t="shared" si="17"/>
        <v/>
      </c>
      <c r="Y53" s="9">
        <f t="shared" si="18"/>
        <v>0</v>
      </c>
    </row>
    <row r="54" spans="1:25" x14ac:dyDescent="0.25">
      <c r="A54" s="28"/>
      <c r="B54" s="29"/>
      <c r="C54" s="30"/>
      <c r="D54" s="31"/>
      <c r="E54" s="29" t="s">
        <v>16</v>
      </c>
      <c r="F54" s="13" t="b">
        <f>IF($E54=Categories!$A$1,"",IF($E54=Categories!$A$2,Categories!$B$2,IF($E54=Categories!$A$3,Categories!$B$3,IF($E54=Categories!$A$4,Categories!$B$4,IF($E54=Categories!$A$5,Categories!$B$5,IF($E54=Categories!$A$6,Categories!$B$6,IF($E54=Categories!$A$7,Categories!$B$7,IF($E54=Categories!$A$8,Categories!$B$8,IF($E54=Categories!$A$9,Categories!$B$9,IF($E54=Categories!$A$10,Categories!$B$10,IF($E54=Categories!$A$11,Categories!$B$11,IF($E54=Categories!$A$12,Categories!$B$12,IF($E54=Categories!$A$13,Categories!$B$13,IF($E54=Categories!$A$14,Categories!$B$14,IF($E54=Categories!$A$15,Categories!$B$15,IF($E54=Categories!$A$16,Categories!$B$16,IF($E54=Categories!$A$17,Categories!$B$17,IF($E54=Categories!$A$18,Categories!$B$18,IF($E54=Categories!$A$19,Categories!$B$19)))))))))))))))))))</f>
        <v>0</v>
      </c>
      <c r="G54" s="9" t="str">
        <f t="shared" si="0"/>
        <v/>
      </c>
      <c r="H54" s="1" t="str">
        <f t="shared" si="1"/>
        <v/>
      </c>
      <c r="I54" s="1" t="str">
        <f t="shared" si="2"/>
        <v/>
      </c>
      <c r="J54" s="1" t="str">
        <f t="shared" si="3"/>
        <v/>
      </c>
      <c r="K54" s="13" t="str">
        <f t="shared" si="4"/>
        <v/>
      </c>
      <c r="L54" s="9" t="str">
        <f t="shared" si="5"/>
        <v/>
      </c>
      <c r="M54" s="1" t="str">
        <f t="shared" si="6"/>
        <v/>
      </c>
      <c r="N54" s="1" t="str">
        <f t="shared" si="7"/>
        <v/>
      </c>
      <c r="O54" s="1" t="str">
        <f t="shared" si="8"/>
        <v/>
      </c>
      <c r="P54" s="1" t="str">
        <f t="shared" si="9"/>
        <v/>
      </c>
      <c r="Q54" s="1" t="str">
        <f t="shared" si="10"/>
        <v/>
      </c>
      <c r="R54" s="1" t="str">
        <f t="shared" si="11"/>
        <v/>
      </c>
      <c r="S54" s="1" t="str">
        <f t="shared" si="12"/>
        <v/>
      </c>
      <c r="T54" s="1" t="str">
        <f t="shared" si="13"/>
        <v/>
      </c>
      <c r="U54" s="1" t="str">
        <f t="shared" si="14"/>
        <v/>
      </c>
      <c r="V54" s="1" t="str">
        <f t="shared" si="15"/>
        <v/>
      </c>
      <c r="W54" s="26" t="str">
        <f t="shared" si="16"/>
        <v/>
      </c>
      <c r="X54" s="13" t="str">
        <f t="shared" si="17"/>
        <v/>
      </c>
      <c r="Y54" s="9">
        <f t="shared" si="18"/>
        <v>0</v>
      </c>
    </row>
    <row r="55" spans="1:25" x14ac:dyDescent="0.25">
      <c r="A55" s="28"/>
      <c r="B55" s="29"/>
      <c r="C55" s="30"/>
      <c r="D55" s="31"/>
      <c r="E55" s="29" t="s">
        <v>16</v>
      </c>
      <c r="F55" s="13" t="b">
        <f>IF($E55=Categories!$A$1,"",IF($E55=Categories!$A$2,Categories!$B$2,IF($E55=Categories!$A$3,Categories!$B$3,IF($E55=Categories!$A$4,Categories!$B$4,IF($E55=Categories!$A$5,Categories!$B$5,IF($E55=Categories!$A$6,Categories!$B$6,IF($E55=Categories!$A$7,Categories!$B$7,IF($E55=Categories!$A$8,Categories!$B$8,IF($E55=Categories!$A$9,Categories!$B$9,IF($E55=Categories!$A$10,Categories!$B$10,IF($E55=Categories!$A$11,Categories!$B$11,IF($E55=Categories!$A$12,Categories!$B$12,IF($E55=Categories!$A$13,Categories!$B$13,IF($E55=Categories!$A$14,Categories!$B$14,IF($E55=Categories!$A$15,Categories!$B$15,IF($E55=Categories!$A$16,Categories!$B$16,IF($E55=Categories!$A$17,Categories!$B$17,IF($E55=Categories!$A$18,Categories!$B$18,IF($E55=Categories!$A$19,Categories!$B$19)))))))))))))))))))</f>
        <v>0</v>
      </c>
      <c r="G55" s="9" t="str">
        <f t="shared" si="0"/>
        <v/>
      </c>
      <c r="H55" s="1" t="str">
        <f t="shared" si="1"/>
        <v/>
      </c>
      <c r="I55" s="1" t="str">
        <f t="shared" si="2"/>
        <v/>
      </c>
      <c r="J55" s="1" t="str">
        <f t="shared" si="3"/>
        <v/>
      </c>
      <c r="K55" s="13" t="str">
        <f t="shared" si="4"/>
        <v/>
      </c>
      <c r="L55" s="9" t="str">
        <f t="shared" si="5"/>
        <v/>
      </c>
      <c r="M55" s="1" t="str">
        <f t="shared" si="6"/>
        <v/>
      </c>
      <c r="N55" s="1" t="str">
        <f t="shared" si="7"/>
        <v/>
      </c>
      <c r="O55" s="1" t="str">
        <f t="shared" si="8"/>
        <v/>
      </c>
      <c r="P55" s="1" t="str">
        <f t="shared" si="9"/>
        <v/>
      </c>
      <c r="Q55" s="1" t="str">
        <f t="shared" si="10"/>
        <v/>
      </c>
      <c r="R55" s="1" t="str">
        <f t="shared" si="11"/>
        <v/>
      </c>
      <c r="S55" s="1" t="str">
        <f t="shared" si="12"/>
        <v/>
      </c>
      <c r="T55" s="1" t="str">
        <f t="shared" si="13"/>
        <v/>
      </c>
      <c r="U55" s="1" t="str">
        <f t="shared" si="14"/>
        <v/>
      </c>
      <c r="V55" s="1" t="str">
        <f t="shared" si="15"/>
        <v/>
      </c>
      <c r="W55" s="26" t="str">
        <f t="shared" si="16"/>
        <v/>
      </c>
      <c r="X55" s="13" t="str">
        <f t="shared" si="17"/>
        <v/>
      </c>
      <c r="Y55" s="9">
        <f t="shared" si="18"/>
        <v>0</v>
      </c>
    </row>
    <row r="56" spans="1:25" x14ac:dyDescent="0.25">
      <c r="A56" s="28"/>
      <c r="B56" s="29"/>
      <c r="C56" s="30"/>
      <c r="D56" s="31"/>
      <c r="E56" s="29" t="s">
        <v>16</v>
      </c>
      <c r="F56" s="13" t="b">
        <f>IF($E56=Categories!$A$1,"",IF($E56=Categories!$A$2,Categories!$B$2,IF($E56=Categories!$A$3,Categories!$B$3,IF($E56=Categories!$A$4,Categories!$B$4,IF($E56=Categories!$A$5,Categories!$B$5,IF($E56=Categories!$A$6,Categories!$B$6,IF($E56=Categories!$A$7,Categories!$B$7,IF($E56=Categories!$A$8,Categories!$B$8,IF($E56=Categories!$A$9,Categories!$B$9,IF($E56=Categories!$A$10,Categories!$B$10,IF($E56=Categories!$A$11,Categories!$B$11,IF($E56=Categories!$A$12,Categories!$B$12,IF($E56=Categories!$A$13,Categories!$B$13,IF($E56=Categories!$A$14,Categories!$B$14,IF($E56=Categories!$A$15,Categories!$B$15,IF($E56=Categories!$A$16,Categories!$B$16,IF($E56=Categories!$A$17,Categories!$B$17,IF($E56=Categories!$A$18,Categories!$B$18,IF($E56=Categories!$A$19,Categories!$B$19)))))))))))))))))))</f>
        <v>0</v>
      </c>
      <c r="G56" s="9" t="str">
        <f t="shared" si="0"/>
        <v/>
      </c>
      <c r="H56" s="1" t="str">
        <f t="shared" si="1"/>
        <v/>
      </c>
      <c r="I56" s="1" t="str">
        <f t="shared" si="2"/>
        <v/>
      </c>
      <c r="J56" s="1" t="str">
        <f t="shared" si="3"/>
        <v/>
      </c>
      <c r="K56" s="13" t="str">
        <f t="shared" si="4"/>
        <v/>
      </c>
      <c r="L56" s="9" t="str">
        <f t="shared" si="5"/>
        <v/>
      </c>
      <c r="M56" s="1" t="str">
        <f t="shared" si="6"/>
        <v/>
      </c>
      <c r="N56" s="1" t="str">
        <f t="shared" si="7"/>
        <v/>
      </c>
      <c r="O56" s="1" t="str">
        <f t="shared" si="8"/>
        <v/>
      </c>
      <c r="P56" s="1" t="str">
        <f t="shared" si="9"/>
        <v/>
      </c>
      <c r="Q56" s="1" t="str">
        <f t="shared" si="10"/>
        <v/>
      </c>
      <c r="R56" s="1" t="str">
        <f t="shared" si="11"/>
        <v/>
      </c>
      <c r="S56" s="1" t="str">
        <f t="shared" si="12"/>
        <v/>
      </c>
      <c r="T56" s="1" t="str">
        <f t="shared" si="13"/>
        <v/>
      </c>
      <c r="U56" s="1" t="str">
        <f t="shared" si="14"/>
        <v/>
      </c>
      <c r="V56" s="1" t="str">
        <f t="shared" si="15"/>
        <v/>
      </c>
      <c r="W56" s="26" t="str">
        <f t="shared" si="16"/>
        <v/>
      </c>
      <c r="X56" s="13" t="str">
        <f t="shared" si="17"/>
        <v/>
      </c>
      <c r="Y56" s="9">
        <f t="shared" si="18"/>
        <v>0</v>
      </c>
    </row>
    <row r="57" spans="1:25" x14ac:dyDescent="0.25">
      <c r="A57" s="28"/>
      <c r="B57" s="29"/>
      <c r="C57" s="30"/>
      <c r="D57" s="31"/>
      <c r="E57" s="29" t="s">
        <v>16</v>
      </c>
      <c r="F57" s="13" t="b">
        <f>IF($E57=Categories!$A$1,"",IF($E57=Categories!$A$2,Categories!$B$2,IF($E57=Categories!$A$3,Categories!$B$3,IF($E57=Categories!$A$4,Categories!$B$4,IF($E57=Categories!$A$5,Categories!$B$5,IF($E57=Categories!$A$6,Categories!$B$6,IF($E57=Categories!$A$7,Categories!$B$7,IF($E57=Categories!$A$8,Categories!$B$8,IF($E57=Categories!$A$9,Categories!$B$9,IF($E57=Categories!$A$10,Categories!$B$10,IF($E57=Categories!$A$11,Categories!$B$11,IF($E57=Categories!$A$12,Categories!$B$12,IF($E57=Categories!$A$13,Categories!$B$13,IF($E57=Categories!$A$14,Categories!$B$14,IF($E57=Categories!$A$15,Categories!$B$15,IF($E57=Categories!$A$16,Categories!$B$16,IF($E57=Categories!$A$17,Categories!$B$17,IF($E57=Categories!$A$18,Categories!$B$18,IF($E57=Categories!$A$19,Categories!$B$19)))))))))))))))))))</f>
        <v>0</v>
      </c>
      <c r="G57" s="9" t="str">
        <f t="shared" si="0"/>
        <v/>
      </c>
      <c r="H57" s="1" t="str">
        <f t="shared" si="1"/>
        <v/>
      </c>
      <c r="I57" s="1" t="str">
        <f t="shared" si="2"/>
        <v/>
      </c>
      <c r="J57" s="1" t="str">
        <f t="shared" si="3"/>
        <v/>
      </c>
      <c r="K57" s="13" t="str">
        <f t="shared" si="4"/>
        <v/>
      </c>
      <c r="L57" s="9" t="str">
        <f t="shared" si="5"/>
        <v/>
      </c>
      <c r="M57" s="1" t="str">
        <f t="shared" si="6"/>
        <v/>
      </c>
      <c r="N57" s="1" t="str">
        <f t="shared" si="7"/>
        <v/>
      </c>
      <c r="O57" s="1" t="str">
        <f t="shared" si="8"/>
        <v/>
      </c>
      <c r="P57" s="1" t="str">
        <f t="shared" si="9"/>
        <v/>
      </c>
      <c r="Q57" s="1" t="str">
        <f t="shared" si="10"/>
        <v/>
      </c>
      <c r="R57" s="1" t="str">
        <f t="shared" si="11"/>
        <v/>
      </c>
      <c r="S57" s="1" t="str">
        <f t="shared" si="12"/>
        <v/>
      </c>
      <c r="T57" s="1" t="str">
        <f t="shared" si="13"/>
        <v/>
      </c>
      <c r="U57" s="1" t="str">
        <f t="shared" si="14"/>
        <v/>
      </c>
      <c r="V57" s="1" t="str">
        <f t="shared" si="15"/>
        <v/>
      </c>
      <c r="W57" s="26" t="str">
        <f t="shared" si="16"/>
        <v/>
      </c>
      <c r="X57" s="13" t="str">
        <f t="shared" si="17"/>
        <v/>
      </c>
      <c r="Y57" s="9">
        <f t="shared" si="18"/>
        <v>0</v>
      </c>
    </row>
    <row r="58" spans="1:25" x14ac:dyDescent="0.25">
      <c r="A58" s="28"/>
      <c r="B58" s="29"/>
      <c r="C58" s="30"/>
      <c r="D58" s="31"/>
      <c r="E58" s="29" t="s">
        <v>16</v>
      </c>
      <c r="F58" s="13" t="b">
        <f>IF($E58=Categories!$A$1,"",IF($E58=Categories!$A$2,Categories!$B$2,IF($E58=Categories!$A$3,Categories!$B$3,IF($E58=Categories!$A$4,Categories!$B$4,IF($E58=Categories!$A$5,Categories!$B$5,IF($E58=Categories!$A$6,Categories!$B$6,IF($E58=Categories!$A$7,Categories!$B$7,IF($E58=Categories!$A$8,Categories!$B$8,IF($E58=Categories!$A$9,Categories!$B$9,IF($E58=Categories!$A$10,Categories!$B$10,IF($E58=Categories!$A$11,Categories!$B$11,IF($E58=Categories!$A$12,Categories!$B$12,IF($E58=Categories!$A$13,Categories!$B$13,IF($E58=Categories!$A$14,Categories!$B$14,IF($E58=Categories!$A$15,Categories!$B$15,IF($E58=Categories!$A$16,Categories!$B$16,IF($E58=Categories!$A$17,Categories!$B$17,IF($E58=Categories!$A$18,Categories!$B$18,IF($E58=Categories!$A$19,Categories!$B$19)))))))))))))))))))</f>
        <v>0</v>
      </c>
      <c r="G58" s="9" t="str">
        <f t="shared" si="0"/>
        <v/>
      </c>
      <c r="H58" s="1" t="str">
        <f t="shared" si="1"/>
        <v/>
      </c>
      <c r="I58" s="1" t="str">
        <f t="shared" si="2"/>
        <v/>
      </c>
      <c r="J58" s="1" t="str">
        <f t="shared" si="3"/>
        <v/>
      </c>
      <c r="K58" s="13" t="str">
        <f t="shared" si="4"/>
        <v/>
      </c>
      <c r="L58" s="9" t="str">
        <f t="shared" si="5"/>
        <v/>
      </c>
      <c r="M58" s="1" t="str">
        <f t="shared" si="6"/>
        <v/>
      </c>
      <c r="N58" s="1" t="str">
        <f t="shared" si="7"/>
        <v/>
      </c>
      <c r="O58" s="1" t="str">
        <f t="shared" si="8"/>
        <v/>
      </c>
      <c r="P58" s="1" t="str">
        <f t="shared" si="9"/>
        <v/>
      </c>
      <c r="Q58" s="1" t="str">
        <f t="shared" si="10"/>
        <v/>
      </c>
      <c r="R58" s="1" t="str">
        <f t="shared" si="11"/>
        <v/>
      </c>
      <c r="S58" s="1" t="str">
        <f t="shared" si="12"/>
        <v/>
      </c>
      <c r="T58" s="1" t="str">
        <f t="shared" si="13"/>
        <v/>
      </c>
      <c r="U58" s="1" t="str">
        <f t="shared" si="14"/>
        <v/>
      </c>
      <c r="V58" s="1" t="str">
        <f t="shared" si="15"/>
        <v/>
      </c>
      <c r="W58" s="26" t="str">
        <f t="shared" si="16"/>
        <v/>
      </c>
      <c r="X58" s="13" t="str">
        <f t="shared" si="17"/>
        <v/>
      </c>
      <c r="Y58" s="9">
        <f t="shared" si="18"/>
        <v>0</v>
      </c>
    </row>
    <row r="59" spans="1:25" x14ac:dyDescent="0.25">
      <c r="A59" s="28"/>
      <c r="B59" s="29"/>
      <c r="C59" s="30"/>
      <c r="D59" s="31"/>
      <c r="E59" s="29" t="s">
        <v>16</v>
      </c>
      <c r="F59" s="13" t="b">
        <f>IF($E59=Categories!$A$1,"",IF($E59=Categories!$A$2,Categories!$B$2,IF($E59=Categories!$A$3,Categories!$B$3,IF($E59=Categories!$A$4,Categories!$B$4,IF($E59=Categories!$A$5,Categories!$B$5,IF($E59=Categories!$A$6,Categories!$B$6,IF($E59=Categories!$A$7,Categories!$B$7,IF($E59=Categories!$A$8,Categories!$B$8,IF($E59=Categories!$A$9,Categories!$B$9,IF($E59=Categories!$A$10,Categories!$B$10,IF($E59=Categories!$A$11,Categories!$B$11,IF($E59=Categories!$A$12,Categories!$B$12,IF($E59=Categories!$A$13,Categories!$B$13,IF($E59=Categories!$A$14,Categories!$B$14,IF($E59=Categories!$A$15,Categories!$B$15,IF($E59=Categories!$A$16,Categories!$B$16,IF($E59=Categories!$A$17,Categories!$B$17,IF($E59=Categories!$A$18,Categories!$B$18,IF($E59=Categories!$A$19,Categories!$B$19)))))))))))))))))))</f>
        <v>0</v>
      </c>
      <c r="G59" s="9" t="str">
        <f t="shared" si="0"/>
        <v/>
      </c>
      <c r="H59" s="1" t="str">
        <f t="shared" si="1"/>
        <v/>
      </c>
      <c r="I59" s="1" t="str">
        <f t="shared" si="2"/>
        <v/>
      </c>
      <c r="J59" s="1" t="str">
        <f t="shared" si="3"/>
        <v/>
      </c>
      <c r="K59" s="13" t="str">
        <f t="shared" si="4"/>
        <v/>
      </c>
      <c r="L59" s="9" t="str">
        <f t="shared" si="5"/>
        <v/>
      </c>
      <c r="M59" s="1" t="str">
        <f t="shared" si="6"/>
        <v/>
      </c>
      <c r="N59" s="1" t="str">
        <f t="shared" si="7"/>
        <v/>
      </c>
      <c r="O59" s="1" t="str">
        <f t="shared" si="8"/>
        <v/>
      </c>
      <c r="P59" s="1" t="str">
        <f t="shared" si="9"/>
        <v/>
      </c>
      <c r="Q59" s="1" t="str">
        <f t="shared" si="10"/>
        <v/>
      </c>
      <c r="R59" s="1" t="str">
        <f t="shared" si="11"/>
        <v/>
      </c>
      <c r="S59" s="1" t="str">
        <f t="shared" si="12"/>
        <v/>
      </c>
      <c r="T59" s="1" t="str">
        <f t="shared" si="13"/>
        <v/>
      </c>
      <c r="U59" s="1" t="str">
        <f t="shared" si="14"/>
        <v/>
      </c>
      <c r="V59" s="1" t="str">
        <f t="shared" si="15"/>
        <v/>
      </c>
      <c r="W59" s="26" t="str">
        <f t="shared" si="16"/>
        <v/>
      </c>
      <c r="X59" s="13" t="str">
        <f t="shared" si="17"/>
        <v/>
      </c>
      <c r="Y59" s="9">
        <f t="shared" si="18"/>
        <v>0</v>
      </c>
    </row>
    <row r="60" spans="1:25" x14ac:dyDescent="0.25">
      <c r="A60" s="28"/>
      <c r="B60" s="29"/>
      <c r="C60" s="30"/>
      <c r="D60" s="31"/>
      <c r="E60" s="29" t="s">
        <v>16</v>
      </c>
      <c r="F60" s="13" t="b">
        <f>IF($E60=Categories!$A$1,"",IF($E60=Categories!$A$2,Categories!$B$2,IF($E60=Categories!$A$3,Categories!$B$3,IF($E60=Categories!$A$4,Categories!$B$4,IF($E60=Categories!$A$5,Categories!$B$5,IF($E60=Categories!$A$6,Categories!$B$6,IF($E60=Categories!$A$7,Categories!$B$7,IF($E60=Categories!$A$8,Categories!$B$8,IF($E60=Categories!$A$9,Categories!$B$9,IF($E60=Categories!$A$10,Categories!$B$10,IF($E60=Categories!$A$11,Categories!$B$11,IF($E60=Categories!$A$12,Categories!$B$12,IF($E60=Categories!$A$13,Categories!$B$13,IF($E60=Categories!$A$14,Categories!$B$14,IF($E60=Categories!$A$15,Categories!$B$15,IF($E60=Categories!$A$16,Categories!$B$16,IF($E60=Categories!$A$17,Categories!$B$17,IF($E60=Categories!$A$18,Categories!$B$18,IF($E60=Categories!$A$19,Categories!$B$19)))))))))))))))))))</f>
        <v>0</v>
      </c>
      <c r="G60" s="9" t="str">
        <f t="shared" si="0"/>
        <v/>
      </c>
      <c r="H60" s="1" t="str">
        <f t="shared" si="1"/>
        <v/>
      </c>
      <c r="I60" s="1" t="str">
        <f t="shared" si="2"/>
        <v/>
      </c>
      <c r="J60" s="1" t="str">
        <f t="shared" si="3"/>
        <v/>
      </c>
      <c r="K60" s="13" t="str">
        <f t="shared" si="4"/>
        <v/>
      </c>
      <c r="L60" s="9" t="str">
        <f t="shared" si="5"/>
        <v/>
      </c>
      <c r="M60" s="1" t="str">
        <f t="shared" si="6"/>
        <v/>
      </c>
      <c r="N60" s="1" t="str">
        <f t="shared" si="7"/>
        <v/>
      </c>
      <c r="O60" s="1" t="str">
        <f t="shared" si="8"/>
        <v/>
      </c>
      <c r="P60" s="1" t="str">
        <f t="shared" si="9"/>
        <v/>
      </c>
      <c r="Q60" s="1" t="str">
        <f t="shared" si="10"/>
        <v/>
      </c>
      <c r="R60" s="1" t="str">
        <f t="shared" si="11"/>
        <v/>
      </c>
      <c r="S60" s="1" t="str">
        <f t="shared" si="12"/>
        <v/>
      </c>
      <c r="T60" s="1" t="str">
        <f t="shared" si="13"/>
        <v/>
      </c>
      <c r="U60" s="1" t="str">
        <f t="shared" si="14"/>
        <v/>
      </c>
      <c r="V60" s="1" t="str">
        <f t="shared" si="15"/>
        <v/>
      </c>
      <c r="W60" s="26" t="str">
        <f t="shared" si="16"/>
        <v/>
      </c>
      <c r="X60" s="13" t="str">
        <f t="shared" si="17"/>
        <v/>
      </c>
      <c r="Y60" s="9">
        <f t="shared" si="18"/>
        <v>0</v>
      </c>
    </row>
    <row r="61" spans="1:25" x14ac:dyDescent="0.25">
      <c r="A61" s="28"/>
      <c r="B61" s="29"/>
      <c r="C61" s="30"/>
      <c r="D61" s="31"/>
      <c r="E61" s="29" t="s">
        <v>16</v>
      </c>
      <c r="F61" s="13" t="b">
        <f>IF($E61=Categories!$A$1,"",IF($E61=Categories!$A$2,Categories!$B$2,IF($E61=Categories!$A$3,Categories!$B$3,IF($E61=Categories!$A$4,Categories!$B$4,IF($E61=Categories!$A$5,Categories!$B$5,IF($E61=Categories!$A$6,Categories!$B$6,IF($E61=Categories!$A$7,Categories!$B$7,IF($E61=Categories!$A$8,Categories!$B$8,IF($E61=Categories!$A$9,Categories!$B$9,IF($E61=Categories!$A$10,Categories!$B$10,IF($E61=Categories!$A$11,Categories!$B$11,IF($E61=Categories!$A$12,Categories!$B$12,IF($E61=Categories!$A$13,Categories!$B$13,IF($E61=Categories!$A$14,Categories!$B$14,IF($E61=Categories!$A$15,Categories!$B$15,IF($E61=Categories!$A$16,Categories!$B$16,IF($E61=Categories!$A$17,Categories!$B$17,IF($E61=Categories!$A$18,Categories!$B$18,IF($E61=Categories!$A$19,Categories!$B$19)))))))))))))))))))</f>
        <v>0</v>
      </c>
      <c r="G61" s="9" t="str">
        <f t="shared" si="0"/>
        <v/>
      </c>
      <c r="H61" s="1" t="str">
        <f t="shared" si="1"/>
        <v/>
      </c>
      <c r="I61" s="1" t="str">
        <f t="shared" si="2"/>
        <v/>
      </c>
      <c r="J61" s="1" t="str">
        <f t="shared" si="3"/>
        <v/>
      </c>
      <c r="K61" s="13" t="str">
        <f t="shared" si="4"/>
        <v/>
      </c>
      <c r="L61" s="9" t="str">
        <f t="shared" si="5"/>
        <v/>
      </c>
      <c r="M61" s="1" t="str">
        <f t="shared" si="6"/>
        <v/>
      </c>
      <c r="N61" s="1" t="str">
        <f t="shared" si="7"/>
        <v/>
      </c>
      <c r="O61" s="1" t="str">
        <f t="shared" si="8"/>
        <v/>
      </c>
      <c r="P61" s="1" t="str">
        <f t="shared" si="9"/>
        <v/>
      </c>
      <c r="Q61" s="1" t="str">
        <f t="shared" si="10"/>
        <v/>
      </c>
      <c r="R61" s="1" t="str">
        <f t="shared" si="11"/>
        <v/>
      </c>
      <c r="S61" s="1" t="str">
        <f t="shared" si="12"/>
        <v/>
      </c>
      <c r="T61" s="1" t="str">
        <f t="shared" si="13"/>
        <v/>
      </c>
      <c r="U61" s="1" t="str">
        <f t="shared" si="14"/>
        <v/>
      </c>
      <c r="V61" s="1" t="str">
        <f t="shared" si="15"/>
        <v/>
      </c>
      <c r="W61" s="26" t="str">
        <f t="shared" si="16"/>
        <v/>
      </c>
      <c r="X61" s="13" t="str">
        <f t="shared" si="17"/>
        <v/>
      </c>
      <c r="Y61" s="9">
        <f t="shared" si="18"/>
        <v>0</v>
      </c>
    </row>
    <row r="62" spans="1:25" x14ac:dyDescent="0.25">
      <c r="A62" s="28"/>
      <c r="B62" s="29"/>
      <c r="C62" s="30"/>
      <c r="D62" s="31"/>
      <c r="E62" s="29" t="s">
        <v>16</v>
      </c>
      <c r="F62" s="13" t="b">
        <f>IF($E62=Categories!$A$1,"",IF($E62=Categories!$A$2,Categories!$B$2,IF($E62=Categories!$A$3,Categories!$B$3,IF($E62=Categories!$A$4,Categories!$B$4,IF($E62=Categories!$A$5,Categories!$B$5,IF($E62=Categories!$A$6,Categories!$B$6,IF($E62=Categories!$A$7,Categories!$B$7,IF($E62=Categories!$A$8,Categories!$B$8,IF($E62=Categories!$A$9,Categories!$B$9,IF($E62=Categories!$A$10,Categories!$B$10,IF($E62=Categories!$A$11,Categories!$B$11,IF($E62=Categories!$A$12,Categories!$B$12,IF($E62=Categories!$A$13,Categories!$B$13,IF($E62=Categories!$A$14,Categories!$B$14,IF($E62=Categories!$A$15,Categories!$B$15,IF($E62=Categories!$A$16,Categories!$B$16,IF($E62=Categories!$A$17,Categories!$B$17,IF($E62=Categories!$A$18,Categories!$B$18,IF($E62=Categories!$A$19,Categories!$B$19)))))))))))))))))))</f>
        <v>0</v>
      </c>
      <c r="G62" s="9" t="str">
        <f t="shared" si="0"/>
        <v/>
      </c>
      <c r="H62" s="1" t="str">
        <f t="shared" si="1"/>
        <v/>
      </c>
      <c r="I62" s="1" t="str">
        <f t="shared" si="2"/>
        <v/>
      </c>
      <c r="J62" s="1" t="str">
        <f t="shared" si="3"/>
        <v/>
      </c>
      <c r="K62" s="13" t="str">
        <f t="shared" si="4"/>
        <v/>
      </c>
      <c r="L62" s="9" t="str">
        <f t="shared" si="5"/>
        <v/>
      </c>
      <c r="M62" s="1" t="str">
        <f t="shared" si="6"/>
        <v/>
      </c>
      <c r="N62" s="1" t="str">
        <f t="shared" si="7"/>
        <v/>
      </c>
      <c r="O62" s="1" t="str">
        <f t="shared" si="8"/>
        <v/>
      </c>
      <c r="P62" s="1" t="str">
        <f t="shared" si="9"/>
        <v/>
      </c>
      <c r="Q62" s="1" t="str">
        <f t="shared" si="10"/>
        <v/>
      </c>
      <c r="R62" s="1" t="str">
        <f t="shared" si="11"/>
        <v/>
      </c>
      <c r="S62" s="1" t="str">
        <f t="shared" si="12"/>
        <v/>
      </c>
      <c r="T62" s="1" t="str">
        <f t="shared" si="13"/>
        <v/>
      </c>
      <c r="U62" s="1" t="str">
        <f t="shared" si="14"/>
        <v/>
      </c>
      <c r="V62" s="1" t="str">
        <f t="shared" si="15"/>
        <v/>
      </c>
      <c r="W62" s="26" t="str">
        <f t="shared" si="16"/>
        <v/>
      </c>
      <c r="X62" s="13" t="str">
        <f t="shared" si="17"/>
        <v/>
      </c>
      <c r="Y62" s="9">
        <f t="shared" si="18"/>
        <v>0</v>
      </c>
    </row>
    <row r="63" spans="1:25" x14ac:dyDescent="0.25">
      <c r="A63" s="28"/>
      <c r="B63" s="29"/>
      <c r="C63" s="30"/>
      <c r="D63" s="31"/>
      <c r="E63" s="29" t="s">
        <v>16</v>
      </c>
      <c r="F63" s="13" t="b">
        <f>IF($E63=Categories!$A$1,"",IF($E63=Categories!$A$2,Categories!$B$2,IF($E63=Categories!$A$3,Categories!$B$3,IF($E63=Categories!$A$4,Categories!$B$4,IF($E63=Categories!$A$5,Categories!$B$5,IF($E63=Categories!$A$6,Categories!$B$6,IF($E63=Categories!$A$7,Categories!$B$7,IF($E63=Categories!$A$8,Categories!$B$8,IF($E63=Categories!$A$9,Categories!$B$9,IF($E63=Categories!$A$10,Categories!$B$10,IF($E63=Categories!$A$11,Categories!$B$11,IF($E63=Categories!$A$12,Categories!$B$12,IF($E63=Categories!$A$13,Categories!$B$13,IF($E63=Categories!$A$14,Categories!$B$14,IF($E63=Categories!$A$15,Categories!$B$15,IF($E63=Categories!$A$16,Categories!$B$16,IF($E63=Categories!$A$17,Categories!$B$17,IF($E63=Categories!$A$18,Categories!$B$18,IF($E63=Categories!$A$19,Categories!$B$19)))))))))))))))))))</f>
        <v>0</v>
      </c>
      <c r="G63" s="9" t="str">
        <f t="shared" si="0"/>
        <v/>
      </c>
      <c r="H63" s="1" t="str">
        <f t="shared" si="1"/>
        <v/>
      </c>
      <c r="I63" s="1" t="str">
        <f t="shared" si="2"/>
        <v/>
      </c>
      <c r="J63" s="1" t="str">
        <f t="shared" si="3"/>
        <v/>
      </c>
      <c r="K63" s="13" t="str">
        <f t="shared" si="4"/>
        <v/>
      </c>
      <c r="L63" s="9" t="str">
        <f t="shared" si="5"/>
        <v/>
      </c>
      <c r="M63" s="1" t="str">
        <f t="shared" si="6"/>
        <v/>
      </c>
      <c r="N63" s="1" t="str">
        <f t="shared" si="7"/>
        <v/>
      </c>
      <c r="O63" s="1" t="str">
        <f t="shared" si="8"/>
        <v/>
      </c>
      <c r="P63" s="1" t="str">
        <f t="shared" si="9"/>
        <v/>
      </c>
      <c r="Q63" s="1" t="str">
        <f t="shared" si="10"/>
        <v/>
      </c>
      <c r="R63" s="1" t="str">
        <f t="shared" si="11"/>
        <v/>
      </c>
      <c r="S63" s="1" t="str">
        <f t="shared" si="12"/>
        <v/>
      </c>
      <c r="T63" s="1" t="str">
        <f t="shared" si="13"/>
        <v/>
      </c>
      <c r="U63" s="1" t="str">
        <f t="shared" si="14"/>
        <v/>
      </c>
      <c r="V63" s="1" t="str">
        <f t="shared" si="15"/>
        <v/>
      </c>
      <c r="W63" s="26" t="str">
        <f t="shared" si="16"/>
        <v/>
      </c>
      <c r="X63" s="13" t="str">
        <f t="shared" si="17"/>
        <v/>
      </c>
      <c r="Y63" s="9">
        <f t="shared" si="18"/>
        <v>0</v>
      </c>
    </row>
    <row r="64" spans="1:25" x14ac:dyDescent="0.25">
      <c r="A64" s="28"/>
      <c r="B64" s="29"/>
      <c r="C64" s="30"/>
      <c r="D64" s="31"/>
      <c r="E64" s="29" t="s">
        <v>16</v>
      </c>
      <c r="F64" s="13" t="b">
        <f>IF($E64=Categories!$A$1,"",IF($E64=Categories!$A$2,Categories!$B$2,IF($E64=Categories!$A$3,Categories!$B$3,IF($E64=Categories!$A$4,Categories!$B$4,IF($E64=Categories!$A$5,Categories!$B$5,IF($E64=Categories!$A$6,Categories!$B$6,IF($E64=Categories!$A$7,Categories!$B$7,IF($E64=Categories!$A$8,Categories!$B$8,IF($E64=Categories!$A$9,Categories!$B$9,IF($E64=Categories!$A$10,Categories!$B$10,IF($E64=Categories!$A$11,Categories!$B$11,IF($E64=Categories!$A$12,Categories!$B$12,IF($E64=Categories!$A$13,Categories!$B$13,IF($E64=Categories!$A$14,Categories!$B$14,IF($E64=Categories!$A$15,Categories!$B$15,IF($E64=Categories!$A$16,Categories!$B$16,IF($E64=Categories!$A$17,Categories!$B$17,IF($E64=Categories!$A$18,Categories!$B$18,IF($E64=Categories!$A$19,Categories!$B$19)))))))))))))))))))</f>
        <v>0</v>
      </c>
      <c r="G64" s="9" t="str">
        <f t="shared" si="0"/>
        <v/>
      </c>
      <c r="H64" s="1" t="str">
        <f t="shared" si="1"/>
        <v/>
      </c>
      <c r="I64" s="1" t="str">
        <f t="shared" si="2"/>
        <v/>
      </c>
      <c r="J64" s="1" t="str">
        <f t="shared" si="3"/>
        <v/>
      </c>
      <c r="K64" s="13" t="str">
        <f t="shared" si="4"/>
        <v/>
      </c>
      <c r="L64" s="9" t="str">
        <f t="shared" si="5"/>
        <v/>
      </c>
      <c r="M64" s="1" t="str">
        <f t="shared" si="6"/>
        <v/>
      </c>
      <c r="N64" s="1" t="str">
        <f t="shared" si="7"/>
        <v/>
      </c>
      <c r="O64" s="1" t="str">
        <f t="shared" si="8"/>
        <v/>
      </c>
      <c r="P64" s="1" t="str">
        <f t="shared" si="9"/>
        <v/>
      </c>
      <c r="Q64" s="1" t="str">
        <f t="shared" si="10"/>
        <v/>
      </c>
      <c r="R64" s="1" t="str">
        <f t="shared" si="11"/>
        <v/>
      </c>
      <c r="S64" s="1" t="str">
        <f t="shared" si="12"/>
        <v/>
      </c>
      <c r="T64" s="1" t="str">
        <f t="shared" si="13"/>
        <v/>
      </c>
      <c r="U64" s="1" t="str">
        <f t="shared" si="14"/>
        <v/>
      </c>
      <c r="V64" s="1" t="str">
        <f t="shared" si="15"/>
        <v/>
      </c>
      <c r="W64" s="26" t="str">
        <f t="shared" si="16"/>
        <v/>
      </c>
      <c r="X64" s="13" t="str">
        <f t="shared" si="17"/>
        <v/>
      </c>
      <c r="Y64" s="9">
        <f t="shared" si="18"/>
        <v>0</v>
      </c>
    </row>
    <row r="65" spans="1:25" x14ac:dyDescent="0.25">
      <c r="A65" s="28"/>
      <c r="B65" s="29"/>
      <c r="C65" s="30"/>
      <c r="D65" s="31"/>
      <c r="E65" s="29" t="s">
        <v>16</v>
      </c>
      <c r="F65" s="13" t="b">
        <f>IF($E65=Categories!$A$1,"",IF($E65=Categories!$A$2,Categories!$B$2,IF($E65=Categories!$A$3,Categories!$B$3,IF($E65=Categories!$A$4,Categories!$B$4,IF($E65=Categories!$A$5,Categories!$B$5,IF($E65=Categories!$A$6,Categories!$B$6,IF($E65=Categories!$A$7,Categories!$B$7,IF($E65=Categories!$A$8,Categories!$B$8,IF($E65=Categories!$A$9,Categories!$B$9,IF($E65=Categories!$A$10,Categories!$B$10,IF($E65=Categories!$A$11,Categories!$B$11,IF($E65=Categories!$A$12,Categories!$B$12,IF($E65=Categories!$A$13,Categories!$B$13,IF($E65=Categories!$A$14,Categories!$B$14,IF($E65=Categories!$A$15,Categories!$B$15,IF($E65=Categories!$A$16,Categories!$B$16,IF($E65=Categories!$A$17,Categories!$B$17,IF($E65=Categories!$A$18,Categories!$B$18,IF($E65=Categories!$A$19,Categories!$B$19)))))))))))))))))))</f>
        <v>0</v>
      </c>
      <c r="G65" s="9" t="str">
        <f t="shared" si="0"/>
        <v/>
      </c>
      <c r="H65" s="1" t="str">
        <f t="shared" si="1"/>
        <v/>
      </c>
      <c r="I65" s="1" t="str">
        <f t="shared" si="2"/>
        <v/>
      </c>
      <c r="J65" s="1" t="str">
        <f t="shared" si="3"/>
        <v/>
      </c>
      <c r="K65" s="13" t="str">
        <f t="shared" si="4"/>
        <v/>
      </c>
      <c r="L65" s="9" t="str">
        <f t="shared" si="5"/>
        <v/>
      </c>
      <c r="M65" s="1" t="str">
        <f t="shared" si="6"/>
        <v/>
      </c>
      <c r="N65" s="1" t="str">
        <f t="shared" si="7"/>
        <v/>
      </c>
      <c r="O65" s="1" t="str">
        <f t="shared" si="8"/>
        <v/>
      </c>
      <c r="P65" s="1" t="str">
        <f t="shared" si="9"/>
        <v/>
      </c>
      <c r="Q65" s="1" t="str">
        <f t="shared" si="10"/>
        <v/>
      </c>
      <c r="R65" s="1" t="str">
        <f t="shared" si="11"/>
        <v/>
      </c>
      <c r="S65" s="1" t="str">
        <f t="shared" si="12"/>
        <v/>
      </c>
      <c r="T65" s="1" t="str">
        <f t="shared" si="13"/>
        <v/>
      </c>
      <c r="U65" s="1" t="str">
        <f t="shared" si="14"/>
        <v/>
      </c>
      <c r="V65" s="1" t="str">
        <f t="shared" si="15"/>
        <v/>
      </c>
      <c r="W65" s="26" t="str">
        <f t="shared" si="16"/>
        <v/>
      </c>
      <c r="X65" s="13" t="str">
        <f t="shared" si="17"/>
        <v/>
      </c>
      <c r="Y65" s="9">
        <f t="shared" si="18"/>
        <v>0</v>
      </c>
    </row>
    <row r="66" spans="1:25" x14ac:dyDescent="0.25">
      <c r="A66" s="28"/>
      <c r="B66" s="29"/>
      <c r="C66" s="30"/>
      <c r="D66" s="31"/>
      <c r="E66" s="29" t="s">
        <v>16</v>
      </c>
      <c r="F66" s="13" t="b">
        <f>IF($E66=Categories!$A$1,"",IF($E66=Categories!$A$2,Categories!$B$2,IF($E66=Categories!$A$3,Categories!$B$3,IF($E66=Categories!$A$4,Categories!$B$4,IF($E66=Categories!$A$5,Categories!$B$5,IF($E66=Categories!$A$6,Categories!$B$6,IF($E66=Categories!$A$7,Categories!$B$7,IF($E66=Categories!$A$8,Categories!$B$8,IF($E66=Categories!$A$9,Categories!$B$9,IF($E66=Categories!$A$10,Categories!$B$10,IF($E66=Categories!$A$11,Categories!$B$11,IF($E66=Categories!$A$12,Categories!$B$12,IF($E66=Categories!$A$13,Categories!$B$13,IF($E66=Categories!$A$14,Categories!$B$14,IF($E66=Categories!$A$15,Categories!$B$15,IF($E66=Categories!$A$16,Categories!$B$16,IF($E66=Categories!$A$17,Categories!$B$17,IF($E66=Categories!$A$18,Categories!$B$18,IF($E66=Categories!$A$19,Categories!$B$19)))))))))))))))))))</f>
        <v>0</v>
      </c>
      <c r="G66" s="9" t="str">
        <f t="shared" si="0"/>
        <v/>
      </c>
      <c r="H66" s="1" t="str">
        <f t="shared" si="1"/>
        <v/>
      </c>
      <c r="I66" s="1" t="str">
        <f t="shared" si="2"/>
        <v/>
      </c>
      <c r="J66" s="1" t="str">
        <f t="shared" si="3"/>
        <v/>
      </c>
      <c r="K66" s="13" t="str">
        <f t="shared" si="4"/>
        <v/>
      </c>
      <c r="L66" s="9" t="str">
        <f t="shared" si="5"/>
        <v/>
      </c>
      <c r="M66" s="1" t="str">
        <f t="shared" si="6"/>
        <v/>
      </c>
      <c r="N66" s="1" t="str">
        <f t="shared" si="7"/>
        <v/>
      </c>
      <c r="O66" s="1" t="str">
        <f t="shared" si="8"/>
        <v/>
      </c>
      <c r="P66" s="1" t="str">
        <f t="shared" si="9"/>
        <v/>
      </c>
      <c r="Q66" s="1" t="str">
        <f t="shared" si="10"/>
        <v/>
      </c>
      <c r="R66" s="1" t="str">
        <f t="shared" si="11"/>
        <v/>
      </c>
      <c r="S66" s="1" t="str">
        <f t="shared" si="12"/>
        <v/>
      </c>
      <c r="T66" s="1" t="str">
        <f t="shared" si="13"/>
        <v/>
      </c>
      <c r="U66" s="1" t="str">
        <f t="shared" si="14"/>
        <v/>
      </c>
      <c r="V66" s="1" t="str">
        <f t="shared" si="15"/>
        <v/>
      </c>
      <c r="W66" s="26" t="str">
        <f t="shared" si="16"/>
        <v/>
      </c>
      <c r="X66" s="13" t="str">
        <f t="shared" si="17"/>
        <v/>
      </c>
      <c r="Y66" s="9">
        <f t="shared" si="18"/>
        <v>0</v>
      </c>
    </row>
    <row r="67" spans="1:25" x14ac:dyDescent="0.25">
      <c r="A67" s="28"/>
      <c r="B67" s="29"/>
      <c r="C67" s="30"/>
      <c r="D67" s="31"/>
      <c r="E67" s="29" t="s">
        <v>16</v>
      </c>
      <c r="F67" s="13" t="b">
        <f>IF($E67=Categories!$A$1,"",IF($E67=Categories!$A$2,Categories!$B$2,IF($E67=Categories!$A$3,Categories!$B$3,IF($E67=Categories!$A$4,Categories!$B$4,IF($E67=Categories!$A$5,Categories!$B$5,IF($E67=Categories!$A$6,Categories!$B$6,IF($E67=Categories!$A$7,Categories!$B$7,IF($E67=Categories!$A$8,Categories!$B$8,IF($E67=Categories!$A$9,Categories!$B$9,IF($E67=Categories!$A$10,Categories!$B$10,IF($E67=Categories!$A$11,Categories!$B$11,IF($E67=Categories!$A$12,Categories!$B$12,IF($E67=Categories!$A$13,Categories!$B$13,IF($E67=Categories!$A$14,Categories!$B$14,IF($E67=Categories!$A$15,Categories!$B$15,IF($E67=Categories!$A$16,Categories!$B$16,IF($E67=Categories!$A$17,Categories!$B$17,IF($E67=Categories!$A$18,Categories!$B$18,IF($E67=Categories!$A$19,Categories!$B$19)))))))))))))))))))</f>
        <v>0</v>
      </c>
      <c r="G67" s="9" t="str">
        <f t="shared" si="0"/>
        <v/>
      </c>
      <c r="H67" s="1" t="str">
        <f t="shared" si="1"/>
        <v/>
      </c>
      <c r="I67" s="1" t="str">
        <f t="shared" si="2"/>
        <v/>
      </c>
      <c r="J67" s="1" t="str">
        <f t="shared" si="3"/>
        <v/>
      </c>
      <c r="K67" s="13" t="str">
        <f t="shared" si="4"/>
        <v/>
      </c>
      <c r="L67" s="9" t="str">
        <f t="shared" si="5"/>
        <v/>
      </c>
      <c r="M67" s="1" t="str">
        <f t="shared" si="6"/>
        <v/>
      </c>
      <c r="N67" s="1" t="str">
        <f t="shared" si="7"/>
        <v/>
      </c>
      <c r="O67" s="1" t="str">
        <f t="shared" si="8"/>
        <v/>
      </c>
      <c r="P67" s="1" t="str">
        <f t="shared" si="9"/>
        <v/>
      </c>
      <c r="Q67" s="1" t="str">
        <f t="shared" si="10"/>
        <v/>
      </c>
      <c r="R67" s="1" t="str">
        <f t="shared" si="11"/>
        <v/>
      </c>
      <c r="S67" s="1" t="str">
        <f t="shared" si="12"/>
        <v/>
      </c>
      <c r="T67" s="1" t="str">
        <f t="shared" si="13"/>
        <v/>
      </c>
      <c r="U67" s="1" t="str">
        <f t="shared" si="14"/>
        <v/>
      </c>
      <c r="V67" s="1" t="str">
        <f t="shared" si="15"/>
        <v/>
      </c>
      <c r="W67" s="26" t="str">
        <f t="shared" si="16"/>
        <v/>
      </c>
      <c r="X67" s="13" t="str">
        <f t="shared" si="17"/>
        <v/>
      </c>
      <c r="Y67" s="9">
        <f t="shared" si="18"/>
        <v>0</v>
      </c>
    </row>
    <row r="68" spans="1:25" x14ac:dyDescent="0.25">
      <c r="A68" s="28"/>
      <c r="B68" s="29"/>
      <c r="C68" s="30"/>
      <c r="D68" s="31"/>
      <c r="E68" s="29" t="s">
        <v>16</v>
      </c>
      <c r="F68" s="13" t="b">
        <f>IF($E68=Categories!$A$1,"",IF($E68=Categories!$A$2,Categories!$B$2,IF($E68=Categories!$A$3,Categories!$B$3,IF($E68=Categories!$A$4,Categories!$B$4,IF($E68=Categories!$A$5,Categories!$B$5,IF($E68=Categories!$A$6,Categories!$B$6,IF($E68=Categories!$A$7,Categories!$B$7,IF($E68=Categories!$A$8,Categories!$B$8,IF($E68=Categories!$A$9,Categories!$B$9,IF($E68=Categories!$A$10,Categories!$B$10,IF($E68=Categories!$A$11,Categories!$B$11,IF($E68=Categories!$A$12,Categories!$B$12,IF($E68=Categories!$A$13,Categories!$B$13,IF($E68=Categories!$A$14,Categories!$B$14,IF($E68=Categories!$A$15,Categories!$B$15,IF($E68=Categories!$A$16,Categories!$B$16,IF($E68=Categories!$A$17,Categories!$B$17,IF($E68=Categories!$A$18,Categories!$B$18,IF($E68=Categories!$A$19,Categories!$B$19)))))))))))))))))))</f>
        <v>0</v>
      </c>
      <c r="G68" s="9" t="str">
        <f t="shared" si="0"/>
        <v/>
      </c>
      <c r="H68" s="1" t="str">
        <f t="shared" si="1"/>
        <v/>
      </c>
      <c r="I68" s="1" t="str">
        <f t="shared" si="2"/>
        <v/>
      </c>
      <c r="J68" s="1" t="str">
        <f t="shared" si="3"/>
        <v/>
      </c>
      <c r="K68" s="13" t="str">
        <f t="shared" si="4"/>
        <v/>
      </c>
      <c r="L68" s="9" t="str">
        <f t="shared" si="5"/>
        <v/>
      </c>
      <c r="M68" s="1" t="str">
        <f t="shared" si="6"/>
        <v/>
      </c>
      <c r="N68" s="1" t="str">
        <f t="shared" si="7"/>
        <v/>
      </c>
      <c r="O68" s="1" t="str">
        <f t="shared" si="8"/>
        <v/>
      </c>
      <c r="P68" s="1" t="str">
        <f t="shared" si="9"/>
        <v/>
      </c>
      <c r="Q68" s="1" t="str">
        <f t="shared" si="10"/>
        <v/>
      </c>
      <c r="R68" s="1" t="str">
        <f t="shared" si="11"/>
        <v/>
      </c>
      <c r="S68" s="1" t="str">
        <f t="shared" si="12"/>
        <v/>
      </c>
      <c r="T68" s="1" t="str">
        <f t="shared" si="13"/>
        <v/>
      </c>
      <c r="U68" s="1" t="str">
        <f t="shared" si="14"/>
        <v/>
      </c>
      <c r="V68" s="1" t="str">
        <f t="shared" si="15"/>
        <v/>
      </c>
      <c r="W68" s="26" t="str">
        <f t="shared" si="16"/>
        <v/>
      </c>
      <c r="X68" s="13" t="str">
        <f t="shared" si="17"/>
        <v/>
      </c>
      <c r="Y68" s="9">
        <f t="shared" si="18"/>
        <v>0</v>
      </c>
    </row>
    <row r="69" spans="1:25" x14ac:dyDescent="0.25">
      <c r="A69" s="28"/>
      <c r="B69" s="29"/>
      <c r="C69" s="30"/>
      <c r="D69" s="31"/>
      <c r="E69" s="29" t="s">
        <v>16</v>
      </c>
      <c r="F69" s="13" t="b">
        <f>IF($E69=Categories!$A$1,"",IF($E69=Categories!$A$2,Categories!$B$2,IF($E69=Categories!$A$3,Categories!$B$3,IF($E69=Categories!$A$4,Categories!$B$4,IF($E69=Categories!$A$5,Categories!$B$5,IF($E69=Categories!$A$6,Categories!$B$6,IF($E69=Categories!$A$7,Categories!$B$7,IF($E69=Categories!$A$8,Categories!$B$8,IF($E69=Categories!$A$9,Categories!$B$9,IF($E69=Categories!$A$10,Categories!$B$10,IF($E69=Categories!$A$11,Categories!$B$11,IF($E69=Categories!$A$12,Categories!$B$12,IF($E69=Categories!$A$13,Categories!$B$13,IF($E69=Categories!$A$14,Categories!$B$14,IF($E69=Categories!$A$15,Categories!$B$15,IF($E69=Categories!$A$16,Categories!$B$16,IF($E69=Categories!$A$17,Categories!$B$17,IF($E69=Categories!$A$18,Categories!$B$18,IF($E69=Categories!$A$19,Categories!$B$19)))))))))))))))))))</f>
        <v>0</v>
      </c>
      <c r="G69" s="9" t="str">
        <f t="shared" si="0"/>
        <v/>
      </c>
      <c r="H69" s="1" t="str">
        <f t="shared" si="1"/>
        <v/>
      </c>
      <c r="I69" s="1" t="str">
        <f t="shared" si="2"/>
        <v/>
      </c>
      <c r="J69" s="1" t="str">
        <f t="shared" si="3"/>
        <v/>
      </c>
      <c r="K69" s="13" t="str">
        <f t="shared" si="4"/>
        <v/>
      </c>
      <c r="L69" s="9" t="str">
        <f t="shared" si="5"/>
        <v/>
      </c>
      <c r="M69" s="1" t="str">
        <f t="shared" si="6"/>
        <v/>
      </c>
      <c r="N69" s="1" t="str">
        <f t="shared" si="7"/>
        <v/>
      </c>
      <c r="O69" s="1" t="str">
        <f t="shared" si="8"/>
        <v/>
      </c>
      <c r="P69" s="1" t="str">
        <f t="shared" si="9"/>
        <v/>
      </c>
      <c r="Q69" s="1" t="str">
        <f t="shared" si="10"/>
        <v/>
      </c>
      <c r="R69" s="1" t="str">
        <f t="shared" si="11"/>
        <v/>
      </c>
      <c r="S69" s="1" t="str">
        <f t="shared" si="12"/>
        <v/>
      </c>
      <c r="T69" s="1" t="str">
        <f t="shared" si="13"/>
        <v/>
      </c>
      <c r="U69" s="1" t="str">
        <f t="shared" si="14"/>
        <v/>
      </c>
      <c r="V69" s="1" t="str">
        <f t="shared" si="15"/>
        <v/>
      </c>
      <c r="W69" s="26" t="str">
        <f t="shared" si="16"/>
        <v/>
      </c>
      <c r="X69" s="13" t="str">
        <f t="shared" si="17"/>
        <v/>
      </c>
      <c r="Y69" s="9">
        <f t="shared" si="18"/>
        <v>0</v>
      </c>
    </row>
    <row r="70" spans="1:25" x14ac:dyDescent="0.25">
      <c r="A70" s="28"/>
      <c r="B70" s="29"/>
      <c r="C70" s="30"/>
      <c r="D70" s="31"/>
      <c r="E70" s="29" t="s">
        <v>16</v>
      </c>
      <c r="F70" s="13" t="b">
        <f>IF($E70=Categories!$A$1,"",IF($E70=Categories!$A$2,Categories!$B$2,IF($E70=Categories!$A$3,Categories!$B$3,IF($E70=Categories!$A$4,Categories!$B$4,IF($E70=Categories!$A$5,Categories!$B$5,IF($E70=Categories!$A$6,Categories!$B$6,IF($E70=Categories!$A$7,Categories!$B$7,IF($E70=Categories!$A$8,Categories!$B$8,IF($E70=Categories!$A$9,Categories!$B$9,IF($E70=Categories!$A$10,Categories!$B$10,IF($E70=Categories!$A$11,Categories!$B$11,IF($E70=Categories!$A$12,Categories!$B$12,IF($E70=Categories!$A$13,Categories!$B$13,IF($E70=Categories!$A$14,Categories!$B$14,IF($E70=Categories!$A$15,Categories!$B$15,IF($E70=Categories!$A$16,Categories!$B$16,IF($E70=Categories!$A$17,Categories!$B$17,IF($E70=Categories!$A$18,Categories!$B$18,IF($E70=Categories!$A$19,Categories!$B$19)))))))))))))))))))</f>
        <v>0</v>
      </c>
      <c r="G70" s="9" t="str">
        <f t="shared" si="0"/>
        <v/>
      </c>
      <c r="H70" s="1" t="str">
        <f t="shared" si="1"/>
        <v/>
      </c>
      <c r="I70" s="1" t="str">
        <f t="shared" si="2"/>
        <v/>
      </c>
      <c r="J70" s="1" t="str">
        <f t="shared" si="3"/>
        <v/>
      </c>
      <c r="K70" s="13" t="str">
        <f t="shared" si="4"/>
        <v/>
      </c>
      <c r="L70" s="9" t="str">
        <f t="shared" si="5"/>
        <v/>
      </c>
      <c r="M70" s="1" t="str">
        <f t="shared" si="6"/>
        <v/>
      </c>
      <c r="N70" s="1" t="str">
        <f t="shared" si="7"/>
        <v/>
      </c>
      <c r="O70" s="1" t="str">
        <f t="shared" si="8"/>
        <v/>
      </c>
      <c r="P70" s="1" t="str">
        <f t="shared" si="9"/>
        <v/>
      </c>
      <c r="Q70" s="1" t="str">
        <f t="shared" si="10"/>
        <v/>
      </c>
      <c r="R70" s="1" t="str">
        <f t="shared" si="11"/>
        <v/>
      </c>
      <c r="S70" s="1" t="str">
        <f t="shared" si="12"/>
        <v/>
      </c>
      <c r="T70" s="1" t="str">
        <f t="shared" si="13"/>
        <v/>
      </c>
      <c r="U70" s="1" t="str">
        <f t="shared" si="14"/>
        <v/>
      </c>
      <c r="V70" s="1" t="str">
        <f t="shared" si="15"/>
        <v/>
      </c>
      <c r="W70" s="26" t="str">
        <f t="shared" si="16"/>
        <v/>
      </c>
      <c r="X70" s="13" t="str">
        <f t="shared" si="17"/>
        <v/>
      </c>
      <c r="Y70" s="9">
        <f t="shared" si="18"/>
        <v>0</v>
      </c>
    </row>
    <row r="71" spans="1:25" x14ac:dyDescent="0.25">
      <c r="A71" s="28"/>
      <c r="B71" s="29"/>
      <c r="C71" s="30"/>
      <c r="D71" s="31"/>
      <c r="E71" s="29" t="s">
        <v>16</v>
      </c>
      <c r="F71" s="13" t="b">
        <f>IF($E71=Categories!$A$1,"",IF($E71=Categories!$A$2,Categories!$B$2,IF($E71=Categories!$A$3,Categories!$B$3,IF($E71=Categories!$A$4,Categories!$B$4,IF($E71=Categories!$A$5,Categories!$B$5,IF($E71=Categories!$A$6,Categories!$B$6,IF($E71=Categories!$A$7,Categories!$B$7,IF($E71=Categories!$A$8,Categories!$B$8,IF($E71=Categories!$A$9,Categories!$B$9,IF($E71=Categories!$A$10,Categories!$B$10,IF($E71=Categories!$A$11,Categories!$B$11,IF($E71=Categories!$A$12,Categories!$B$12,IF($E71=Categories!$A$13,Categories!$B$13,IF($E71=Categories!$A$14,Categories!$B$14,IF($E71=Categories!$A$15,Categories!$B$15,IF($E71=Categories!$A$16,Categories!$B$16,IF($E71=Categories!$A$17,Categories!$B$17,IF($E71=Categories!$A$18,Categories!$B$18,IF($E71=Categories!$A$19,Categories!$B$19)))))))))))))))))))</f>
        <v>0</v>
      </c>
      <c r="G71" s="9" t="str">
        <f t="shared" ref="G71:G95" si="19">IF($F71="Inc1",$D71,"")</f>
        <v/>
      </c>
      <c r="H71" s="1" t="str">
        <f t="shared" ref="H71:H95" si="20">IF($F71="Inc2",$D71,"")</f>
        <v/>
      </c>
      <c r="I71" s="1" t="str">
        <f t="shared" ref="I71:I95" si="21">IF($F71="Int",$D71,"")</f>
        <v/>
      </c>
      <c r="J71" s="1" t="str">
        <f t="shared" ref="J71:J95" si="22">IF($F71="Inc4",$D71,"")</f>
        <v/>
      </c>
      <c r="K71" s="13" t="str">
        <f t="shared" ref="K71:K95" si="23">IF($F71="Inc5",$D71,"")</f>
        <v/>
      </c>
      <c r="L71" s="9" t="str">
        <f t="shared" ref="L71:L95" si="24">IF($F71="ExpA",$D71,"")</f>
        <v/>
      </c>
      <c r="M71" s="1" t="str">
        <f t="shared" ref="M71:M95" si="25">IF($F71="ExpB",$D71,"")</f>
        <v/>
      </c>
      <c r="N71" s="1" t="str">
        <f t="shared" ref="N71:N95" si="26">IF($F71="ExpC",$D71,"")</f>
        <v/>
      </c>
      <c r="O71" s="1" t="str">
        <f t="shared" ref="O71:O95" si="27">IF($F71="ExpD",$D71,"")</f>
        <v/>
      </c>
      <c r="P71" s="1" t="str">
        <f t="shared" ref="P71:P95" si="28">IF($F71="ExpE",$D71,"")</f>
        <v/>
      </c>
      <c r="Q71" s="1" t="str">
        <f t="shared" ref="Q71:Q95" si="29">IF($F71="ExpF",$D71,"")</f>
        <v/>
      </c>
      <c r="R71" s="1" t="str">
        <f t="shared" ref="R71:R95" si="30">IF($F71="ExpG",$D71,"")</f>
        <v/>
      </c>
      <c r="S71" s="1" t="str">
        <f t="shared" ref="S71:S95" si="31">IF($F71="ExpH",$D71,"")</f>
        <v/>
      </c>
      <c r="T71" s="1" t="str">
        <f t="shared" ref="T71:T95" si="32">IF($F71="ExpI",$D71,"")</f>
        <v/>
      </c>
      <c r="U71" s="1" t="str">
        <f t="shared" ref="U71:U95" si="33">IF($F71="ExpJ",$D71,"")</f>
        <v/>
      </c>
      <c r="V71" s="1" t="str">
        <f t="shared" ref="V71:V95" si="34">IF($F71="ExpK",$D71,"")</f>
        <v/>
      </c>
      <c r="W71" s="26" t="str">
        <f t="shared" ref="W71:W95" si="35">IF($F71="ExpL",$D71,"")</f>
        <v/>
      </c>
      <c r="X71" s="13" t="str">
        <f t="shared" ref="X71:X95" si="36">IF($F71="Expm",$D71,"")</f>
        <v/>
      </c>
      <c r="Y71" s="9">
        <f t="shared" si="18"/>
        <v>0</v>
      </c>
    </row>
    <row r="72" spans="1:25" x14ac:dyDescent="0.25">
      <c r="A72" s="28"/>
      <c r="B72" s="29"/>
      <c r="C72" s="30"/>
      <c r="D72" s="31"/>
      <c r="E72" s="29" t="s">
        <v>16</v>
      </c>
      <c r="F72" s="13" t="b">
        <f>IF($E72=Categories!$A$1,"",IF($E72=Categories!$A$2,Categories!$B$2,IF($E72=Categories!$A$3,Categories!$B$3,IF($E72=Categories!$A$4,Categories!$B$4,IF($E72=Categories!$A$5,Categories!$B$5,IF($E72=Categories!$A$6,Categories!$B$6,IF($E72=Categories!$A$7,Categories!$B$7,IF($E72=Categories!$A$8,Categories!$B$8,IF($E72=Categories!$A$9,Categories!$B$9,IF($E72=Categories!$A$10,Categories!$B$10,IF($E72=Categories!$A$11,Categories!$B$11,IF($E72=Categories!$A$12,Categories!$B$12,IF($E72=Categories!$A$13,Categories!$B$13,IF($E72=Categories!$A$14,Categories!$B$14,IF($E72=Categories!$A$15,Categories!$B$15,IF($E72=Categories!$A$16,Categories!$B$16,IF($E72=Categories!$A$17,Categories!$B$17,IF($E72=Categories!$A$18,Categories!$B$18,IF($E72=Categories!$A$19,Categories!$B$19)))))))))))))))))))</f>
        <v>0</v>
      </c>
      <c r="G72" s="9" t="str">
        <f t="shared" si="19"/>
        <v/>
      </c>
      <c r="H72" s="1" t="str">
        <f t="shared" si="20"/>
        <v/>
      </c>
      <c r="I72" s="1" t="str">
        <f t="shared" si="21"/>
        <v/>
      </c>
      <c r="J72" s="1" t="str">
        <f t="shared" si="22"/>
        <v/>
      </c>
      <c r="K72" s="13" t="str">
        <f t="shared" si="23"/>
        <v/>
      </c>
      <c r="L72" s="9" t="str">
        <f t="shared" si="24"/>
        <v/>
      </c>
      <c r="M72" s="1" t="str">
        <f t="shared" si="25"/>
        <v/>
      </c>
      <c r="N72" s="1" t="str">
        <f t="shared" si="26"/>
        <v/>
      </c>
      <c r="O72" s="1" t="str">
        <f t="shared" si="27"/>
        <v/>
      </c>
      <c r="P72" s="1" t="str">
        <f t="shared" si="28"/>
        <v/>
      </c>
      <c r="Q72" s="1" t="str">
        <f t="shared" si="29"/>
        <v/>
      </c>
      <c r="R72" s="1" t="str">
        <f t="shared" si="30"/>
        <v/>
      </c>
      <c r="S72" s="1" t="str">
        <f t="shared" si="31"/>
        <v/>
      </c>
      <c r="T72" s="1" t="str">
        <f t="shared" si="32"/>
        <v/>
      </c>
      <c r="U72" s="1" t="str">
        <f t="shared" si="33"/>
        <v/>
      </c>
      <c r="V72" s="1" t="str">
        <f t="shared" si="34"/>
        <v/>
      </c>
      <c r="W72" s="26" t="str">
        <f t="shared" si="35"/>
        <v/>
      </c>
      <c r="X72" s="13" t="str">
        <f t="shared" si="36"/>
        <v/>
      </c>
      <c r="Y72" s="9">
        <f t="shared" ref="Y72:Y95" si="37">Y71+SUM(G72:K72)-SUM(L72:X72)</f>
        <v>0</v>
      </c>
    </row>
    <row r="73" spans="1:25" x14ac:dyDescent="0.25">
      <c r="A73" s="28"/>
      <c r="B73" s="29"/>
      <c r="C73" s="30"/>
      <c r="D73" s="31"/>
      <c r="E73" s="29" t="s">
        <v>16</v>
      </c>
      <c r="F73" s="13" t="b">
        <f>IF($E73=Categories!$A$1,"",IF($E73=Categories!$A$2,Categories!$B$2,IF($E73=Categories!$A$3,Categories!$B$3,IF($E73=Categories!$A$4,Categories!$B$4,IF($E73=Categories!$A$5,Categories!$B$5,IF($E73=Categories!$A$6,Categories!$B$6,IF($E73=Categories!$A$7,Categories!$B$7,IF($E73=Categories!$A$8,Categories!$B$8,IF($E73=Categories!$A$9,Categories!$B$9,IF($E73=Categories!$A$10,Categories!$B$10,IF($E73=Categories!$A$11,Categories!$B$11,IF($E73=Categories!$A$12,Categories!$B$12,IF($E73=Categories!$A$13,Categories!$B$13,IF($E73=Categories!$A$14,Categories!$B$14,IF($E73=Categories!$A$15,Categories!$B$15,IF($E73=Categories!$A$16,Categories!$B$16,IF($E73=Categories!$A$17,Categories!$B$17,IF($E73=Categories!$A$18,Categories!$B$18,IF($E73=Categories!$A$19,Categories!$B$19)))))))))))))))))))</f>
        <v>0</v>
      </c>
      <c r="G73" s="9" t="str">
        <f t="shared" si="19"/>
        <v/>
      </c>
      <c r="H73" s="1" t="str">
        <f t="shared" si="20"/>
        <v/>
      </c>
      <c r="I73" s="1" t="str">
        <f t="shared" si="21"/>
        <v/>
      </c>
      <c r="J73" s="1" t="str">
        <f t="shared" si="22"/>
        <v/>
      </c>
      <c r="K73" s="13" t="str">
        <f t="shared" si="23"/>
        <v/>
      </c>
      <c r="L73" s="9" t="str">
        <f t="shared" si="24"/>
        <v/>
      </c>
      <c r="M73" s="1" t="str">
        <f t="shared" si="25"/>
        <v/>
      </c>
      <c r="N73" s="1" t="str">
        <f t="shared" si="26"/>
        <v/>
      </c>
      <c r="O73" s="1" t="str">
        <f t="shared" si="27"/>
        <v/>
      </c>
      <c r="P73" s="1" t="str">
        <f t="shared" si="28"/>
        <v/>
      </c>
      <c r="Q73" s="1" t="str">
        <f t="shared" si="29"/>
        <v/>
      </c>
      <c r="R73" s="1" t="str">
        <f t="shared" si="30"/>
        <v/>
      </c>
      <c r="S73" s="1" t="str">
        <f t="shared" si="31"/>
        <v/>
      </c>
      <c r="T73" s="1" t="str">
        <f t="shared" si="32"/>
        <v/>
      </c>
      <c r="U73" s="1" t="str">
        <f t="shared" si="33"/>
        <v/>
      </c>
      <c r="V73" s="1" t="str">
        <f t="shared" si="34"/>
        <v/>
      </c>
      <c r="W73" s="26" t="str">
        <f t="shared" si="35"/>
        <v/>
      </c>
      <c r="X73" s="13" t="str">
        <f t="shared" si="36"/>
        <v/>
      </c>
      <c r="Y73" s="9">
        <f t="shared" si="37"/>
        <v>0</v>
      </c>
    </row>
    <row r="74" spans="1:25" x14ac:dyDescent="0.25">
      <c r="A74" s="28"/>
      <c r="B74" s="29"/>
      <c r="C74" s="30"/>
      <c r="D74" s="31"/>
      <c r="E74" s="29" t="s">
        <v>16</v>
      </c>
      <c r="F74" s="13" t="b">
        <f>IF($E74=Categories!$A$1,"",IF($E74=Categories!$A$2,Categories!$B$2,IF($E74=Categories!$A$3,Categories!$B$3,IF($E74=Categories!$A$4,Categories!$B$4,IF($E74=Categories!$A$5,Categories!$B$5,IF($E74=Categories!$A$6,Categories!$B$6,IF($E74=Categories!$A$7,Categories!$B$7,IF($E74=Categories!$A$8,Categories!$B$8,IF($E74=Categories!$A$9,Categories!$B$9,IF($E74=Categories!$A$10,Categories!$B$10,IF($E74=Categories!$A$11,Categories!$B$11,IF($E74=Categories!$A$12,Categories!$B$12,IF($E74=Categories!$A$13,Categories!$B$13,IF($E74=Categories!$A$14,Categories!$B$14,IF($E74=Categories!$A$15,Categories!$B$15,IF($E74=Categories!$A$16,Categories!$B$16,IF($E74=Categories!$A$17,Categories!$B$17,IF($E74=Categories!$A$18,Categories!$B$18,IF($E74=Categories!$A$19,Categories!$B$19)))))))))))))))))))</f>
        <v>0</v>
      </c>
      <c r="G74" s="9" t="str">
        <f t="shared" si="19"/>
        <v/>
      </c>
      <c r="H74" s="1" t="str">
        <f t="shared" si="20"/>
        <v/>
      </c>
      <c r="I74" s="1" t="str">
        <f t="shared" si="21"/>
        <v/>
      </c>
      <c r="J74" s="1" t="str">
        <f t="shared" si="22"/>
        <v/>
      </c>
      <c r="K74" s="13" t="str">
        <f t="shared" si="23"/>
        <v/>
      </c>
      <c r="L74" s="9" t="str">
        <f t="shared" si="24"/>
        <v/>
      </c>
      <c r="M74" s="1" t="str">
        <f t="shared" si="25"/>
        <v/>
      </c>
      <c r="N74" s="1" t="str">
        <f t="shared" si="26"/>
        <v/>
      </c>
      <c r="O74" s="1" t="str">
        <f t="shared" si="27"/>
        <v/>
      </c>
      <c r="P74" s="1" t="str">
        <f t="shared" si="28"/>
        <v/>
      </c>
      <c r="Q74" s="1" t="str">
        <f t="shared" si="29"/>
        <v/>
      </c>
      <c r="R74" s="1" t="str">
        <f t="shared" si="30"/>
        <v/>
      </c>
      <c r="S74" s="1" t="str">
        <f t="shared" si="31"/>
        <v/>
      </c>
      <c r="T74" s="1" t="str">
        <f t="shared" si="32"/>
        <v/>
      </c>
      <c r="U74" s="1" t="str">
        <f t="shared" si="33"/>
        <v/>
      </c>
      <c r="V74" s="1" t="str">
        <f t="shared" si="34"/>
        <v/>
      </c>
      <c r="W74" s="26" t="str">
        <f t="shared" si="35"/>
        <v/>
      </c>
      <c r="X74" s="13" t="str">
        <f t="shared" si="36"/>
        <v/>
      </c>
      <c r="Y74" s="9">
        <f t="shared" si="37"/>
        <v>0</v>
      </c>
    </row>
    <row r="75" spans="1:25" x14ac:dyDescent="0.25">
      <c r="A75" s="28"/>
      <c r="B75" s="29"/>
      <c r="C75" s="30"/>
      <c r="D75" s="31"/>
      <c r="E75" s="29" t="s">
        <v>16</v>
      </c>
      <c r="F75" s="13" t="b">
        <f>IF($E75=Categories!$A$1,"",IF($E75=Categories!$A$2,Categories!$B$2,IF($E75=Categories!$A$3,Categories!$B$3,IF($E75=Categories!$A$4,Categories!$B$4,IF($E75=Categories!$A$5,Categories!$B$5,IF($E75=Categories!$A$6,Categories!$B$6,IF($E75=Categories!$A$7,Categories!$B$7,IF($E75=Categories!$A$8,Categories!$B$8,IF($E75=Categories!$A$9,Categories!$B$9,IF($E75=Categories!$A$10,Categories!$B$10,IF($E75=Categories!$A$11,Categories!$B$11,IF($E75=Categories!$A$12,Categories!$B$12,IF($E75=Categories!$A$13,Categories!$B$13,IF($E75=Categories!$A$14,Categories!$B$14,IF($E75=Categories!$A$15,Categories!$B$15,IF($E75=Categories!$A$16,Categories!$B$16,IF($E75=Categories!$A$17,Categories!$B$17,IF($E75=Categories!$A$18,Categories!$B$18,IF($E75=Categories!$A$19,Categories!$B$19)))))))))))))))))))</f>
        <v>0</v>
      </c>
      <c r="G75" s="9" t="str">
        <f t="shared" si="19"/>
        <v/>
      </c>
      <c r="H75" s="1" t="str">
        <f t="shared" si="20"/>
        <v/>
      </c>
      <c r="I75" s="1" t="str">
        <f t="shared" si="21"/>
        <v/>
      </c>
      <c r="J75" s="1" t="str">
        <f t="shared" si="22"/>
        <v/>
      </c>
      <c r="K75" s="13" t="str">
        <f t="shared" si="23"/>
        <v/>
      </c>
      <c r="L75" s="9" t="str">
        <f t="shared" si="24"/>
        <v/>
      </c>
      <c r="M75" s="1" t="str">
        <f t="shared" si="25"/>
        <v/>
      </c>
      <c r="N75" s="1" t="str">
        <f t="shared" si="26"/>
        <v/>
      </c>
      <c r="O75" s="1" t="str">
        <f t="shared" si="27"/>
        <v/>
      </c>
      <c r="P75" s="1" t="str">
        <f t="shared" si="28"/>
        <v/>
      </c>
      <c r="Q75" s="1" t="str">
        <f t="shared" si="29"/>
        <v/>
      </c>
      <c r="R75" s="1" t="str">
        <f t="shared" si="30"/>
        <v/>
      </c>
      <c r="S75" s="1" t="str">
        <f t="shared" si="31"/>
        <v/>
      </c>
      <c r="T75" s="1" t="str">
        <f t="shared" si="32"/>
        <v/>
      </c>
      <c r="U75" s="1" t="str">
        <f t="shared" si="33"/>
        <v/>
      </c>
      <c r="V75" s="1" t="str">
        <f t="shared" si="34"/>
        <v/>
      </c>
      <c r="W75" s="26" t="str">
        <f t="shared" si="35"/>
        <v/>
      </c>
      <c r="X75" s="13" t="str">
        <f t="shared" si="36"/>
        <v/>
      </c>
      <c r="Y75" s="9">
        <f t="shared" si="37"/>
        <v>0</v>
      </c>
    </row>
    <row r="76" spans="1:25" x14ac:dyDescent="0.25">
      <c r="A76" s="28"/>
      <c r="B76" s="29"/>
      <c r="C76" s="30"/>
      <c r="D76" s="31"/>
      <c r="E76" s="29" t="s">
        <v>16</v>
      </c>
      <c r="F76" s="13" t="b">
        <f>IF($E76=Categories!$A$1,"",IF($E76=Categories!$A$2,Categories!$B$2,IF($E76=Categories!$A$3,Categories!$B$3,IF($E76=Categories!$A$4,Categories!$B$4,IF($E76=Categories!$A$5,Categories!$B$5,IF($E76=Categories!$A$6,Categories!$B$6,IF($E76=Categories!$A$7,Categories!$B$7,IF($E76=Categories!$A$8,Categories!$B$8,IF($E76=Categories!$A$9,Categories!$B$9,IF($E76=Categories!$A$10,Categories!$B$10,IF($E76=Categories!$A$11,Categories!$B$11,IF($E76=Categories!$A$12,Categories!$B$12,IF($E76=Categories!$A$13,Categories!$B$13,IF($E76=Categories!$A$14,Categories!$B$14,IF($E76=Categories!$A$15,Categories!$B$15,IF($E76=Categories!$A$16,Categories!$B$16,IF($E76=Categories!$A$17,Categories!$B$17,IF($E76=Categories!$A$18,Categories!$B$18,IF($E76=Categories!$A$19,Categories!$B$19)))))))))))))))))))</f>
        <v>0</v>
      </c>
      <c r="G76" s="9" t="str">
        <f t="shared" si="19"/>
        <v/>
      </c>
      <c r="H76" s="1" t="str">
        <f t="shared" si="20"/>
        <v/>
      </c>
      <c r="I76" s="1" t="str">
        <f t="shared" si="21"/>
        <v/>
      </c>
      <c r="J76" s="1" t="str">
        <f t="shared" si="22"/>
        <v/>
      </c>
      <c r="K76" s="13" t="str">
        <f t="shared" si="23"/>
        <v/>
      </c>
      <c r="L76" s="9" t="str">
        <f t="shared" si="24"/>
        <v/>
      </c>
      <c r="M76" s="1" t="str">
        <f t="shared" si="25"/>
        <v/>
      </c>
      <c r="N76" s="1" t="str">
        <f t="shared" si="26"/>
        <v/>
      </c>
      <c r="O76" s="1" t="str">
        <f t="shared" si="27"/>
        <v/>
      </c>
      <c r="P76" s="1" t="str">
        <f t="shared" si="28"/>
        <v/>
      </c>
      <c r="Q76" s="1" t="str">
        <f t="shared" si="29"/>
        <v/>
      </c>
      <c r="R76" s="1" t="str">
        <f t="shared" si="30"/>
        <v/>
      </c>
      <c r="S76" s="1" t="str">
        <f t="shared" si="31"/>
        <v/>
      </c>
      <c r="T76" s="1" t="str">
        <f t="shared" si="32"/>
        <v/>
      </c>
      <c r="U76" s="1" t="str">
        <f t="shared" si="33"/>
        <v/>
      </c>
      <c r="V76" s="1" t="str">
        <f t="shared" si="34"/>
        <v/>
      </c>
      <c r="W76" s="26" t="str">
        <f t="shared" si="35"/>
        <v/>
      </c>
      <c r="X76" s="13" t="str">
        <f t="shared" si="36"/>
        <v/>
      </c>
      <c r="Y76" s="9">
        <f t="shared" si="37"/>
        <v>0</v>
      </c>
    </row>
    <row r="77" spans="1:25" x14ac:dyDescent="0.25">
      <c r="A77" s="28"/>
      <c r="B77" s="29"/>
      <c r="C77" s="30"/>
      <c r="D77" s="31"/>
      <c r="E77" s="29" t="s">
        <v>16</v>
      </c>
      <c r="F77" s="13" t="b">
        <f>IF($E77=Categories!$A$1,"",IF($E77=Categories!$A$2,Categories!$B$2,IF($E77=Categories!$A$3,Categories!$B$3,IF($E77=Categories!$A$4,Categories!$B$4,IF($E77=Categories!$A$5,Categories!$B$5,IF($E77=Categories!$A$6,Categories!$B$6,IF($E77=Categories!$A$7,Categories!$B$7,IF($E77=Categories!$A$8,Categories!$B$8,IF($E77=Categories!$A$9,Categories!$B$9,IF($E77=Categories!$A$10,Categories!$B$10,IF($E77=Categories!$A$11,Categories!$B$11,IF($E77=Categories!$A$12,Categories!$B$12,IF($E77=Categories!$A$13,Categories!$B$13,IF($E77=Categories!$A$14,Categories!$B$14,IF($E77=Categories!$A$15,Categories!$B$15,IF($E77=Categories!$A$16,Categories!$B$16,IF($E77=Categories!$A$17,Categories!$B$17,IF($E77=Categories!$A$18,Categories!$B$18,IF($E77=Categories!$A$19,Categories!$B$19)))))))))))))))))))</f>
        <v>0</v>
      </c>
      <c r="G77" s="9" t="str">
        <f t="shared" si="19"/>
        <v/>
      </c>
      <c r="H77" s="1" t="str">
        <f t="shared" si="20"/>
        <v/>
      </c>
      <c r="I77" s="1" t="str">
        <f t="shared" si="21"/>
        <v/>
      </c>
      <c r="J77" s="1" t="str">
        <f t="shared" si="22"/>
        <v/>
      </c>
      <c r="K77" s="13" t="str">
        <f t="shared" si="23"/>
        <v/>
      </c>
      <c r="L77" s="9" t="str">
        <f t="shared" si="24"/>
        <v/>
      </c>
      <c r="M77" s="1" t="str">
        <f t="shared" si="25"/>
        <v/>
      </c>
      <c r="N77" s="1" t="str">
        <f t="shared" si="26"/>
        <v/>
      </c>
      <c r="O77" s="1" t="str">
        <f t="shared" si="27"/>
        <v/>
      </c>
      <c r="P77" s="1" t="str">
        <f t="shared" si="28"/>
        <v/>
      </c>
      <c r="Q77" s="1" t="str">
        <f t="shared" si="29"/>
        <v/>
      </c>
      <c r="R77" s="1" t="str">
        <f t="shared" si="30"/>
        <v/>
      </c>
      <c r="S77" s="1" t="str">
        <f t="shared" si="31"/>
        <v/>
      </c>
      <c r="T77" s="1" t="str">
        <f t="shared" si="32"/>
        <v/>
      </c>
      <c r="U77" s="1" t="str">
        <f t="shared" si="33"/>
        <v/>
      </c>
      <c r="V77" s="1" t="str">
        <f t="shared" si="34"/>
        <v/>
      </c>
      <c r="W77" s="26" t="str">
        <f t="shared" si="35"/>
        <v/>
      </c>
      <c r="X77" s="13" t="str">
        <f t="shared" si="36"/>
        <v/>
      </c>
      <c r="Y77" s="9">
        <f t="shared" si="37"/>
        <v>0</v>
      </c>
    </row>
    <row r="78" spans="1:25" x14ac:dyDescent="0.25">
      <c r="A78" s="28"/>
      <c r="B78" s="29"/>
      <c r="C78" s="30"/>
      <c r="D78" s="31"/>
      <c r="E78" s="29" t="s">
        <v>16</v>
      </c>
      <c r="F78" s="13" t="b">
        <f>IF($E78=Categories!$A$1,"",IF($E78=Categories!$A$2,Categories!$B$2,IF($E78=Categories!$A$3,Categories!$B$3,IF($E78=Categories!$A$4,Categories!$B$4,IF($E78=Categories!$A$5,Categories!$B$5,IF($E78=Categories!$A$6,Categories!$B$6,IF($E78=Categories!$A$7,Categories!$B$7,IF($E78=Categories!$A$8,Categories!$B$8,IF($E78=Categories!$A$9,Categories!$B$9,IF($E78=Categories!$A$10,Categories!$B$10,IF($E78=Categories!$A$11,Categories!$B$11,IF($E78=Categories!$A$12,Categories!$B$12,IF($E78=Categories!$A$13,Categories!$B$13,IF($E78=Categories!$A$14,Categories!$B$14,IF($E78=Categories!$A$15,Categories!$B$15,IF($E78=Categories!$A$16,Categories!$B$16,IF($E78=Categories!$A$17,Categories!$B$17,IF($E78=Categories!$A$18,Categories!$B$18,IF($E78=Categories!$A$19,Categories!$B$19)))))))))))))))))))</f>
        <v>0</v>
      </c>
      <c r="G78" s="9" t="str">
        <f t="shared" si="19"/>
        <v/>
      </c>
      <c r="H78" s="1" t="str">
        <f t="shared" si="20"/>
        <v/>
      </c>
      <c r="I78" s="1" t="str">
        <f t="shared" si="21"/>
        <v/>
      </c>
      <c r="J78" s="1" t="str">
        <f t="shared" si="22"/>
        <v/>
      </c>
      <c r="K78" s="13" t="str">
        <f t="shared" si="23"/>
        <v/>
      </c>
      <c r="L78" s="9" t="str">
        <f t="shared" si="24"/>
        <v/>
      </c>
      <c r="M78" s="1" t="str">
        <f t="shared" si="25"/>
        <v/>
      </c>
      <c r="N78" s="1" t="str">
        <f t="shared" si="26"/>
        <v/>
      </c>
      <c r="O78" s="1" t="str">
        <f t="shared" si="27"/>
        <v/>
      </c>
      <c r="P78" s="1" t="str">
        <f t="shared" si="28"/>
        <v/>
      </c>
      <c r="Q78" s="1" t="str">
        <f t="shared" si="29"/>
        <v/>
      </c>
      <c r="R78" s="1" t="str">
        <f t="shared" si="30"/>
        <v/>
      </c>
      <c r="S78" s="1" t="str">
        <f t="shared" si="31"/>
        <v/>
      </c>
      <c r="T78" s="1" t="str">
        <f t="shared" si="32"/>
        <v/>
      </c>
      <c r="U78" s="1" t="str">
        <f t="shared" si="33"/>
        <v/>
      </c>
      <c r="V78" s="1" t="str">
        <f t="shared" si="34"/>
        <v/>
      </c>
      <c r="W78" s="26" t="str">
        <f t="shared" si="35"/>
        <v/>
      </c>
      <c r="X78" s="13" t="str">
        <f t="shared" si="36"/>
        <v/>
      </c>
      <c r="Y78" s="9">
        <f t="shared" si="37"/>
        <v>0</v>
      </c>
    </row>
    <row r="79" spans="1:25" x14ac:dyDescent="0.25">
      <c r="A79" s="28"/>
      <c r="B79" s="29"/>
      <c r="C79" s="30"/>
      <c r="D79" s="31"/>
      <c r="E79" s="29" t="s">
        <v>16</v>
      </c>
      <c r="F79" s="13" t="b">
        <f>IF($E79=Categories!$A$1,"",IF($E79=Categories!$A$2,Categories!$B$2,IF($E79=Categories!$A$3,Categories!$B$3,IF($E79=Categories!$A$4,Categories!$B$4,IF($E79=Categories!$A$5,Categories!$B$5,IF($E79=Categories!$A$6,Categories!$B$6,IF($E79=Categories!$A$7,Categories!$B$7,IF($E79=Categories!$A$8,Categories!$B$8,IF($E79=Categories!$A$9,Categories!$B$9,IF($E79=Categories!$A$10,Categories!$B$10,IF($E79=Categories!$A$11,Categories!$B$11,IF($E79=Categories!$A$12,Categories!$B$12,IF($E79=Categories!$A$13,Categories!$B$13,IF($E79=Categories!$A$14,Categories!$B$14,IF($E79=Categories!$A$15,Categories!$B$15,IF($E79=Categories!$A$16,Categories!$B$16,IF($E79=Categories!$A$17,Categories!$B$17,IF($E79=Categories!$A$18,Categories!$B$18,IF($E79=Categories!$A$19,Categories!$B$19)))))))))))))))))))</f>
        <v>0</v>
      </c>
      <c r="G79" s="9" t="str">
        <f t="shared" si="19"/>
        <v/>
      </c>
      <c r="H79" s="1" t="str">
        <f t="shared" si="20"/>
        <v/>
      </c>
      <c r="I79" s="1" t="str">
        <f t="shared" si="21"/>
        <v/>
      </c>
      <c r="J79" s="1" t="str">
        <f t="shared" si="22"/>
        <v/>
      </c>
      <c r="K79" s="13" t="str">
        <f t="shared" si="23"/>
        <v/>
      </c>
      <c r="L79" s="9" t="str">
        <f t="shared" si="24"/>
        <v/>
      </c>
      <c r="M79" s="1" t="str">
        <f t="shared" si="25"/>
        <v/>
      </c>
      <c r="N79" s="1" t="str">
        <f t="shared" si="26"/>
        <v/>
      </c>
      <c r="O79" s="1" t="str">
        <f t="shared" si="27"/>
        <v/>
      </c>
      <c r="P79" s="1" t="str">
        <f t="shared" si="28"/>
        <v/>
      </c>
      <c r="Q79" s="1" t="str">
        <f t="shared" si="29"/>
        <v/>
      </c>
      <c r="R79" s="1" t="str">
        <f t="shared" si="30"/>
        <v/>
      </c>
      <c r="S79" s="1" t="str">
        <f t="shared" si="31"/>
        <v/>
      </c>
      <c r="T79" s="1" t="str">
        <f t="shared" si="32"/>
        <v/>
      </c>
      <c r="U79" s="1" t="str">
        <f t="shared" si="33"/>
        <v/>
      </c>
      <c r="V79" s="1" t="str">
        <f t="shared" si="34"/>
        <v/>
      </c>
      <c r="W79" s="26" t="str">
        <f t="shared" si="35"/>
        <v/>
      </c>
      <c r="X79" s="13" t="str">
        <f t="shared" si="36"/>
        <v/>
      </c>
      <c r="Y79" s="9">
        <f t="shared" si="37"/>
        <v>0</v>
      </c>
    </row>
    <row r="80" spans="1:25" x14ac:dyDescent="0.25">
      <c r="A80" s="28"/>
      <c r="B80" s="29"/>
      <c r="C80" s="30"/>
      <c r="D80" s="31"/>
      <c r="E80" s="29" t="s">
        <v>16</v>
      </c>
      <c r="F80" s="13" t="b">
        <f>IF($E80=Categories!$A$1,"",IF($E80=Categories!$A$2,Categories!$B$2,IF($E80=Categories!$A$3,Categories!$B$3,IF($E80=Categories!$A$4,Categories!$B$4,IF($E80=Categories!$A$5,Categories!$B$5,IF($E80=Categories!$A$6,Categories!$B$6,IF($E80=Categories!$A$7,Categories!$B$7,IF($E80=Categories!$A$8,Categories!$B$8,IF($E80=Categories!$A$9,Categories!$B$9,IF($E80=Categories!$A$10,Categories!$B$10,IF($E80=Categories!$A$11,Categories!$B$11,IF($E80=Categories!$A$12,Categories!$B$12,IF($E80=Categories!$A$13,Categories!$B$13,IF($E80=Categories!$A$14,Categories!$B$14,IF($E80=Categories!$A$15,Categories!$B$15,IF($E80=Categories!$A$16,Categories!$B$16,IF($E80=Categories!$A$17,Categories!$B$17,IF($E80=Categories!$A$18,Categories!$B$18,IF($E80=Categories!$A$19,Categories!$B$19)))))))))))))))))))</f>
        <v>0</v>
      </c>
      <c r="G80" s="9" t="str">
        <f t="shared" si="19"/>
        <v/>
      </c>
      <c r="H80" s="1" t="str">
        <f t="shared" si="20"/>
        <v/>
      </c>
      <c r="I80" s="1" t="str">
        <f t="shared" si="21"/>
        <v/>
      </c>
      <c r="J80" s="1" t="str">
        <f t="shared" si="22"/>
        <v/>
      </c>
      <c r="K80" s="13" t="str">
        <f t="shared" si="23"/>
        <v/>
      </c>
      <c r="L80" s="9" t="str">
        <f t="shared" si="24"/>
        <v/>
      </c>
      <c r="M80" s="1" t="str">
        <f t="shared" si="25"/>
        <v/>
      </c>
      <c r="N80" s="1" t="str">
        <f t="shared" si="26"/>
        <v/>
      </c>
      <c r="O80" s="1" t="str">
        <f t="shared" si="27"/>
        <v/>
      </c>
      <c r="P80" s="1" t="str">
        <f t="shared" si="28"/>
        <v/>
      </c>
      <c r="Q80" s="1" t="str">
        <f t="shared" si="29"/>
        <v/>
      </c>
      <c r="R80" s="1" t="str">
        <f t="shared" si="30"/>
        <v/>
      </c>
      <c r="S80" s="1" t="str">
        <f t="shared" si="31"/>
        <v/>
      </c>
      <c r="T80" s="1" t="str">
        <f t="shared" si="32"/>
        <v/>
      </c>
      <c r="U80" s="1" t="str">
        <f t="shared" si="33"/>
        <v/>
      </c>
      <c r="V80" s="1" t="str">
        <f t="shared" si="34"/>
        <v/>
      </c>
      <c r="W80" s="26" t="str">
        <f t="shared" si="35"/>
        <v/>
      </c>
      <c r="X80" s="13" t="str">
        <f t="shared" si="36"/>
        <v/>
      </c>
      <c r="Y80" s="9">
        <f t="shared" si="37"/>
        <v>0</v>
      </c>
    </row>
    <row r="81" spans="1:25" x14ac:dyDescent="0.25">
      <c r="A81" s="28"/>
      <c r="B81" s="29"/>
      <c r="C81" s="30"/>
      <c r="D81" s="31"/>
      <c r="E81" s="29" t="s">
        <v>16</v>
      </c>
      <c r="F81" s="13" t="b">
        <f>IF($E81=Categories!$A$1,"",IF($E81=Categories!$A$2,Categories!$B$2,IF($E81=Categories!$A$3,Categories!$B$3,IF($E81=Categories!$A$4,Categories!$B$4,IF($E81=Categories!$A$5,Categories!$B$5,IF($E81=Categories!$A$6,Categories!$B$6,IF($E81=Categories!$A$7,Categories!$B$7,IF($E81=Categories!$A$8,Categories!$B$8,IF($E81=Categories!$A$9,Categories!$B$9,IF($E81=Categories!$A$10,Categories!$B$10,IF($E81=Categories!$A$11,Categories!$B$11,IF($E81=Categories!$A$12,Categories!$B$12,IF($E81=Categories!$A$13,Categories!$B$13,IF($E81=Categories!$A$14,Categories!$B$14,IF($E81=Categories!$A$15,Categories!$B$15,IF($E81=Categories!$A$16,Categories!$B$16,IF($E81=Categories!$A$17,Categories!$B$17,IF($E81=Categories!$A$18,Categories!$B$18,IF($E81=Categories!$A$19,Categories!$B$19)))))))))))))))))))</f>
        <v>0</v>
      </c>
      <c r="G81" s="9" t="str">
        <f t="shared" si="19"/>
        <v/>
      </c>
      <c r="H81" s="1" t="str">
        <f t="shared" si="20"/>
        <v/>
      </c>
      <c r="I81" s="1" t="str">
        <f t="shared" si="21"/>
        <v/>
      </c>
      <c r="J81" s="1" t="str">
        <f t="shared" si="22"/>
        <v/>
      </c>
      <c r="K81" s="13" t="str">
        <f t="shared" si="23"/>
        <v/>
      </c>
      <c r="L81" s="9" t="str">
        <f t="shared" si="24"/>
        <v/>
      </c>
      <c r="M81" s="1" t="str">
        <f t="shared" si="25"/>
        <v/>
      </c>
      <c r="N81" s="1" t="str">
        <f t="shared" si="26"/>
        <v/>
      </c>
      <c r="O81" s="1" t="str">
        <f t="shared" si="27"/>
        <v/>
      </c>
      <c r="P81" s="1" t="str">
        <f t="shared" si="28"/>
        <v/>
      </c>
      <c r="Q81" s="1" t="str">
        <f t="shared" si="29"/>
        <v/>
      </c>
      <c r="R81" s="1" t="str">
        <f t="shared" si="30"/>
        <v/>
      </c>
      <c r="S81" s="1" t="str">
        <f t="shared" si="31"/>
        <v/>
      </c>
      <c r="T81" s="1" t="str">
        <f t="shared" si="32"/>
        <v/>
      </c>
      <c r="U81" s="1" t="str">
        <f t="shared" si="33"/>
        <v/>
      </c>
      <c r="V81" s="1" t="str">
        <f t="shared" si="34"/>
        <v/>
      </c>
      <c r="W81" s="26" t="str">
        <f t="shared" si="35"/>
        <v/>
      </c>
      <c r="X81" s="13" t="str">
        <f t="shared" si="36"/>
        <v/>
      </c>
      <c r="Y81" s="9">
        <f t="shared" si="37"/>
        <v>0</v>
      </c>
    </row>
    <row r="82" spans="1:25" x14ac:dyDescent="0.25">
      <c r="A82" s="28"/>
      <c r="B82" s="29"/>
      <c r="C82" s="30"/>
      <c r="D82" s="31"/>
      <c r="E82" s="29" t="s">
        <v>16</v>
      </c>
      <c r="F82" s="13" t="b">
        <f>IF($E82=Categories!$A$1,"",IF($E82=Categories!$A$2,Categories!$B$2,IF($E82=Categories!$A$3,Categories!$B$3,IF($E82=Categories!$A$4,Categories!$B$4,IF($E82=Categories!$A$5,Categories!$B$5,IF($E82=Categories!$A$6,Categories!$B$6,IF($E82=Categories!$A$7,Categories!$B$7,IF($E82=Categories!$A$8,Categories!$B$8,IF($E82=Categories!$A$9,Categories!$B$9,IF($E82=Categories!$A$10,Categories!$B$10,IF($E82=Categories!$A$11,Categories!$B$11,IF($E82=Categories!$A$12,Categories!$B$12,IF($E82=Categories!$A$13,Categories!$B$13,IF($E82=Categories!$A$14,Categories!$B$14,IF($E82=Categories!$A$15,Categories!$B$15,IF($E82=Categories!$A$16,Categories!$B$16,IF($E82=Categories!$A$17,Categories!$B$17,IF($E82=Categories!$A$18,Categories!$B$18,IF($E82=Categories!$A$19,Categories!$B$19)))))))))))))))))))</f>
        <v>0</v>
      </c>
      <c r="G82" s="9" t="str">
        <f t="shared" si="19"/>
        <v/>
      </c>
      <c r="H82" s="1" t="str">
        <f t="shared" si="20"/>
        <v/>
      </c>
      <c r="I82" s="1" t="str">
        <f t="shared" si="21"/>
        <v/>
      </c>
      <c r="J82" s="1" t="str">
        <f t="shared" si="22"/>
        <v/>
      </c>
      <c r="K82" s="13" t="str">
        <f t="shared" si="23"/>
        <v/>
      </c>
      <c r="L82" s="9" t="str">
        <f t="shared" si="24"/>
        <v/>
      </c>
      <c r="M82" s="1" t="str">
        <f t="shared" si="25"/>
        <v/>
      </c>
      <c r="N82" s="1" t="str">
        <f t="shared" si="26"/>
        <v/>
      </c>
      <c r="O82" s="1" t="str">
        <f t="shared" si="27"/>
        <v/>
      </c>
      <c r="P82" s="1" t="str">
        <f t="shared" si="28"/>
        <v/>
      </c>
      <c r="Q82" s="1" t="str">
        <f t="shared" si="29"/>
        <v/>
      </c>
      <c r="R82" s="1" t="str">
        <f t="shared" si="30"/>
        <v/>
      </c>
      <c r="S82" s="1" t="str">
        <f t="shared" si="31"/>
        <v/>
      </c>
      <c r="T82" s="1" t="str">
        <f t="shared" si="32"/>
        <v/>
      </c>
      <c r="U82" s="1" t="str">
        <f t="shared" si="33"/>
        <v/>
      </c>
      <c r="V82" s="1" t="str">
        <f t="shared" si="34"/>
        <v/>
      </c>
      <c r="W82" s="26" t="str">
        <f t="shared" si="35"/>
        <v/>
      </c>
      <c r="X82" s="13" t="str">
        <f t="shared" si="36"/>
        <v/>
      </c>
      <c r="Y82" s="9">
        <f t="shared" si="37"/>
        <v>0</v>
      </c>
    </row>
    <row r="83" spans="1:25" x14ac:dyDescent="0.25">
      <c r="A83" s="28"/>
      <c r="B83" s="29"/>
      <c r="C83" s="30"/>
      <c r="D83" s="31"/>
      <c r="E83" s="29" t="s">
        <v>16</v>
      </c>
      <c r="F83" s="13" t="b">
        <f>IF($E83=Categories!$A$1,"",IF($E83=Categories!$A$2,Categories!$B$2,IF($E83=Categories!$A$3,Categories!$B$3,IF($E83=Categories!$A$4,Categories!$B$4,IF($E83=Categories!$A$5,Categories!$B$5,IF($E83=Categories!$A$6,Categories!$B$6,IF($E83=Categories!$A$7,Categories!$B$7,IF($E83=Categories!$A$8,Categories!$B$8,IF($E83=Categories!$A$9,Categories!$B$9,IF($E83=Categories!$A$10,Categories!$B$10,IF($E83=Categories!$A$11,Categories!$B$11,IF($E83=Categories!$A$12,Categories!$B$12,IF($E83=Categories!$A$13,Categories!$B$13,IF($E83=Categories!$A$14,Categories!$B$14,IF($E83=Categories!$A$15,Categories!$B$15,IF($E83=Categories!$A$16,Categories!$B$16,IF($E83=Categories!$A$17,Categories!$B$17,IF($E83=Categories!$A$18,Categories!$B$18,IF($E83=Categories!$A$19,Categories!$B$19)))))))))))))))))))</f>
        <v>0</v>
      </c>
      <c r="G83" s="9" t="str">
        <f t="shared" si="19"/>
        <v/>
      </c>
      <c r="H83" s="1" t="str">
        <f t="shared" si="20"/>
        <v/>
      </c>
      <c r="I83" s="1" t="str">
        <f t="shared" si="21"/>
        <v/>
      </c>
      <c r="J83" s="1" t="str">
        <f t="shared" si="22"/>
        <v/>
      </c>
      <c r="K83" s="13" t="str">
        <f t="shared" si="23"/>
        <v/>
      </c>
      <c r="L83" s="9" t="str">
        <f t="shared" si="24"/>
        <v/>
      </c>
      <c r="M83" s="1" t="str">
        <f t="shared" si="25"/>
        <v/>
      </c>
      <c r="N83" s="1" t="str">
        <f t="shared" si="26"/>
        <v/>
      </c>
      <c r="O83" s="1" t="str">
        <f t="shared" si="27"/>
        <v/>
      </c>
      <c r="P83" s="1" t="str">
        <f t="shared" si="28"/>
        <v/>
      </c>
      <c r="Q83" s="1" t="str">
        <f t="shared" si="29"/>
        <v/>
      </c>
      <c r="R83" s="1" t="str">
        <f t="shared" si="30"/>
        <v/>
      </c>
      <c r="S83" s="1" t="str">
        <f t="shared" si="31"/>
        <v/>
      </c>
      <c r="T83" s="1" t="str">
        <f t="shared" si="32"/>
        <v/>
      </c>
      <c r="U83" s="1" t="str">
        <f t="shared" si="33"/>
        <v/>
      </c>
      <c r="V83" s="1" t="str">
        <f t="shared" si="34"/>
        <v/>
      </c>
      <c r="W83" s="26" t="str">
        <f t="shared" si="35"/>
        <v/>
      </c>
      <c r="X83" s="13" t="str">
        <f t="shared" si="36"/>
        <v/>
      </c>
      <c r="Y83" s="9">
        <f t="shared" si="37"/>
        <v>0</v>
      </c>
    </row>
    <row r="84" spans="1:25" x14ac:dyDescent="0.25">
      <c r="A84" s="28"/>
      <c r="B84" s="29"/>
      <c r="C84" s="30"/>
      <c r="D84" s="31"/>
      <c r="E84" s="29" t="s">
        <v>16</v>
      </c>
      <c r="F84" s="13" t="b">
        <f>IF($E84=Categories!$A$1,"",IF($E84=Categories!$A$2,Categories!$B$2,IF($E84=Categories!$A$3,Categories!$B$3,IF($E84=Categories!$A$4,Categories!$B$4,IF($E84=Categories!$A$5,Categories!$B$5,IF($E84=Categories!$A$6,Categories!$B$6,IF($E84=Categories!$A$7,Categories!$B$7,IF($E84=Categories!$A$8,Categories!$B$8,IF($E84=Categories!$A$9,Categories!$B$9,IF($E84=Categories!$A$10,Categories!$B$10,IF($E84=Categories!$A$11,Categories!$B$11,IF($E84=Categories!$A$12,Categories!$B$12,IF($E84=Categories!$A$13,Categories!$B$13,IF($E84=Categories!$A$14,Categories!$B$14,IF($E84=Categories!$A$15,Categories!$B$15,IF($E84=Categories!$A$16,Categories!$B$16,IF($E84=Categories!$A$17,Categories!$B$17,IF($E84=Categories!$A$18,Categories!$B$18,IF($E84=Categories!$A$19,Categories!$B$19)))))))))))))))))))</f>
        <v>0</v>
      </c>
      <c r="G84" s="9" t="str">
        <f t="shared" si="19"/>
        <v/>
      </c>
      <c r="H84" s="1" t="str">
        <f t="shared" si="20"/>
        <v/>
      </c>
      <c r="I84" s="1" t="str">
        <f t="shared" si="21"/>
        <v/>
      </c>
      <c r="J84" s="1" t="str">
        <f t="shared" si="22"/>
        <v/>
      </c>
      <c r="K84" s="13" t="str">
        <f t="shared" si="23"/>
        <v/>
      </c>
      <c r="L84" s="9" t="str">
        <f t="shared" si="24"/>
        <v/>
      </c>
      <c r="M84" s="1" t="str">
        <f t="shared" si="25"/>
        <v/>
      </c>
      <c r="N84" s="1" t="str">
        <f t="shared" si="26"/>
        <v/>
      </c>
      <c r="O84" s="1" t="str">
        <f t="shared" si="27"/>
        <v/>
      </c>
      <c r="P84" s="1" t="str">
        <f t="shared" si="28"/>
        <v/>
      </c>
      <c r="Q84" s="1" t="str">
        <f t="shared" si="29"/>
        <v/>
      </c>
      <c r="R84" s="1" t="str">
        <f t="shared" si="30"/>
        <v/>
      </c>
      <c r="S84" s="1" t="str">
        <f t="shared" si="31"/>
        <v/>
      </c>
      <c r="T84" s="1" t="str">
        <f t="shared" si="32"/>
        <v/>
      </c>
      <c r="U84" s="1" t="str">
        <f t="shared" si="33"/>
        <v/>
      </c>
      <c r="V84" s="1" t="str">
        <f t="shared" si="34"/>
        <v/>
      </c>
      <c r="W84" s="26" t="str">
        <f t="shared" si="35"/>
        <v/>
      </c>
      <c r="X84" s="13" t="str">
        <f t="shared" si="36"/>
        <v/>
      </c>
      <c r="Y84" s="9">
        <f t="shared" si="37"/>
        <v>0</v>
      </c>
    </row>
    <row r="85" spans="1:25" x14ac:dyDescent="0.25">
      <c r="A85" s="28"/>
      <c r="B85" s="29"/>
      <c r="C85" s="30"/>
      <c r="D85" s="31"/>
      <c r="E85" s="29" t="s">
        <v>16</v>
      </c>
      <c r="F85" s="13" t="b">
        <f>IF($E85=Categories!$A$1,"",IF($E85=Categories!$A$2,Categories!$B$2,IF($E85=Categories!$A$3,Categories!$B$3,IF($E85=Categories!$A$4,Categories!$B$4,IF($E85=Categories!$A$5,Categories!$B$5,IF($E85=Categories!$A$6,Categories!$B$6,IF($E85=Categories!$A$7,Categories!$B$7,IF($E85=Categories!$A$8,Categories!$B$8,IF($E85=Categories!$A$9,Categories!$B$9,IF($E85=Categories!$A$10,Categories!$B$10,IF($E85=Categories!$A$11,Categories!$B$11,IF($E85=Categories!$A$12,Categories!$B$12,IF($E85=Categories!$A$13,Categories!$B$13,IF($E85=Categories!$A$14,Categories!$B$14,IF($E85=Categories!$A$15,Categories!$B$15,IF($E85=Categories!$A$16,Categories!$B$16,IF($E85=Categories!$A$17,Categories!$B$17,IF($E85=Categories!$A$18,Categories!$B$18,IF($E85=Categories!$A$19,Categories!$B$19)))))))))))))))))))</f>
        <v>0</v>
      </c>
      <c r="G85" s="9" t="str">
        <f t="shared" si="19"/>
        <v/>
      </c>
      <c r="H85" s="1" t="str">
        <f t="shared" si="20"/>
        <v/>
      </c>
      <c r="I85" s="1" t="str">
        <f t="shared" si="21"/>
        <v/>
      </c>
      <c r="J85" s="1" t="str">
        <f t="shared" si="22"/>
        <v/>
      </c>
      <c r="K85" s="13" t="str">
        <f t="shared" si="23"/>
        <v/>
      </c>
      <c r="L85" s="9" t="str">
        <f t="shared" si="24"/>
        <v/>
      </c>
      <c r="M85" s="1" t="str">
        <f t="shared" si="25"/>
        <v/>
      </c>
      <c r="N85" s="1" t="str">
        <f t="shared" si="26"/>
        <v/>
      </c>
      <c r="O85" s="1" t="str">
        <f t="shared" si="27"/>
        <v/>
      </c>
      <c r="P85" s="1" t="str">
        <f t="shared" si="28"/>
        <v/>
      </c>
      <c r="Q85" s="1" t="str">
        <f t="shared" si="29"/>
        <v/>
      </c>
      <c r="R85" s="1" t="str">
        <f t="shared" si="30"/>
        <v/>
      </c>
      <c r="S85" s="1" t="str">
        <f t="shared" si="31"/>
        <v/>
      </c>
      <c r="T85" s="1" t="str">
        <f t="shared" si="32"/>
        <v/>
      </c>
      <c r="U85" s="1" t="str">
        <f t="shared" si="33"/>
        <v/>
      </c>
      <c r="V85" s="1" t="str">
        <f t="shared" si="34"/>
        <v/>
      </c>
      <c r="W85" s="26" t="str">
        <f t="shared" si="35"/>
        <v/>
      </c>
      <c r="X85" s="13" t="str">
        <f t="shared" si="36"/>
        <v/>
      </c>
      <c r="Y85" s="9">
        <f t="shared" si="37"/>
        <v>0</v>
      </c>
    </row>
    <row r="86" spans="1:25" x14ac:dyDescent="0.25">
      <c r="A86" s="28"/>
      <c r="B86" s="29"/>
      <c r="C86" s="30"/>
      <c r="D86" s="31"/>
      <c r="E86" s="29" t="s">
        <v>16</v>
      </c>
      <c r="F86" s="13" t="b">
        <f>IF($E86=Categories!$A$1,"",IF($E86=Categories!$A$2,Categories!$B$2,IF($E86=Categories!$A$3,Categories!$B$3,IF($E86=Categories!$A$4,Categories!$B$4,IF($E86=Categories!$A$5,Categories!$B$5,IF($E86=Categories!$A$6,Categories!$B$6,IF($E86=Categories!$A$7,Categories!$B$7,IF($E86=Categories!$A$8,Categories!$B$8,IF($E86=Categories!$A$9,Categories!$B$9,IF($E86=Categories!$A$10,Categories!$B$10,IF($E86=Categories!$A$11,Categories!$B$11,IF($E86=Categories!$A$12,Categories!$B$12,IF($E86=Categories!$A$13,Categories!$B$13,IF($E86=Categories!$A$14,Categories!$B$14,IF($E86=Categories!$A$15,Categories!$B$15,IF($E86=Categories!$A$16,Categories!$B$16,IF($E86=Categories!$A$17,Categories!$B$17,IF($E86=Categories!$A$18,Categories!$B$18,IF($E86=Categories!$A$19,Categories!$B$19)))))))))))))))))))</f>
        <v>0</v>
      </c>
      <c r="G86" s="9" t="str">
        <f t="shared" si="19"/>
        <v/>
      </c>
      <c r="H86" s="1" t="str">
        <f t="shared" si="20"/>
        <v/>
      </c>
      <c r="I86" s="1" t="str">
        <f t="shared" si="21"/>
        <v/>
      </c>
      <c r="J86" s="1" t="str">
        <f t="shared" si="22"/>
        <v/>
      </c>
      <c r="K86" s="13" t="str">
        <f t="shared" si="23"/>
        <v/>
      </c>
      <c r="L86" s="9" t="str">
        <f t="shared" si="24"/>
        <v/>
      </c>
      <c r="M86" s="1" t="str">
        <f t="shared" si="25"/>
        <v/>
      </c>
      <c r="N86" s="1" t="str">
        <f t="shared" si="26"/>
        <v/>
      </c>
      <c r="O86" s="1" t="str">
        <f t="shared" si="27"/>
        <v/>
      </c>
      <c r="P86" s="1" t="str">
        <f t="shared" si="28"/>
        <v/>
      </c>
      <c r="Q86" s="1" t="str">
        <f t="shared" si="29"/>
        <v/>
      </c>
      <c r="R86" s="1" t="str">
        <f t="shared" si="30"/>
        <v/>
      </c>
      <c r="S86" s="1" t="str">
        <f t="shared" si="31"/>
        <v/>
      </c>
      <c r="T86" s="1" t="str">
        <f t="shared" si="32"/>
        <v/>
      </c>
      <c r="U86" s="1" t="str">
        <f t="shared" si="33"/>
        <v/>
      </c>
      <c r="V86" s="1" t="str">
        <f t="shared" si="34"/>
        <v/>
      </c>
      <c r="W86" s="26" t="str">
        <f t="shared" si="35"/>
        <v/>
      </c>
      <c r="X86" s="13" t="str">
        <f t="shared" si="36"/>
        <v/>
      </c>
      <c r="Y86" s="9">
        <f t="shared" si="37"/>
        <v>0</v>
      </c>
    </row>
    <row r="87" spans="1:25" x14ac:dyDescent="0.25">
      <c r="A87" s="28"/>
      <c r="B87" s="29"/>
      <c r="C87" s="30"/>
      <c r="D87" s="31"/>
      <c r="E87" s="29" t="s">
        <v>16</v>
      </c>
      <c r="F87" s="13" t="b">
        <f>IF($E87=Categories!$A$1,"",IF($E87=Categories!$A$2,Categories!$B$2,IF($E87=Categories!$A$3,Categories!$B$3,IF($E87=Categories!$A$4,Categories!$B$4,IF($E87=Categories!$A$5,Categories!$B$5,IF($E87=Categories!$A$6,Categories!$B$6,IF($E87=Categories!$A$7,Categories!$B$7,IF($E87=Categories!$A$8,Categories!$B$8,IF($E87=Categories!$A$9,Categories!$B$9,IF($E87=Categories!$A$10,Categories!$B$10,IF($E87=Categories!$A$11,Categories!$B$11,IF($E87=Categories!$A$12,Categories!$B$12,IF($E87=Categories!$A$13,Categories!$B$13,IF($E87=Categories!$A$14,Categories!$B$14,IF($E87=Categories!$A$15,Categories!$B$15,IF($E87=Categories!$A$16,Categories!$B$16,IF($E87=Categories!$A$17,Categories!$B$17,IF($E87=Categories!$A$18,Categories!$B$18,IF($E87=Categories!$A$19,Categories!$B$19)))))))))))))))))))</f>
        <v>0</v>
      </c>
      <c r="G87" s="9" t="str">
        <f t="shared" si="19"/>
        <v/>
      </c>
      <c r="H87" s="1" t="str">
        <f t="shared" si="20"/>
        <v/>
      </c>
      <c r="I87" s="1" t="str">
        <f t="shared" si="21"/>
        <v/>
      </c>
      <c r="J87" s="1" t="str">
        <f t="shared" si="22"/>
        <v/>
      </c>
      <c r="K87" s="13" t="str">
        <f t="shared" si="23"/>
        <v/>
      </c>
      <c r="L87" s="9" t="str">
        <f t="shared" si="24"/>
        <v/>
      </c>
      <c r="M87" s="1" t="str">
        <f t="shared" si="25"/>
        <v/>
      </c>
      <c r="N87" s="1" t="str">
        <f t="shared" si="26"/>
        <v/>
      </c>
      <c r="O87" s="1" t="str">
        <f t="shared" si="27"/>
        <v/>
      </c>
      <c r="P87" s="1" t="str">
        <f t="shared" si="28"/>
        <v/>
      </c>
      <c r="Q87" s="1" t="str">
        <f t="shared" si="29"/>
        <v/>
      </c>
      <c r="R87" s="1" t="str">
        <f t="shared" si="30"/>
        <v/>
      </c>
      <c r="S87" s="1" t="str">
        <f t="shared" si="31"/>
        <v/>
      </c>
      <c r="T87" s="1" t="str">
        <f t="shared" si="32"/>
        <v/>
      </c>
      <c r="U87" s="1" t="str">
        <f t="shared" si="33"/>
        <v/>
      </c>
      <c r="V87" s="1" t="str">
        <f t="shared" si="34"/>
        <v/>
      </c>
      <c r="W87" s="26" t="str">
        <f t="shared" si="35"/>
        <v/>
      </c>
      <c r="X87" s="13" t="str">
        <f t="shared" si="36"/>
        <v/>
      </c>
      <c r="Y87" s="9">
        <f t="shared" si="37"/>
        <v>0</v>
      </c>
    </row>
    <row r="88" spans="1:25" x14ac:dyDescent="0.25">
      <c r="A88" s="28"/>
      <c r="B88" s="29"/>
      <c r="C88" s="30"/>
      <c r="D88" s="31"/>
      <c r="E88" s="29" t="s">
        <v>16</v>
      </c>
      <c r="F88" s="13" t="b">
        <f>IF($E88=Categories!$A$1,"",IF($E88=Categories!$A$2,Categories!$B$2,IF($E88=Categories!$A$3,Categories!$B$3,IF($E88=Categories!$A$4,Categories!$B$4,IF($E88=Categories!$A$5,Categories!$B$5,IF($E88=Categories!$A$6,Categories!$B$6,IF($E88=Categories!$A$7,Categories!$B$7,IF($E88=Categories!$A$8,Categories!$B$8,IF($E88=Categories!$A$9,Categories!$B$9,IF($E88=Categories!$A$10,Categories!$B$10,IF($E88=Categories!$A$11,Categories!$B$11,IF($E88=Categories!$A$12,Categories!$B$12,IF($E88=Categories!$A$13,Categories!$B$13,IF($E88=Categories!$A$14,Categories!$B$14,IF($E88=Categories!$A$15,Categories!$B$15,IF($E88=Categories!$A$16,Categories!$B$16,IF($E88=Categories!$A$17,Categories!$B$17,IF($E88=Categories!$A$18,Categories!$B$18,IF($E88=Categories!$A$19,Categories!$B$19)))))))))))))))))))</f>
        <v>0</v>
      </c>
      <c r="G88" s="9" t="str">
        <f t="shared" si="19"/>
        <v/>
      </c>
      <c r="H88" s="1" t="str">
        <f t="shared" si="20"/>
        <v/>
      </c>
      <c r="I88" s="1" t="str">
        <f t="shared" si="21"/>
        <v/>
      </c>
      <c r="J88" s="1" t="str">
        <f t="shared" si="22"/>
        <v/>
      </c>
      <c r="K88" s="13" t="str">
        <f t="shared" si="23"/>
        <v/>
      </c>
      <c r="L88" s="9" t="str">
        <f t="shared" si="24"/>
        <v/>
      </c>
      <c r="M88" s="1" t="str">
        <f t="shared" si="25"/>
        <v/>
      </c>
      <c r="N88" s="1" t="str">
        <f t="shared" si="26"/>
        <v/>
      </c>
      <c r="O88" s="1" t="str">
        <f t="shared" si="27"/>
        <v/>
      </c>
      <c r="P88" s="1" t="str">
        <f t="shared" si="28"/>
        <v/>
      </c>
      <c r="Q88" s="1" t="str">
        <f t="shared" si="29"/>
        <v/>
      </c>
      <c r="R88" s="1" t="str">
        <f t="shared" si="30"/>
        <v/>
      </c>
      <c r="S88" s="1" t="str">
        <f t="shared" si="31"/>
        <v/>
      </c>
      <c r="T88" s="1" t="str">
        <f t="shared" si="32"/>
        <v/>
      </c>
      <c r="U88" s="1" t="str">
        <f t="shared" si="33"/>
        <v/>
      </c>
      <c r="V88" s="1" t="str">
        <f t="shared" si="34"/>
        <v/>
      </c>
      <c r="W88" s="26" t="str">
        <f t="shared" si="35"/>
        <v/>
      </c>
      <c r="X88" s="13" t="str">
        <f t="shared" si="36"/>
        <v/>
      </c>
      <c r="Y88" s="9">
        <f t="shared" si="37"/>
        <v>0</v>
      </c>
    </row>
    <row r="89" spans="1:25" x14ac:dyDescent="0.25">
      <c r="A89" s="28"/>
      <c r="B89" s="29"/>
      <c r="C89" s="30"/>
      <c r="D89" s="31"/>
      <c r="E89" s="29" t="s">
        <v>16</v>
      </c>
      <c r="F89" s="13" t="b">
        <f>IF($E89=Categories!$A$1,"",IF($E89=Categories!$A$2,Categories!$B$2,IF($E89=Categories!$A$3,Categories!$B$3,IF($E89=Categories!$A$4,Categories!$B$4,IF($E89=Categories!$A$5,Categories!$B$5,IF($E89=Categories!$A$6,Categories!$B$6,IF($E89=Categories!$A$7,Categories!$B$7,IF($E89=Categories!$A$8,Categories!$B$8,IF($E89=Categories!$A$9,Categories!$B$9,IF($E89=Categories!$A$10,Categories!$B$10,IF($E89=Categories!$A$11,Categories!$B$11,IF($E89=Categories!$A$12,Categories!$B$12,IF($E89=Categories!$A$13,Categories!$B$13,IF($E89=Categories!$A$14,Categories!$B$14,IF($E89=Categories!$A$15,Categories!$B$15,IF($E89=Categories!$A$16,Categories!$B$16,IF($E89=Categories!$A$17,Categories!$B$17,IF($E89=Categories!$A$18,Categories!$B$18,IF($E89=Categories!$A$19,Categories!$B$19)))))))))))))))))))</f>
        <v>0</v>
      </c>
      <c r="G89" s="9" t="str">
        <f t="shared" si="19"/>
        <v/>
      </c>
      <c r="H89" s="1" t="str">
        <f t="shared" si="20"/>
        <v/>
      </c>
      <c r="I89" s="1" t="str">
        <f t="shared" si="21"/>
        <v/>
      </c>
      <c r="J89" s="1" t="str">
        <f t="shared" si="22"/>
        <v/>
      </c>
      <c r="K89" s="13" t="str">
        <f t="shared" si="23"/>
        <v/>
      </c>
      <c r="L89" s="9" t="str">
        <f t="shared" si="24"/>
        <v/>
      </c>
      <c r="M89" s="1" t="str">
        <f t="shared" si="25"/>
        <v/>
      </c>
      <c r="N89" s="1" t="str">
        <f t="shared" si="26"/>
        <v/>
      </c>
      <c r="O89" s="1" t="str">
        <f t="shared" si="27"/>
        <v/>
      </c>
      <c r="P89" s="1" t="str">
        <f t="shared" si="28"/>
        <v/>
      </c>
      <c r="Q89" s="1" t="str">
        <f t="shared" si="29"/>
        <v/>
      </c>
      <c r="R89" s="1" t="str">
        <f t="shared" si="30"/>
        <v/>
      </c>
      <c r="S89" s="1" t="str">
        <f t="shared" si="31"/>
        <v/>
      </c>
      <c r="T89" s="1" t="str">
        <f t="shared" si="32"/>
        <v/>
      </c>
      <c r="U89" s="1" t="str">
        <f t="shared" si="33"/>
        <v/>
      </c>
      <c r="V89" s="1" t="str">
        <f t="shared" si="34"/>
        <v/>
      </c>
      <c r="W89" s="26" t="str">
        <f t="shared" si="35"/>
        <v/>
      </c>
      <c r="X89" s="13" t="str">
        <f t="shared" si="36"/>
        <v/>
      </c>
      <c r="Y89" s="9">
        <f t="shared" si="37"/>
        <v>0</v>
      </c>
    </row>
    <row r="90" spans="1:25" x14ac:dyDescent="0.25">
      <c r="A90" s="28"/>
      <c r="B90" s="29"/>
      <c r="C90" s="30"/>
      <c r="D90" s="31"/>
      <c r="E90" s="29" t="s">
        <v>16</v>
      </c>
      <c r="F90" s="13" t="b">
        <f>IF($E90=Categories!$A$1,"",IF($E90=Categories!$A$2,Categories!$B$2,IF($E90=Categories!$A$3,Categories!$B$3,IF($E90=Categories!$A$4,Categories!$B$4,IF($E90=Categories!$A$5,Categories!$B$5,IF($E90=Categories!$A$6,Categories!$B$6,IF($E90=Categories!$A$7,Categories!$B$7,IF($E90=Categories!$A$8,Categories!$B$8,IF($E90=Categories!$A$9,Categories!$B$9,IF($E90=Categories!$A$10,Categories!$B$10,IF($E90=Categories!$A$11,Categories!$B$11,IF($E90=Categories!$A$12,Categories!$B$12,IF($E90=Categories!$A$13,Categories!$B$13,IF($E90=Categories!$A$14,Categories!$B$14,IF($E90=Categories!$A$15,Categories!$B$15,IF($E90=Categories!$A$16,Categories!$B$16,IF($E90=Categories!$A$17,Categories!$B$17,IF($E90=Categories!$A$18,Categories!$B$18,IF($E90=Categories!$A$19,Categories!$B$19)))))))))))))))))))</f>
        <v>0</v>
      </c>
      <c r="G90" s="9" t="str">
        <f t="shared" si="19"/>
        <v/>
      </c>
      <c r="H90" s="1" t="str">
        <f t="shared" si="20"/>
        <v/>
      </c>
      <c r="I90" s="1" t="str">
        <f t="shared" si="21"/>
        <v/>
      </c>
      <c r="J90" s="1" t="str">
        <f t="shared" si="22"/>
        <v/>
      </c>
      <c r="K90" s="13" t="str">
        <f t="shared" si="23"/>
        <v/>
      </c>
      <c r="L90" s="9" t="str">
        <f t="shared" si="24"/>
        <v/>
      </c>
      <c r="M90" s="1" t="str">
        <f t="shared" si="25"/>
        <v/>
      </c>
      <c r="N90" s="1" t="str">
        <f t="shared" si="26"/>
        <v/>
      </c>
      <c r="O90" s="1" t="str">
        <f t="shared" si="27"/>
        <v/>
      </c>
      <c r="P90" s="1" t="str">
        <f t="shared" si="28"/>
        <v/>
      </c>
      <c r="Q90" s="1" t="str">
        <f t="shared" si="29"/>
        <v/>
      </c>
      <c r="R90" s="1" t="str">
        <f t="shared" si="30"/>
        <v/>
      </c>
      <c r="S90" s="1" t="str">
        <f t="shared" si="31"/>
        <v/>
      </c>
      <c r="T90" s="1" t="str">
        <f t="shared" si="32"/>
        <v/>
      </c>
      <c r="U90" s="1" t="str">
        <f t="shared" si="33"/>
        <v/>
      </c>
      <c r="V90" s="1" t="str">
        <f t="shared" si="34"/>
        <v/>
      </c>
      <c r="W90" s="26" t="str">
        <f t="shared" si="35"/>
        <v/>
      </c>
      <c r="X90" s="13" t="str">
        <f t="shared" si="36"/>
        <v/>
      </c>
      <c r="Y90" s="9">
        <f t="shared" si="37"/>
        <v>0</v>
      </c>
    </row>
    <row r="91" spans="1:25" x14ac:dyDescent="0.25">
      <c r="A91" s="28"/>
      <c r="B91" s="29"/>
      <c r="C91" s="30"/>
      <c r="D91" s="31"/>
      <c r="E91" s="29" t="s">
        <v>16</v>
      </c>
      <c r="F91" s="13" t="b">
        <f>IF($E91=Categories!$A$1,"",IF($E91=Categories!$A$2,Categories!$B$2,IF($E91=Categories!$A$3,Categories!$B$3,IF($E91=Categories!$A$4,Categories!$B$4,IF($E91=Categories!$A$5,Categories!$B$5,IF($E91=Categories!$A$6,Categories!$B$6,IF($E91=Categories!$A$7,Categories!$B$7,IF($E91=Categories!$A$8,Categories!$B$8,IF($E91=Categories!$A$9,Categories!$B$9,IF($E91=Categories!$A$10,Categories!$B$10,IF($E91=Categories!$A$11,Categories!$B$11,IF($E91=Categories!$A$12,Categories!$B$12,IF($E91=Categories!$A$13,Categories!$B$13,IF($E91=Categories!$A$14,Categories!$B$14,IF($E91=Categories!$A$15,Categories!$B$15,IF($E91=Categories!$A$16,Categories!$B$16,IF($E91=Categories!$A$17,Categories!$B$17,IF($E91=Categories!$A$18,Categories!$B$18,IF($E91=Categories!$A$19,Categories!$B$19)))))))))))))))))))</f>
        <v>0</v>
      </c>
      <c r="G91" s="9" t="str">
        <f t="shared" si="19"/>
        <v/>
      </c>
      <c r="H91" s="1" t="str">
        <f t="shared" si="20"/>
        <v/>
      </c>
      <c r="I91" s="1" t="str">
        <f t="shared" si="21"/>
        <v/>
      </c>
      <c r="J91" s="1" t="str">
        <f t="shared" si="22"/>
        <v/>
      </c>
      <c r="K91" s="13" t="str">
        <f t="shared" si="23"/>
        <v/>
      </c>
      <c r="L91" s="9" t="str">
        <f t="shared" si="24"/>
        <v/>
      </c>
      <c r="M91" s="1" t="str">
        <f t="shared" si="25"/>
        <v/>
      </c>
      <c r="N91" s="1" t="str">
        <f t="shared" si="26"/>
        <v/>
      </c>
      <c r="O91" s="1" t="str">
        <f t="shared" si="27"/>
        <v/>
      </c>
      <c r="P91" s="1" t="str">
        <f t="shared" si="28"/>
        <v/>
      </c>
      <c r="Q91" s="1" t="str">
        <f t="shared" si="29"/>
        <v/>
      </c>
      <c r="R91" s="1" t="str">
        <f t="shared" si="30"/>
        <v/>
      </c>
      <c r="S91" s="1" t="str">
        <f t="shared" si="31"/>
        <v/>
      </c>
      <c r="T91" s="1" t="str">
        <f t="shared" si="32"/>
        <v/>
      </c>
      <c r="U91" s="1" t="str">
        <f t="shared" si="33"/>
        <v/>
      </c>
      <c r="V91" s="1" t="str">
        <f t="shared" si="34"/>
        <v/>
      </c>
      <c r="W91" s="26" t="str">
        <f t="shared" si="35"/>
        <v/>
      </c>
      <c r="X91" s="13" t="str">
        <f t="shared" si="36"/>
        <v/>
      </c>
      <c r="Y91" s="9">
        <f t="shared" si="37"/>
        <v>0</v>
      </c>
    </row>
    <row r="92" spans="1:25" x14ac:dyDescent="0.25">
      <c r="A92" s="28"/>
      <c r="B92" s="29"/>
      <c r="C92" s="30"/>
      <c r="D92" s="31"/>
      <c r="E92" s="29" t="s">
        <v>16</v>
      </c>
      <c r="F92" s="13" t="b">
        <f>IF($E92=Categories!$A$1,"",IF($E92=Categories!$A$2,Categories!$B$2,IF($E92=Categories!$A$3,Categories!$B$3,IF($E92=Categories!$A$4,Categories!$B$4,IF($E92=Categories!$A$5,Categories!$B$5,IF($E92=Categories!$A$6,Categories!$B$6,IF($E92=Categories!$A$7,Categories!$B$7,IF($E92=Categories!$A$8,Categories!$B$8,IF($E92=Categories!$A$9,Categories!$B$9,IF($E92=Categories!$A$10,Categories!$B$10,IF($E92=Categories!$A$11,Categories!$B$11,IF($E92=Categories!$A$12,Categories!$B$12,IF($E92=Categories!$A$13,Categories!$B$13,IF($E92=Categories!$A$14,Categories!$B$14,IF($E92=Categories!$A$15,Categories!$B$15,IF($E92=Categories!$A$16,Categories!$B$16,IF($E92=Categories!$A$17,Categories!$B$17,IF($E92=Categories!$A$18,Categories!$B$18,IF($E92=Categories!$A$19,Categories!$B$19)))))))))))))))))))</f>
        <v>0</v>
      </c>
      <c r="G92" s="9" t="str">
        <f t="shared" si="19"/>
        <v/>
      </c>
      <c r="H92" s="1" t="str">
        <f t="shared" si="20"/>
        <v/>
      </c>
      <c r="I92" s="1" t="str">
        <f t="shared" si="21"/>
        <v/>
      </c>
      <c r="J92" s="1" t="str">
        <f t="shared" si="22"/>
        <v/>
      </c>
      <c r="K92" s="13" t="str">
        <f t="shared" si="23"/>
        <v/>
      </c>
      <c r="L92" s="9" t="str">
        <f t="shared" si="24"/>
        <v/>
      </c>
      <c r="M92" s="1" t="str">
        <f t="shared" si="25"/>
        <v/>
      </c>
      <c r="N92" s="1" t="str">
        <f t="shared" si="26"/>
        <v/>
      </c>
      <c r="O92" s="1" t="str">
        <f t="shared" si="27"/>
        <v/>
      </c>
      <c r="P92" s="1" t="str">
        <f t="shared" si="28"/>
        <v/>
      </c>
      <c r="Q92" s="1" t="str">
        <f t="shared" si="29"/>
        <v/>
      </c>
      <c r="R92" s="1" t="str">
        <f t="shared" si="30"/>
        <v/>
      </c>
      <c r="S92" s="1" t="str">
        <f t="shared" si="31"/>
        <v/>
      </c>
      <c r="T92" s="1" t="str">
        <f t="shared" si="32"/>
        <v/>
      </c>
      <c r="U92" s="1" t="str">
        <f t="shared" si="33"/>
        <v/>
      </c>
      <c r="V92" s="1" t="str">
        <f t="shared" si="34"/>
        <v/>
      </c>
      <c r="W92" s="26" t="str">
        <f t="shared" si="35"/>
        <v/>
      </c>
      <c r="X92" s="13" t="str">
        <f t="shared" si="36"/>
        <v/>
      </c>
      <c r="Y92" s="9">
        <f t="shared" si="37"/>
        <v>0</v>
      </c>
    </row>
    <row r="93" spans="1:25" x14ac:dyDescent="0.25">
      <c r="A93" s="28"/>
      <c r="B93" s="29"/>
      <c r="C93" s="30"/>
      <c r="D93" s="31"/>
      <c r="E93" s="29" t="s">
        <v>16</v>
      </c>
      <c r="F93" s="13" t="b">
        <f>IF($E93=Categories!$A$1,"",IF($E93=Categories!$A$2,Categories!$B$2,IF($E93=Categories!$A$3,Categories!$B$3,IF($E93=Categories!$A$4,Categories!$B$4,IF($E93=Categories!$A$5,Categories!$B$5,IF($E93=Categories!$A$6,Categories!$B$6,IF($E93=Categories!$A$7,Categories!$B$7,IF($E93=Categories!$A$8,Categories!$B$8,IF($E93=Categories!$A$9,Categories!$B$9,IF($E93=Categories!$A$10,Categories!$B$10,IF($E93=Categories!$A$11,Categories!$B$11,IF($E93=Categories!$A$12,Categories!$B$12,IF($E93=Categories!$A$13,Categories!$B$13,IF($E93=Categories!$A$14,Categories!$B$14,IF($E93=Categories!$A$15,Categories!$B$15,IF($E93=Categories!$A$16,Categories!$B$16,IF($E93=Categories!$A$17,Categories!$B$17,IF($E93=Categories!$A$18,Categories!$B$18,IF($E93=Categories!$A$19,Categories!$B$19)))))))))))))))))))</f>
        <v>0</v>
      </c>
      <c r="G93" s="9" t="str">
        <f t="shared" si="19"/>
        <v/>
      </c>
      <c r="H93" s="1" t="str">
        <f t="shared" si="20"/>
        <v/>
      </c>
      <c r="I93" s="1" t="str">
        <f t="shared" si="21"/>
        <v/>
      </c>
      <c r="J93" s="1" t="str">
        <f t="shared" si="22"/>
        <v/>
      </c>
      <c r="K93" s="13" t="str">
        <f t="shared" si="23"/>
        <v/>
      </c>
      <c r="L93" s="9" t="str">
        <f t="shared" si="24"/>
        <v/>
      </c>
      <c r="M93" s="1" t="str">
        <f t="shared" si="25"/>
        <v/>
      </c>
      <c r="N93" s="1" t="str">
        <f t="shared" si="26"/>
        <v/>
      </c>
      <c r="O93" s="1" t="str">
        <f t="shared" si="27"/>
        <v/>
      </c>
      <c r="P93" s="1" t="str">
        <f t="shared" si="28"/>
        <v/>
      </c>
      <c r="Q93" s="1" t="str">
        <f t="shared" si="29"/>
        <v/>
      </c>
      <c r="R93" s="1" t="str">
        <f t="shared" si="30"/>
        <v/>
      </c>
      <c r="S93" s="1" t="str">
        <f t="shared" si="31"/>
        <v/>
      </c>
      <c r="T93" s="1" t="str">
        <f t="shared" si="32"/>
        <v/>
      </c>
      <c r="U93" s="1" t="str">
        <f t="shared" si="33"/>
        <v/>
      </c>
      <c r="V93" s="1" t="str">
        <f t="shared" si="34"/>
        <v/>
      </c>
      <c r="W93" s="26" t="str">
        <f t="shared" si="35"/>
        <v/>
      </c>
      <c r="X93" s="13" t="str">
        <f t="shared" si="36"/>
        <v/>
      </c>
      <c r="Y93" s="9">
        <f t="shared" si="37"/>
        <v>0</v>
      </c>
    </row>
    <row r="94" spans="1:25" x14ac:dyDescent="0.25">
      <c r="A94" s="28"/>
      <c r="B94" s="29"/>
      <c r="C94" s="30"/>
      <c r="D94" s="31"/>
      <c r="E94" s="29" t="s">
        <v>16</v>
      </c>
      <c r="F94" s="13" t="b">
        <f>IF($E94=Categories!$A$1,"",IF($E94=Categories!$A$2,Categories!$B$2,IF($E94=Categories!$A$3,Categories!$B$3,IF($E94=Categories!$A$4,Categories!$B$4,IF($E94=Categories!$A$5,Categories!$B$5,IF($E94=Categories!$A$6,Categories!$B$6,IF($E94=Categories!$A$7,Categories!$B$7,IF($E94=Categories!$A$8,Categories!$B$8,IF($E94=Categories!$A$9,Categories!$B$9,IF($E94=Categories!$A$10,Categories!$B$10,IF($E94=Categories!$A$11,Categories!$B$11,IF($E94=Categories!$A$12,Categories!$B$12,IF($E94=Categories!$A$13,Categories!$B$13,IF($E94=Categories!$A$14,Categories!$B$14,IF($E94=Categories!$A$15,Categories!$B$15,IF($E94=Categories!$A$16,Categories!$B$16,IF($E94=Categories!$A$17,Categories!$B$17,IF($E94=Categories!$A$18,Categories!$B$18,IF($E94=Categories!$A$19,Categories!$B$19)))))))))))))))))))</f>
        <v>0</v>
      </c>
      <c r="G94" s="9" t="str">
        <f t="shared" si="19"/>
        <v/>
      </c>
      <c r="H94" s="1" t="str">
        <f t="shared" si="20"/>
        <v/>
      </c>
      <c r="I94" s="1" t="str">
        <f t="shared" si="21"/>
        <v/>
      </c>
      <c r="J94" s="1" t="str">
        <f t="shared" si="22"/>
        <v/>
      </c>
      <c r="K94" s="13" t="str">
        <f t="shared" si="23"/>
        <v/>
      </c>
      <c r="L94" s="9" t="str">
        <f t="shared" si="24"/>
        <v/>
      </c>
      <c r="M94" s="1" t="str">
        <f t="shared" si="25"/>
        <v/>
      </c>
      <c r="N94" s="1" t="str">
        <f t="shared" si="26"/>
        <v/>
      </c>
      <c r="O94" s="1" t="str">
        <f t="shared" si="27"/>
        <v/>
      </c>
      <c r="P94" s="1" t="str">
        <f t="shared" si="28"/>
        <v/>
      </c>
      <c r="Q94" s="1" t="str">
        <f t="shared" si="29"/>
        <v/>
      </c>
      <c r="R94" s="1" t="str">
        <f t="shared" si="30"/>
        <v/>
      </c>
      <c r="S94" s="1" t="str">
        <f t="shared" si="31"/>
        <v/>
      </c>
      <c r="T94" s="1" t="str">
        <f t="shared" si="32"/>
        <v/>
      </c>
      <c r="U94" s="1" t="str">
        <f t="shared" si="33"/>
        <v/>
      </c>
      <c r="V94" s="1" t="str">
        <f t="shared" si="34"/>
        <v/>
      </c>
      <c r="W94" s="26" t="str">
        <f t="shared" si="35"/>
        <v/>
      </c>
      <c r="X94" s="13" t="str">
        <f t="shared" si="36"/>
        <v/>
      </c>
      <c r="Y94" s="9">
        <f t="shared" si="37"/>
        <v>0</v>
      </c>
    </row>
    <row r="95" spans="1:25" x14ac:dyDescent="0.25">
      <c r="A95" s="28"/>
      <c r="B95" s="29"/>
      <c r="C95" s="30"/>
      <c r="D95" s="31"/>
      <c r="E95" s="29" t="s">
        <v>16</v>
      </c>
      <c r="F95" s="13" t="b">
        <f>IF($E95=Categories!$A$1,"",IF($E95=Categories!$A$2,Categories!$B$2,IF($E95=Categories!$A$3,Categories!$B$3,IF($E95=Categories!$A$4,Categories!$B$4,IF($E95=Categories!$A$5,Categories!$B$5,IF($E95=Categories!$A$6,Categories!$B$6,IF($E95=Categories!$A$7,Categories!$B$7,IF($E95=Categories!$A$8,Categories!$B$8,IF($E95=Categories!$A$9,Categories!$B$9,IF($E95=Categories!$A$10,Categories!$B$10,IF($E95=Categories!$A$11,Categories!$B$11,IF($E95=Categories!$A$12,Categories!$B$12,IF($E95=Categories!$A$13,Categories!$B$13,IF($E95=Categories!$A$14,Categories!$B$14,IF($E95=Categories!$A$15,Categories!$B$15,IF($E95=Categories!$A$16,Categories!$B$16,IF($E95=Categories!$A$17,Categories!$B$17,IF($E95=Categories!$A$18,Categories!$B$18,IF($E95=Categories!$A$19,Categories!$B$19)))))))))))))))))))</f>
        <v>0</v>
      </c>
      <c r="G95" s="9" t="str">
        <f t="shared" si="19"/>
        <v/>
      </c>
      <c r="H95" s="1" t="str">
        <f t="shared" si="20"/>
        <v/>
      </c>
      <c r="I95" s="1" t="str">
        <f t="shared" si="21"/>
        <v/>
      </c>
      <c r="J95" s="1" t="str">
        <f t="shared" si="22"/>
        <v/>
      </c>
      <c r="K95" s="13" t="str">
        <f t="shared" si="23"/>
        <v/>
      </c>
      <c r="L95" s="9" t="str">
        <f t="shared" si="24"/>
        <v/>
      </c>
      <c r="M95" s="1" t="str">
        <f t="shared" si="25"/>
        <v/>
      </c>
      <c r="N95" s="1" t="str">
        <f t="shared" si="26"/>
        <v/>
      </c>
      <c r="O95" s="1" t="str">
        <f t="shared" si="27"/>
        <v/>
      </c>
      <c r="P95" s="1" t="str">
        <f t="shared" si="28"/>
        <v/>
      </c>
      <c r="Q95" s="1" t="str">
        <f t="shared" si="29"/>
        <v/>
      </c>
      <c r="R95" s="1" t="str">
        <f t="shared" si="30"/>
        <v/>
      </c>
      <c r="S95" s="1" t="str">
        <f t="shared" si="31"/>
        <v/>
      </c>
      <c r="T95" s="1" t="str">
        <f t="shared" si="32"/>
        <v/>
      </c>
      <c r="U95" s="1" t="str">
        <f t="shared" si="33"/>
        <v/>
      </c>
      <c r="V95" s="1" t="str">
        <f t="shared" si="34"/>
        <v/>
      </c>
      <c r="W95" s="26" t="str">
        <f t="shared" si="35"/>
        <v/>
      </c>
      <c r="X95" s="13" t="str">
        <f t="shared" si="36"/>
        <v/>
      </c>
      <c r="Y95" s="9">
        <f t="shared" si="37"/>
        <v>0</v>
      </c>
    </row>
    <row r="96" spans="1:25" x14ac:dyDescent="0.25">
      <c r="A96" s="11"/>
      <c r="B96" s="16" t="s">
        <v>30</v>
      </c>
      <c r="C96" s="11"/>
      <c r="D96" s="11"/>
      <c r="E96" s="11"/>
      <c r="F96" s="21"/>
      <c r="G96" s="18">
        <f>SUM(G6:G95)</f>
        <v>0</v>
      </c>
      <c r="H96" s="18">
        <f t="shared" ref="H96:X96" si="38">SUM(H6:H95)</f>
        <v>0</v>
      </c>
      <c r="I96" s="18">
        <f t="shared" si="38"/>
        <v>0</v>
      </c>
      <c r="J96" s="18">
        <f t="shared" si="38"/>
        <v>0</v>
      </c>
      <c r="K96" s="19">
        <f t="shared" si="38"/>
        <v>0</v>
      </c>
      <c r="L96" s="20">
        <f t="shared" si="38"/>
        <v>0</v>
      </c>
      <c r="M96" s="18">
        <f t="shared" si="38"/>
        <v>0</v>
      </c>
      <c r="N96" s="18">
        <f t="shared" si="38"/>
        <v>0</v>
      </c>
      <c r="O96" s="18">
        <f t="shared" si="38"/>
        <v>0</v>
      </c>
      <c r="P96" s="18">
        <f t="shared" si="38"/>
        <v>0</v>
      </c>
      <c r="Q96" s="18">
        <f t="shared" si="38"/>
        <v>0</v>
      </c>
      <c r="R96" s="18">
        <f t="shared" si="38"/>
        <v>0</v>
      </c>
      <c r="S96" s="18">
        <f t="shared" si="38"/>
        <v>0</v>
      </c>
      <c r="T96" s="18">
        <f t="shared" si="38"/>
        <v>0</v>
      </c>
      <c r="U96" s="18">
        <f t="shared" si="38"/>
        <v>0</v>
      </c>
      <c r="V96" s="18">
        <f t="shared" si="38"/>
        <v>0</v>
      </c>
      <c r="W96" s="18">
        <f t="shared" si="38"/>
        <v>0</v>
      </c>
      <c r="X96" s="18">
        <f t="shared" si="38"/>
        <v>0</v>
      </c>
      <c r="Y96" s="18"/>
    </row>
  </sheetData>
  <mergeCells count="1">
    <mergeCell ref="A4:E4"/>
  </mergeCells>
  <printOptions gridLines="1"/>
  <pageMargins left="0.23622047244094491" right="0.23622047244094491" top="0.74803149606299213" bottom="0.74803149606299213" header="0.31496062992125984" footer="0.31496062992125984"/>
  <pageSetup paperSize="9" scale="50" fitToHeight="2" orientation="landscape" r:id="rId1"/>
  <extLst>
    <ext xmlns:x14="http://schemas.microsoft.com/office/spreadsheetml/2009/9/main" uri="{CCE6A557-97BC-4b89-ADB6-D9C93CAAB3DF}">
      <x14:dataValidations xmlns:xm="http://schemas.microsoft.com/office/excel/2006/main" count="1">
        <x14:dataValidation type="list" allowBlank="1" showErrorMessage="1" xr:uid="{00000000-0002-0000-0800-000000000000}">
          <x14:formula1>
            <xm:f>Categories!$A$1:$A$19</xm:f>
          </x14:formula1>
          <xm:sqref>E6:E95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Y96"/>
  <sheetViews>
    <sheetView workbookViewId="0">
      <pane xSplit="6" ySplit="5" topLeftCell="G6" activePane="bottomRight" state="frozen"/>
      <selection activeCell="B78" sqref="B78"/>
      <selection pane="topRight" activeCell="B78" sqref="B78"/>
      <selection pane="bottomLeft" activeCell="B78" sqref="B78"/>
      <selection pane="bottomRight" activeCell="B78" sqref="B78"/>
    </sheetView>
  </sheetViews>
  <sheetFormatPr defaultRowHeight="15" x14ac:dyDescent="0.25"/>
  <cols>
    <col min="1" max="1" width="10.7109375" bestFit="1" customWidth="1"/>
    <col min="2" max="2" width="13.7109375" customWidth="1"/>
    <col min="3" max="3" width="12" customWidth="1"/>
    <col min="5" max="5" width="15.28515625" customWidth="1"/>
    <col min="6" max="6" width="12.7109375" hidden="1" customWidth="1"/>
    <col min="7" max="25" width="11.7109375" customWidth="1"/>
  </cols>
  <sheetData>
    <row r="1" spans="1:25" ht="23.25" x14ac:dyDescent="0.35">
      <c r="A1" s="3" t="s">
        <v>47</v>
      </c>
      <c r="D1" s="8" t="str">
        <f>Instructions!C3</f>
        <v>Lucy's Tailored Tails</v>
      </c>
      <c r="Y1" s="9"/>
    </row>
    <row r="2" spans="1:25" ht="15" customHeight="1" x14ac:dyDescent="0.35">
      <c r="A2" s="3"/>
      <c r="D2" s="8"/>
      <c r="Y2" s="9"/>
    </row>
    <row r="3" spans="1:25" x14ac:dyDescent="0.25">
      <c r="R3" t="s">
        <v>0</v>
      </c>
      <c r="Y3" s="9">
        <f>IF(Instructions!C7="August",Instructions!C6,July!Y95)</f>
        <v>0</v>
      </c>
    </row>
    <row r="4" spans="1:25" x14ac:dyDescent="0.25">
      <c r="A4" s="39" t="s">
        <v>111</v>
      </c>
      <c r="B4" s="40"/>
      <c r="C4" s="40"/>
      <c r="D4" s="40"/>
      <c r="E4" s="41"/>
      <c r="F4" s="12"/>
      <c r="G4" s="17" t="s">
        <v>31</v>
      </c>
      <c r="H4" s="11"/>
      <c r="I4" s="11"/>
      <c r="J4" s="11"/>
      <c r="K4" s="12"/>
      <c r="L4" s="17" t="s">
        <v>33</v>
      </c>
      <c r="M4" s="11"/>
      <c r="N4" s="11"/>
      <c r="O4" s="11"/>
      <c r="P4" s="11"/>
      <c r="Q4" s="11"/>
      <c r="R4" s="11"/>
      <c r="S4" s="11"/>
      <c r="T4" s="11"/>
      <c r="U4" s="11"/>
      <c r="V4" s="11"/>
      <c r="W4" s="21"/>
      <c r="X4" s="12"/>
      <c r="Y4" s="10"/>
    </row>
    <row r="5" spans="1:25" ht="30" x14ac:dyDescent="0.25">
      <c r="A5" s="34" t="s">
        <v>1</v>
      </c>
      <c r="B5" s="35" t="s">
        <v>39</v>
      </c>
      <c r="C5" s="34" t="s">
        <v>2</v>
      </c>
      <c r="D5" s="34" t="s">
        <v>3</v>
      </c>
      <c r="E5" s="34" t="s">
        <v>105</v>
      </c>
      <c r="F5" s="12"/>
      <c r="G5" s="10" t="str">
        <f>Categories!A2</f>
        <v>Shop Sales</v>
      </c>
      <c r="H5" s="11" t="str">
        <f>Categories!A3</f>
        <v>Income 2</v>
      </c>
      <c r="I5" s="11" t="str">
        <f>Categories!A4</f>
        <v>Income 3</v>
      </c>
      <c r="J5" s="11" t="str">
        <f>Categories!A5</f>
        <v>Income 4</v>
      </c>
      <c r="K5" s="12" t="str">
        <f>Categories!A6</f>
        <v>Income 5</v>
      </c>
      <c r="L5" s="10" t="str">
        <f>Categories!A7</f>
        <v>Website Fees</v>
      </c>
      <c r="M5" s="11" t="str">
        <f>Categories!A8</f>
        <v>Exp 2</v>
      </c>
      <c r="N5" s="11" t="str">
        <f>Categories!A9</f>
        <v>Exp 3</v>
      </c>
      <c r="O5" s="11" t="str">
        <f>Categories!A10</f>
        <v>Exp 4</v>
      </c>
      <c r="P5" s="11" t="str">
        <f>Categories!A11</f>
        <v>Exp 5</v>
      </c>
      <c r="Q5" s="11" t="str">
        <f>Categories!A12</f>
        <v>Exp 6</v>
      </c>
      <c r="R5" s="11" t="str">
        <f>Categories!A13</f>
        <v>Exp 7</v>
      </c>
      <c r="S5" s="11" t="str">
        <f>Categories!A14</f>
        <v>Exp 8</v>
      </c>
      <c r="T5" s="11" t="str">
        <f>Categories!A15</f>
        <v>Exp 9</v>
      </c>
      <c r="U5" s="11" t="str">
        <f>Categories!A16</f>
        <v>Exp 10</v>
      </c>
      <c r="V5" s="11" t="str">
        <f>Categories!A17</f>
        <v>Exp 11</v>
      </c>
      <c r="W5" s="21" t="str">
        <f>Categories!A18</f>
        <v>Exp 12</v>
      </c>
      <c r="X5" s="12" t="str">
        <f>Categories!A19</f>
        <v>Exp 13</v>
      </c>
      <c r="Y5" s="10" t="s">
        <v>4</v>
      </c>
    </row>
    <row r="6" spans="1:25" x14ac:dyDescent="0.25">
      <c r="A6" s="28"/>
      <c r="B6" s="29"/>
      <c r="C6" s="30"/>
      <c r="D6" s="31"/>
      <c r="E6" s="29" t="s">
        <v>16</v>
      </c>
      <c r="F6" s="13" t="b">
        <f>IF($E6=Categories!$A$1,"",IF($E6=Categories!$A$2,Categories!$B$2,IF($E6=Categories!$A$3,Categories!$B$3,IF($E6=Categories!$A$4,Categories!$B$4,IF($E6=Categories!$A$5,Categories!$B$5,IF($E6=Categories!$A$6,Categories!$B$6,IF($E6=Categories!$A$7,Categories!$B$7,IF($E6=Categories!$A$8,Categories!$B$8,IF($E6=Categories!$A$9,Categories!$B$9,IF($E6=Categories!$A$10,Categories!$B$10,IF($E6=Categories!$A$11,Categories!$B$11,IF($E6=Categories!$A$12,Categories!$B$12,IF($E6=Categories!$A$13,Categories!$B$13,IF($E6=Categories!$A$14,Categories!$B$14,IF($E6=Categories!$A$15,Categories!$B$15,IF($E6=Categories!$A$16,Categories!$B$16,IF($E6=Categories!$A$17,Categories!$B$17,IF($E6=Categories!$A$18,Categories!$B$18,IF($E6=Categories!$A$19,Categories!$B$19)))))))))))))))))))</f>
        <v>0</v>
      </c>
      <c r="G6" s="9" t="str">
        <f>IF($F6="Inc1",$D6,"")</f>
        <v/>
      </c>
      <c r="H6" s="1" t="str">
        <f>IF($F6="Inc2",$D6,"")</f>
        <v/>
      </c>
      <c r="I6" s="1" t="str">
        <f>IF($F6="Int",$D6,"")</f>
        <v/>
      </c>
      <c r="J6" s="1" t="str">
        <f>IF($F6="Inc4",$D6,"")</f>
        <v/>
      </c>
      <c r="K6" s="13" t="str">
        <f>IF($F6="Inc5",$D6,"")</f>
        <v/>
      </c>
      <c r="L6" s="9" t="str">
        <f>IF($F6="ExpA",$D6,"")</f>
        <v/>
      </c>
      <c r="M6" s="1" t="str">
        <f>IF($F6="ExpB",$D6,"")</f>
        <v/>
      </c>
      <c r="N6" s="1" t="str">
        <f>IF($F6="ExpC",$D6,"")</f>
        <v/>
      </c>
      <c r="O6" s="1" t="str">
        <f>IF($F6="ExpD",$D6,"")</f>
        <v/>
      </c>
      <c r="P6" s="1" t="str">
        <f>IF($F6="ExpE",$D6,"")</f>
        <v/>
      </c>
      <c r="Q6" s="1" t="str">
        <f>IF($F6="ExpF",$D6,"")</f>
        <v/>
      </c>
      <c r="R6" s="1" t="str">
        <f>IF($F6="ExpG",$D6,"")</f>
        <v/>
      </c>
      <c r="S6" s="1" t="str">
        <f>IF($F6="ExpH",$D6,"")</f>
        <v/>
      </c>
      <c r="T6" s="1" t="str">
        <f>IF($F6="ExpI",$D6,"")</f>
        <v/>
      </c>
      <c r="U6" s="1" t="str">
        <f>IF($F6="ExpJ",$D6,"")</f>
        <v/>
      </c>
      <c r="V6" s="1" t="str">
        <f>IF($F6="ExpK",$D6,"")</f>
        <v/>
      </c>
      <c r="W6" s="26" t="str">
        <f>IF($F6="ExpL",$D6,"")</f>
        <v/>
      </c>
      <c r="X6" s="13" t="str">
        <f>IF($F6="Expm",$D6,"")</f>
        <v/>
      </c>
      <c r="Y6" s="9">
        <f>$Y$3+SUM(G6:K6)-SUM(L6:X6)</f>
        <v>0</v>
      </c>
    </row>
    <row r="7" spans="1:25" x14ac:dyDescent="0.25">
      <c r="A7" s="28"/>
      <c r="B7" s="29"/>
      <c r="C7" s="30"/>
      <c r="D7" s="31"/>
      <c r="E7" s="29" t="s">
        <v>16</v>
      </c>
      <c r="F7" s="13" t="b">
        <f>IF($E7=Categories!$A$1,"",IF($E7=Categories!$A$2,Categories!$B$2,IF($E7=Categories!$A$3,Categories!$B$3,IF($E7=Categories!$A$4,Categories!$B$4,IF($E7=Categories!$A$5,Categories!$B$5,IF($E7=Categories!$A$6,Categories!$B$6,IF($E7=Categories!$A$7,Categories!$B$7,IF($E7=Categories!$A$8,Categories!$B$8,IF($E7=Categories!$A$9,Categories!$B$9,IF($E7=Categories!$A$10,Categories!$B$10,IF($E7=Categories!$A$11,Categories!$B$11,IF($E7=Categories!$A$12,Categories!$B$12,IF($E7=Categories!$A$13,Categories!$B$13,IF($E7=Categories!$A$14,Categories!$B$14,IF($E7=Categories!$A$15,Categories!$B$15,IF($E7=Categories!$A$16,Categories!$B$16,IF($E7=Categories!$A$17,Categories!$B$17,IF($E7=Categories!$A$18,Categories!$B$18,IF($E7=Categories!$A$19,Categories!$B$19)))))))))))))))))))</f>
        <v>0</v>
      </c>
      <c r="G7" s="9" t="str">
        <f t="shared" ref="G7:G70" si="0">IF($F7="Inc1",$D7,"")</f>
        <v/>
      </c>
      <c r="H7" s="1" t="str">
        <f t="shared" ref="H7:H70" si="1">IF($F7="Inc2",$D7,"")</f>
        <v/>
      </c>
      <c r="I7" s="1" t="str">
        <f t="shared" ref="I7:I70" si="2">IF($F7="Int",$D7,"")</f>
        <v/>
      </c>
      <c r="J7" s="1" t="str">
        <f t="shared" ref="J7:J70" si="3">IF($F7="Inc4",$D7,"")</f>
        <v/>
      </c>
      <c r="K7" s="13" t="str">
        <f t="shared" ref="K7:K70" si="4">IF($F7="Inc5",$D7,"")</f>
        <v/>
      </c>
      <c r="L7" s="9" t="str">
        <f t="shared" ref="L7:L70" si="5">IF($F7="ExpA",$D7,"")</f>
        <v/>
      </c>
      <c r="M7" s="1" t="str">
        <f t="shared" ref="M7:M70" si="6">IF($F7="ExpB",$D7,"")</f>
        <v/>
      </c>
      <c r="N7" s="1" t="str">
        <f t="shared" ref="N7:N70" si="7">IF($F7="ExpC",$D7,"")</f>
        <v/>
      </c>
      <c r="O7" s="1" t="str">
        <f t="shared" ref="O7:O70" si="8">IF($F7="ExpD",$D7,"")</f>
        <v/>
      </c>
      <c r="P7" s="1" t="str">
        <f t="shared" ref="P7:P70" si="9">IF($F7="ExpE",$D7,"")</f>
        <v/>
      </c>
      <c r="Q7" s="1" t="str">
        <f t="shared" ref="Q7:Q70" si="10">IF($F7="ExpF",$D7,"")</f>
        <v/>
      </c>
      <c r="R7" s="1" t="str">
        <f t="shared" ref="R7:R70" si="11">IF($F7="ExpG",$D7,"")</f>
        <v/>
      </c>
      <c r="S7" s="1" t="str">
        <f t="shared" ref="S7:S70" si="12">IF($F7="ExpH",$D7,"")</f>
        <v/>
      </c>
      <c r="T7" s="1" t="str">
        <f t="shared" ref="T7:T70" si="13">IF($F7="ExpI",$D7,"")</f>
        <v/>
      </c>
      <c r="U7" s="1" t="str">
        <f t="shared" ref="U7:U70" si="14">IF($F7="ExpJ",$D7,"")</f>
        <v/>
      </c>
      <c r="V7" s="1" t="str">
        <f t="shared" ref="V7:V70" si="15">IF($F7="ExpK",$D7,"")</f>
        <v/>
      </c>
      <c r="W7" s="26" t="str">
        <f t="shared" ref="W7:W70" si="16">IF($F7="ExpL",$D7,"")</f>
        <v/>
      </c>
      <c r="X7" s="13" t="str">
        <f t="shared" ref="X7:X70" si="17">IF($F7="Expm",$D7,"")</f>
        <v/>
      </c>
      <c r="Y7" s="9">
        <f>Y6+SUM(G7:K7)-SUM(L7:X7)</f>
        <v>0</v>
      </c>
    </row>
    <row r="8" spans="1:25" x14ac:dyDescent="0.25">
      <c r="A8" s="28"/>
      <c r="B8" s="29"/>
      <c r="C8" s="30"/>
      <c r="D8" s="31"/>
      <c r="E8" s="29" t="s">
        <v>16</v>
      </c>
      <c r="F8" s="13" t="b">
        <f>IF($E8=Categories!$A$1,"",IF($E8=Categories!$A$2,Categories!$B$2,IF($E8=Categories!$A$3,Categories!$B$3,IF($E8=Categories!$A$4,Categories!$B$4,IF($E8=Categories!$A$5,Categories!$B$5,IF($E8=Categories!$A$6,Categories!$B$6,IF($E8=Categories!$A$7,Categories!$B$7,IF($E8=Categories!$A$8,Categories!$B$8,IF($E8=Categories!$A$9,Categories!$B$9,IF($E8=Categories!$A$10,Categories!$B$10,IF($E8=Categories!$A$11,Categories!$B$11,IF($E8=Categories!$A$12,Categories!$B$12,IF($E8=Categories!$A$13,Categories!$B$13,IF($E8=Categories!$A$14,Categories!$B$14,IF($E8=Categories!$A$15,Categories!$B$15,IF($E8=Categories!$A$16,Categories!$B$16,IF($E8=Categories!$A$17,Categories!$B$17,IF($E8=Categories!$A$18,Categories!$B$18,IF($E8=Categories!$A$19,Categories!$B$19)))))))))))))))))))</f>
        <v>0</v>
      </c>
      <c r="G8" s="9" t="str">
        <f t="shared" si="0"/>
        <v/>
      </c>
      <c r="H8" s="1" t="str">
        <f t="shared" si="1"/>
        <v/>
      </c>
      <c r="I8" s="1" t="str">
        <f t="shared" si="2"/>
        <v/>
      </c>
      <c r="J8" s="1" t="str">
        <f t="shared" si="3"/>
        <v/>
      </c>
      <c r="K8" s="13" t="str">
        <f t="shared" si="4"/>
        <v/>
      </c>
      <c r="L8" s="9" t="str">
        <f t="shared" si="5"/>
        <v/>
      </c>
      <c r="M8" s="1" t="str">
        <f t="shared" si="6"/>
        <v/>
      </c>
      <c r="N8" s="1" t="str">
        <f t="shared" si="7"/>
        <v/>
      </c>
      <c r="O8" s="1" t="str">
        <f t="shared" si="8"/>
        <v/>
      </c>
      <c r="P8" s="1" t="str">
        <f t="shared" si="9"/>
        <v/>
      </c>
      <c r="Q8" s="1" t="str">
        <f t="shared" si="10"/>
        <v/>
      </c>
      <c r="R8" s="1" t="str">
        <f t="shared" si="11"/>
        <v/>
      </c>
      <c r="S8" s="1" t="str">
        <f t="shared" si="12"/>
        <v/>
      </c>
      <c r="T8" s="1" t="str">
        <f t="shared" si="13"/>
        <v/>
      </c>
      <c r="U8" s="1" t="str">
        <f t="shared" si="14"/>
        <v/>
      </c>
      <c r="V8" s="1" t="str">
        <f t="shared" si="15"/>
        <v/>
      </c>
      <c r="W8" s="26" t="str">
        <f t="shared" si="16"/>
        <v/>
      </c>
      <c r="X8" s="13" t="str">
        <f t="shared" si="17"/>
        <v/>
      </c>
      <c r="Y8" s="9">
        <f t="shared" ref="Y8:Y71" si="18">Y7+SUM(G8:K8)-SUM(L8:X8)</f>
        <v>0</v>
      </c>
    </row>
    <row r="9" spans="1:25" x14ac:dyDescent="0.25">
      <c r="A9" s="28"/>
      <c r="B9" s="29"/>
      <c r="C9" s="30"/>
      <c r="D9" s="31"/>
      <c r="E9" s="29" t="s">
        <v>16</v>
      </c>
      <c r="F9" s="13" t="b">
        <f>IF($E9=Categories!$A$1,"",IF($E9=Categories!$A$2,Categories!$B$2,IF($E9=Categories!$A$3,Categories!$B$3,IF($E9=Categories!$A$4,Categories!$B$4,IF($E9=Categories!$A$5,Categories!$B$5,IF($E9=Categories!$A$6,Categories!$B$6,IF($E9=Categories!$A$7,Categories!$B$7,IF($E9=Categories!$A$8,Categories!$B$8,IF($E9=Categories!$A$9,Categories!$B$9,IF($E9=Categories!$A$10,Categories!$B$10,IF($E9=Categories!$A$11,Categories!$B$11,IF($E9=Categories!$A$12,Categories!$B$12,IF($E9=Categories!$A$13,Categories!$B$13,IF($E9=Categories!$A$14,Categories!$B$14,IF($E9=Categories!$A$15,Categories!$B$15,IF($E9=Categories!$A$16,Categories!$B$16,IF($E9=Categories!$A$17,Categories!$B$17,IF($E9=Categories!$A$18,Categories!$B$18,IF($E9=Categories!$A$19,Categories!$B$19)))))))))))))))))))</f>
        <v>0</v>
      </c>
      <c r="G9" s="9" t="str">
        <f t="shared" si="0"/>
        <v/>
      </c>
      <c r="H9" s="1" t="str">
        <f t="shared" si="1"/>
        <v/>
      </c>
      <c r="I9" s="1" t="str">
        <f t="shared" si="2"/>
        <v/>
      </c>
      <c r="J9" s="1" t="str">
        <f t="shared" si="3"/>
        <v/>
      </c>
      <c r="K9" s="13" t="str">
        <f t="shared" si="4"/>
        <v/>
      </c>
      <c r="L9" s="9" t="str">
        <f t="shared" si="5"/>
        <v/>
      </c>
      <c r="M9" s="1" t="str">
        <f t="shared" si="6"/>
        <v/>
      </c>
      <c r="N9" s="1" t="str">
        <f t="shared" si="7"/>
        <v/>
      </c>
      <c r="O9" s="1" t="str">
        <f t="shared" si="8"/>
        <v/>
      </c>
      <c r="P9" s="1" t="str">
        <f t="shared" si="9"/>
        <v/>
      </c>
      <c r="Q9" s="1" t="str">
        <f t="shared" si="10"/>
        <v/>
      </c>
      <c r="R9" s="1" t="str">
        <f t="shared" si="11"/>
        <v/>
      </c>
      <c r="S9" s="1" t="str">
        <f t="shared" si="12"/>
        <v/>
      </c>
      <c r="T9" s="1" t="str">
        <f t="shared" si="13"/>
        <v/>
      </c>
      <c r="U9" s="1" t="str">
        <f t="shared" si="14"/>
        <v/>
      </c>
      <c r="V9" s="1" t="str">
        <f t="shared" si="15"/>
        <v/>
      </c>
      <c r="W9" s="26" t="str">
        <f t="shared" si="16"/>
        <v/>
      </c>
      <c r="X9" s="13" t="str">
        <f t="shared" si="17"/>
        <v/>
      </c>
      <c r="Y9" s="9">
        <f t="shared" si="18"/>
        <v>0</v>
      </c>
    </row>
    <row r="10" spans="1:25" x14ac:dyDescent="0.25">
      <c r="A10" s="28"/>
      <c r="B10" s="29"/>
      <c r="C10" s="30"/>
      <c r="D10" s="31"/>
      <c r="E10" s="29" t="s">
        <v>16</v>
      </c>
      <c r="F10" s="13" t="b">
        <f>IF($E10=Categories!$A$1,"",IF($E10=Categories!$A$2,Categories!$B$2,IF($E10=Categories!$A$3,Categories!$B$3,IF($E10=Categories!$A$4,Categories!$B$4,IF($E10=Categories!$A$5,Categories!$B$5,IF($E10=Categories!$A$6,Categories!$B$6,IF($E10=Categories!$A$7,Categories!$B$7,IF($E10=Categories!$A$8,Categories!$B$8,IF($E10=Categories!$A$9,Categories!$B$9,IF($E10=Categories!$A$10,Categories!$B$10,IF($E10=Categories!$A$11,Categories!$B$11,IF($E10=Categories!$A$12,Categories!$B$12,IF($E10=Categories!$A$13,Categories!$B$13,IF($E10=Categories!$A$14,Categories!$B$14,IF($E10=Categories!$A$15,Categories!$B$15,IF($E10=Categories!$A$16,Categories!$B$16,IF($E10=Categories!$A$17,Categories!$B$17,IF($E10=Categories!$A$18,Categories!$B$18,IF($E10=Categories!$A$19,Categories!$B$19)))))))))))))))))))</f>
        <v>0</v>
      </c>
      <c r="G10" s="9" t="str">
        <f t="shared" si="0"/>
        <v/>
      </c>
      <c r="H10" s="1" t="str">
        <f t="shared" si="1"/>
        <v/>
      </c>
      <c r="I10" s="1" t="str">
        <f t="shared" si="2"/>
        <v/>
      </c>
      <c r="J10" s="1" t="str">
        <f t="shared" si="3"/>
        <v/>
      </c>
      <c r="K10" s="13" t="str">
        <f t="shared" si="4"/>
        <v/>
      </c>
      <c r="L10" s="9" t="str">
        <f t="shared" si="5"/>
        <v/>
      </c>
      <c r="M10" s="1" t="str">
        <f t="shared" si="6"/>
        <v/>
      </c>
      <c r="N10" s="1" t="str">
        <f t="shared" si="7"/>
        <v/>
      </c>
      <c r="O10" s="1" t="str">
        <f t="shared" si="8"/>
        <v/>
      </c>
      <c r="P10" s="1" t="str">
        <f t="shared" si="9"/>
        <v/>
      </c>
      <c r="Q10" s="1" t="str">
        <f t="shared" si="10"/>
        <v/>
      </c>
      <c r="R10" s="1" t="str">
        <f t="shared" si="11"/>
        <v/>
      </c>
      <c r="S10" s="1" t="str">
        <f t="shared" si="12"/>
        <v/>
      </c>
      <c r="T10" s="1" t="str">
        <f t="shared" si="13"/>
        <v/>
      </c>
      <c r="U10" s="1" t="str">
        <f t="shared" si="14"/>
        <v/>
      </c>
      <c r="V10" s="1" t="str">
        <f t="shared" si="15"/>
        <v/>
      </c>
      <c r="W10" s="26" t="str">
        <f t="shared" si="16"/>
        <v/>
      </c>
      <c r="X10" s="13" t="str">
        <f t="shared" si="17"/>
        <v/>
      </c>
      <c r="Y10" s="9">
        <f t="shared" si="18"/>
        <v>0</v>
      </c>
    </row>
    <row r="11" spans="1:25" x14ac:dyDescent="0.25">
      <c r="A11" s="28"/>
      <c r="B11" s="29"/>
      <c r="C11" s="30"/>
      <c r="D11" s="31"/>
      <c r="E11" s="29" t="s">
        <v>16</v>
      </c>
      <c r="F11" s="13" t="b">
        <f>IF($E11=Categories!$A$1,"",IF($E11=Categories!$A$2,Categories!$B$2,IF($E11=Categories!$A$3,Categories!$B$3,IF($E11=Categories!$A$4,Categories!$B$4,IF($E11=Categories!$A$5,Categories!$B$5,IF($E11=Categories!$A$6,Categories!$B$6,IF($E11=Categories!$A$7,Categories!$B$7,IF($E11=Categories!$A$8,Categories!$B$8,IF($E11=Categories!$A$9,Categories!$B$9,IF($E11=Categories!$A$10,Categories!$B$10,IF($E11=Categories!$A$11,Categories!$B$11,IF($E11=Categories!$A$12,Categories!$B$12,IF($E11=Categories!$A$13,Categories!$B$13,IF($E11=Categories!$A$14,Categories!$B$14,IF($E11=Categories!$A$15,Categories!$B$15,IF($E11=Categories!$A$16,Categories!$B$16,IF($E11=Categories!$A$17,Categories!$B$17,IF($E11=Categories!$A$18,Categories!$B$18,IF($E11=Categories!$A$19,Categories!$B$19)))))))))))))))))))</f>
        <v>0</v>
      </c>
      <c r="G11" s="9" t="str">
        <f t="shared" si="0"/>
        <v/>
      </c>
      <c r="H11" s="1" t="str">
        <f t="shared" si="1"/>
        <v/>
      </c>
      <c r="I11" s="1" t="str">
        <f t="shared" si="2"/>
        <v/>
      </c>
      <c r="J11" s="1" t="str">
        <f t="shared" si="3"/>
        <v/>
      </c>
      <c r="K11" s="13" t="str">
        <f t="shared" si="4"/>
        <v/>
      </c>
      <c r="L11" s="9" t="str">
        <f t="shared" si="5"/>
        <v/>
      </c>
      <c r="M11" s="1" t="str">
        <f t="shared" si="6"/>
        <v/>
      </c>
      <c r="N11" s="1" t="str">
        <f t="shared" si="7"/>
        <v/>
      </c>
      <c r="O11" s="1" t="str">
        <f t="shared" si="8"/>
        <v/>
      </c>
      <c r="P11" s="1" t="str">
        <f t="shared" si="9"/>
        <v/>
      </c>
      <c r="Q11" s="1" t="str">
        <f t="shared" si="10"/>
        <v/>
      </c>
      <c r="R11" s="1" t="str">
        <f t="shared" si="11"/>
        <v/>
      </c>
      <c r="S11" s="1" t="str">
        <f t="shared" si="12"/>
        <v/>
      </c>
      <c r="T11" s="1" t="str">
        <f t="shared" si="13"/>
        <v/>
      </c>
      <c r="U11" s="1" t="str">
        <f t="shared" si="14"/>
        <v/>
      </c>
      <c r="V11" s="1" t="str">
        <f t="shared" si="15"/>
        <v/>
      </c>
      <c r="W11" s="26" t="str">
        <f t="shared" si="16"/>
        <v/>
      </c>
      <c r="X11" s="13" t="str">
        <f t="shared" si="17"/>
        <v/>
      </c>
      <c r="Y11" s="9">
        <f t="shared" si="18"/>
        <v>0</v>
      </c>
    </row>
    <row r="12" spans="1:25" x14ac:dyDescent="0.25">
      <c r="A12" s="28"/>
      <c r="B12" s="29"/>
      <c r="C12" s="30"/>
      <c r="D12" s="31"/>
      <c r="E12" s="29" t="s">
        <v>16</v>
      </c>
      <c r="F12" s="13" t="b">
        <f>IF($E12=Categories!$A$1,"",IF($E12=Categories!$A$2,Categories!$B$2,IF($E12=Categories!$A$3,Categories!$B$3,IF($E12=Categories!$A$4,Categories!$B$4,IF($E12=Categories!$A$5,Categories!$B$5,IF($E12=Categories!$A$6,Categories!$B$6,IF($E12=Categories!$A$7,Categories!$B$7,IF($E12=Categories!$A$8,Categories!$B$8,IF($E12=Categories!$A$9,Categories!$B$9,IF($E12=Categories!$A$10,Categories!$B$10,IF($E12=Categories!$A$11,Categories!$B$11,IF($E12=Categories!$A$12,Categories!$B$12,IF($E12=Categories!$A$13,Categories!$B$13,IF($E12=Categories!$A$14,Categories!$B$14,IF($E12=Categories!$A$15,Categories!$B$15,IF($E12=Categories!$A$16,Categories!$B$16,IF($E12=Categories!$A$17,Categories!$B$17,IF($E12=Categories!$A$18,Categories!$B$18,IF($E12=Categories!$A$19,Categories!$B$19)))))))))))))))))))</f>
        <v>0</v>
      </c>
      <c r="G12" s="9" t="str">
        <f t="shared" si="0"/>
        <v/>
      </c>
      <c r="H12" s="1" t="str">
        <f t="shared" si="1"/>
        <v/>
      </c>
      <c r="I12" s="1" t="str">
        <f t="shared" si="2"/>
        <v/>
      </c>
      <c r="J12" s="1" t="str">
        <f t="shared" si="3"/>
        <v/>
      </c>
      <c r="K12" s="13" t="str">
        <f t="shared" si="4"/>
        <v/>
      </c>
      <c r="L12" s="9" t="str">
        <f t="shared" si="5"/>
        <v/>
      </c>
      <c r="M12" s="1" t="str">
        <f t="shared" si="6"/>
        <v/>
      </c>
      <c r="N12" s="1" t="str">
        <f t="shared" si="7"/>
        <v/>
      </c>
      <c r="O12" s="1" t="str">
        <f t="shared" si="8"/>
        <v/>
      </c>
      <c r="P12" s="1" t="str">
        <f t="shared" si="9"/>
        <v/>
      </c>
      <c r="Q12" s="1" t="str">
        <f t="shared" si="10"/>
        <v/>
      </c>
      <c r="R12" s="1" t="str">
        <f t="shared" si="11"/>
        <v/>
      </c>
      <c r="S12" s="1" t="str">
        <f t="shared" si="12"/>
        <v/>
      </c>
      <c r="T12" s="1" t="str">
        <f t="shared" si="13"/>
        <v/>
      </c>
      <c r="U12" s="1" t="str">
        <f t="shared" si="14"/>
        <v/>
      </c>
      <c r="V12" s="1" t="str">
        <f t="shared" si="15"/>
        <v/>
      </c>
      <c r="W12" s="26" t="str">
        <f t="shared" si="16"/>
        <v/>
      </c>
      <c r="X12" s="13" t="str">
        <f t="shared" si="17"/>
        <v/>
      </c>
      <c r="Y12" s="9">
        <f t="shared" si="18"/>
        <v>0</v>
      </c>
    </row>
    <row r="13" spans="1:25" x14ac:dyDescent="0.25">
      <c r="A13" s="28"/>
      <c r="B13" s="29"/>
      <c r="C13" s="30"/>
      <c r="D13" s="31"/>
      <c r="E13" s="29" t="s">
        <v>16</v>
      </c>
      <c r="F13" s="13" t="b">
        <f>IF($E13=Categories!$A$1,"",IF($E13=Categories!$A$2,Categories!$B$2,IF($E13=Categories!$A$3,Categories!$B$3,IF($E13=Categories!$A$4,Categories!$B$4,IF($E13=Categories!$A$5,Categories!$B$5,IF($E13=Categories!$A$6,Categories!$B$6,IF($E13=Categories!$A$7,Categories!$B$7,IF($E13=Categories!$A$8,Categories!$B$8,IF($E13=Categories!$A$9,Categories!$B$9,IF($E13=Categories!$A$10,Categories!$B$10,IF($E13=Categories!$A$11,Categories!$B$11,IF($E13=Categories!$A$12,Categories!$B$12,IF($E13=Categories!$A$13,Categories!$B$13,IF($E13=Categories!$A$14,Categories!$B$14,IF($E13=Categories!$A$15,Categories!$B$15,IF($E13=Categories!$A$16,Categories!$B$16,IF($E13=Categories!$A$17,Categories!$B$17,IF($E13=Categories!$A$18,Categories!$B$18,IF($E13=Categories!$A$19,Categories!$B$19)))))))))))))))))))</f>
        <v>0</v>
      </c>
      <c r="G13" s="9" t="str">
        <f t="shared" si="0"/>
        <v/>
      </c>
      <c r="H13" s="1" t="str">
        <f t="shared" si="1"/>
        <v/>
      </c>
      <c r="I13" s="1" t="str">
        <f t="shared" si="2"/>
        <v/>
      </c>
      <c r="J13" s="1" t="str">
        <f t="shared" si="3"/>
        <v/>
      </c>
      <c r="K13" s="13" t="str">
        <f t="shared" si="4"/>
        <v/>
      </c>
      <c r="L13" s="9" t="str">
        <f t="shared" si="5"/>
        <v/>
      </c>
      <c r="M13" s="1" t="str">
        <f t="shared" si="6"/>
        <v/>
      </c>
      <c r="N13" s="1" t="str">
        <f t="shared" si="7"/>
        <v/>
      </c>
      <c r="O13" s="1" t="str">
        <f t="shared" si="8"/>
        <v/>
      </c>
      <c r="P13" s="1" t="str">
        <f t="shared" si="9"/>
        <v/>
      </c>
      <c r="Q13" s="1" t="str">
        <f t="shared" si="10"/>
        <v/>
      </c>
      <c r="R13" s="1" t="str">
        <f t="shared" si="11"/>
        <v/>
      </c>
      <c r="S13" s="1" t="str">
        <f t="shared" si="12"/>
        <v/>
      </c>
      <c r="T13" s="1" t="str">
        <f t="shared" si="13"/>
        <v/>
      </c>
      <c r="U13" s="1" t="str">
        <f t="shared" si="14"/>
        <v/>
      </c>
      <c r="V13" s="1" t="str">
        <f t="shared" si="15"/>
        <v/>
      </c>
      <c r="W13" s="26" t="str">
        <f t="shared" si="16"/>
        <v/>
      </c>
      <c r="X13" s="13" t="str">
        <f t="shared" si="17"/>
        <v/>
      </c>
      <c r="Y13" s="9">
        <f t="shared" si="18"/>
        <v>0</v>
      </c>
    </row>
    <row r="14" spans="1:25" x14ac:dyDescent="0.25">
      <c r="A14" s="28"/>
      <c r="B14" s="29"/>
      <c r="C14" s="30"/>
      <c r="D14" s="31"/>
      <c r="E14" s="29" t="s">
        <v>16</v>
      </c>
      <c r="F14" s="13" t="b">
        <f>IF($E14=Categories!$A$1,"",IF($E14=Categories!$A$2,Categories!$B$2,IF($E14=Categories!$A$3,Categories!$B$3,IF($E14=Categories!$A$4,Categories!$B$4,IF($E14=Categories!$A$5,Categories!$B$5,IF($E14=Categories!$A$6,Categories!$B$6,IF($E14=Categories!$A$7,Categories!$B$7,IF($E14=Categories!$A$8,Categories!$B$8,IF($E14=Categories!$A$9,Categories!$B$9,IF($E14=Categories!$A$10,Categories!$B$10,IF($E14=Categories!$A$11,Categories!$B$11,IF($E14=Categories!$A$12,Categories!$B$12,IF($E14=Categories!$A$13,Categories!$B$13,IF($E14=Categories!$A$14,Categories!$B$14,IF($E14=Categories!$A$15,Categories!$B$15,IF($E14=Categories!$A$16,Categories!$B$16,IF($E14=Categories!$A$17,Categories!$B$17,IF($E14=Categories!$A$18,Categories!$B$18,IF($E14=Categories!$A$19,Categories!$B$19)))))))))))))))))))</f>
        <v>0</v>
      </c>
      <c r="G14" s="9" t="str">
        <f t="shared" si="0"/>
        <v/>
      </c>
      <c r="H14" s="1" t="str">
        <f t="shared" si="1"/>
        <v/>
      </c>
      <c r="I14" s="1" t="str">
        <f t="shared" si="2"/>
        <v/>
      </c>
      <c r="J14" s="1" t="str">
        <f t="shared" si="3"/>
        <v/>
      </c>
      <c r="K14" s="13" t="str">
        <f t="shared" si="4"/>
        <v/>
      </c>
      <c r="L14" s="9" t="str">
        <f t="shared" si="5"/>
        <v/>
      </c>
      <c r="M14" s="1" t="str">
        <f t="shared" si="6"/>
        <v/>
      </c>
      <c r="N14" s="1" t="str">
        <f t="shared" si="7"/>
        <v/>
      </c>
      <c r="O14" s="1" t="str">
        <f t="shared" si="8"/>
        <v/>
      </c>
      <c r="P14" s="1" t="str">
        <f t="shared" si="9"/>
        <v/>
      </c>
      <c r="Q14" s="1" t="str">
        <f t="shared" si="10"/>
        <v/>
      </c>
      <c r="R14" s="1" t="str">
        <f t="shared" si="11"/>
        <v/>
      </c>
      <c r="S14" s="1" t="str">
        <f t="shared" si="12"/>
        <v/>
      </c>
      <c r="T14" s="1" t="str">
        <f t="shared" si="13"/>
        <v/>
      </c>
      <c r="U14" s="1" t="str">
        <f t="shared" si="14"/>
        <v/>
      </c>
      <c r="V14" s="1" t="str">
        <f t="shared" si="15"/>
        <v/>
      </c>
      <c r="W14" s="26" t="str">
        <f t="shared" si="16"/>
        <v/>
      </c>
      <c r="X14" s="13" t="str">
        <f t="shared" si="17"/>
        <v/>
      </c>
      <c r="Y14" s="9">
        <f t="shared" si="18"/>
        <v>0</v>
      </c>
    </row>
    <row r="15" spans="1:25" x14ac:dyDescent="0.25">
      <c r="A15" s="28"/>
      <c r="B15" s="29"/>
      <c r="C15" s="30"/>
      <c r="D15" s="31"/>
      <c r="E15" s="29" t="s">
        <v>16</v>
      </c>
      <c r="F15" s="13" t="b">
        <f>IF($E15=Categories!$A$1,"",IF($E15=Categories!$A$2,Categories!$B$2,IF($E15=Categories!$A$3,Categories!$B$3,IF($E15=Categories!$A$4,Categories!$B$4,IF($E15=Categories!$A$5,Categories!$B$5,IF($E15=Categories!$A$6,Categories!$B$6,IF($E15=Categories!$A$7,Categories!$B$7,IF($E15=Categories!$A$8,Categories!$B$8,IF($E15=Categories!$A$9,Categories!$B$9,IF($E15=Categories!$A$10,Categories!$B$10,IF($E15=Categories!$A$11,Categories!$B$11,IF($E15=Categories!$A$12,Categories!$B$12,IF($E15=Categories!$A$13,Categories!$B$13,IF($E15=Categories!$A$14,Categories!$B$14,IF($E15=Categories!$A$15,Categories!$B$15,IF($E15=Categories!$A$16,Categories!$B$16,IF($E15=Categories!$A$17,Categories!$B$17,IF($E15=Categories!$A$18,Categories!$B$18,IF($E15=Categories!$A$19,Categories!$B$19)))))))))))))))))))</f>
        <v>0</v>
      </c>
      <c r="G15" s="9" t="str">
        <f t="shared" si="0"/>
        <v/>
      </c>
      <c r="H15" s="1" t="str">
        <f t="shared" si="1"/>
        <v/>
      </c>
      <c r="I15" s="1" t="str">
        <f t="shared" si="2"/>
        <v/>
      </c>
      <c r="J15" s="1" t="str">
        <f t="shared" si="3"/>
        <v/>
      </c>
      <c r="K15" s="13" t="str">
        <f t="shared" si="4"/>
        <v/>
      </c>
      <c r="L15" s="9" t="str">
        <f t="shared" si="5"/>
        <v/>
      </c>
      <c r="M15" s="1" t="str">
        <f t="shared" si="6"/>
        <v/>
      </c>
      <c r="N15" s="1" t="str">
        <f t="shared" si="7"/>
        <v/>
      </c>
      <c r="O15" s="1" t="str">
        <f t="shared" si="8"/>
        <v/>
      </c>
      <c r="P15" s="1" t="str">
        <f t="shared" si="9"/>
        <v/>
      </c>
      <c r="Q15" s="1" t="str">
        <f t="shared" si="10"/>
        <v/>
      </c>
      <c r="R15" s="1" t="str">
        <f t="shared" si="11"/>
        <v/>
      </c>
      <c r="S15" s="1" t="str">
        <f t="shared" si="12"/>
        <v/>
      </c>
      <c r="T15" s="1" t="str">
        <f t="shared" si="13"/>
        <v/>
      </c>
      <c r="U15" s="1" t="str">
        <f t="shared" si="14"/>
        <v/>
      </c>
      <c r="V15" s="1" t="str">
        <f t="shared" si="15"/>
        <v/>
      </c>
      <c r="W15" s="26" t="str">
        <f t="shared" si="16"/>
        <v/>
      </c>
      <c r="X15" s="13" t="str">
        <f t="shared" si="17"/>
        <v/>
      </c>
      <c r="Y15" s="9">
        <f t="shared" si="18"/>
        <v>0</v>
      </c>
    </row>
    <row r="16" spans="1:25" x14ac:dyDescent="0.25">
      <c r="A16" s="28"/>
      <c r="B16" s="29"/>
      <c r="C16" s="30"/>
      <c r="D16" s="31"/>
      <c r="E16" s="29" t="s">
        <v>16</v>
      </c>
      <c r="F16" s="13" t="b">
        <f>IF($E16=Categories!$A$1,"",IF($E16=Categories!$A$2,Categories!$B$2,IF($E16=Categories!$A$3,Categories!$B$3,IF($E16=Categories!$A$4,Categories!$B$4,IF($E16=Categories!$A$5,Categories!$B$5,IF($E16=Categories!$A$6,Categories!$B$6,IF($E16=Categories!$A$7,Categories!$B$7,IF($E16=Categories!$A$8,Categories!$B$8,IF($E16=Categories!$A$9,Categories!$B$9,IF($E16=Categories!$A$10,Categories!$B$10,IF($E16=Categories!$A$11,Categories!$B$11,IF($E16=Categories!$A$12,Categories!$B$12,IF($E16=Categories!$A$13,Categories!$B$13,IF($E16=Categories!$A$14,Categories!$B$14,IF($E16=Categories!$A$15,Categories!$B$15,IF($E16=Categories!$A$16,Categories!$B$16,IF($E16=Categories!$A$17,Categories!$B$17,IF($E16=Categories!$A$18,Categories!$B$18,IF($E16=Categories!$A$19,Categories!$B$19)))))))))))))))))))</f>
        <v>0</v>
      </c>
      <c r="G16" s="9" t="str">
        <f t="shared" si="0"/>
        <v/>
      </c>
      <c r="H16" s="1" t="str">
        <f t="shared" si="1"/>
        <v/>
      </c>
      <c r="I16" s="1" t="str">
        <f t="shared" si="2"/>
        <v/>
      </c>
      <c r="J16" s="1" t="str">
        <f t="shared" si="3"/>
        <v/>
      </c>
      <c r="K16" s="13" t="str">
        <f t="shared" si="4"/>
        <v/>
      </c>
      <c r="L16" s="9" t="str">
        <f t="shared" si="5"/>
        <v/>
      </c>
      <c r="M16" s="1" t="str">
        <f t="shared" si="6"/>
        <v/>
      </c>
      <c r="N16" s="1" t="str">
        <f t="shared" si="7"/>
        <v/>
      </c>
      <c r="O16" s="1" t="str">
        <f t="shared" si="8"/>
        <v/>
      </c>
      <c r="P16" s="1" t="str">
        <f t="shared" si="9"/>
        <v/>
      </c>
      <c r="Q16" s="1" t="str">
        <f t="shared" si="10"/>
        <v/>
      </c>
      <c r="R16" s="1" t="str">
        <f t="shared" si="11"/>
        <v/>
      </c>
      <c r="S16" s="1" t="str">
        <f t="shared" si="12"/>
        <v/>
      </c>
      <c r="T16" s="1" t="str">
        <f t="shared" si="13"/>
        <v/>
      </c>
      <c r="U16" s="1" t="str">
        <f t="shared" si="14"/>
        <v/>
      </c>
      <c r="V16" s="1" t="str">
        <f t="shared" si="15"/>
        <v/>
      </c>
      <c r="W16" s="26" t="str">
        <f t="shared" si="16"/>
        <v/>
      </c>
      <c r="X16" s="13" t="str">
        <f t="shared" si="17"/>
        <v/>
      </c>
      <c r="Y16" s="9">
        <f t="shared" si="18"/>
        <v>0</v>
      </c>
    </row>
    <row r="17" spans="1:25" x14ac:dyDescent="0.25">
      <c r="A17" s="28"/>
      <c r="B17" s="29"/>
      <c r="C17" s="30"/>
      <c r="D17" s="31"/>
      <c r="E17" s="29" t="s">
        <v>16</v>
      </c>
      <c r="F17" s="13" t="b">
        <f>IF($E17=Categories!$A$1,"",IF($E17=Categories!$A$2,Categories!$B$2,IF($E17=Categories!$A$3,Categories!$B$3,IF($E17=Categories!$A$4,Categories!$B$4,IF($E17=Categories!$A$5,Categories!$B$5,IF($E17=Categories!$A$6,Categories!$B$6,IF($E17=Categories!$A$7,Categories!$B$7,IF($E17=Categories!$A$8,Categories!$B$8,IF($E17=Categories!$A$9,Categories!$B$9,IF($E17=Categories!$A$10,Categories!$B$10,IF($E17=Categories!$A$11,Categories!$B$11,IF($E17=Categories!$A$12,Categories!$B$12,IF($E17=Categories!$A$13,Categories!$B$13,IF($E17=Categories!$A$14,Categories!$B$14,IF($E17=Categories!$A$15,Categories!$B$15,IF($E17=Categories!$A$16,Categories!$B$16,IF($E17=Categories!$A$17,Categories!$B$17,IF($E17=Categories!$A$18,Categories!$B$18,IF($E17=Categories!$A$19,Categories!$B$19)))))))))))))))))))</f>
        <v>0</v>
      </c>
      <c r="G17" s="9" t="str">
        <f t="shared" si="0"/>
        <v/>
      </c>
      <c r="H17" s="1" t="str">
        <f t="shared" si="1"/>
        <v/>
      </c>
      <c r="I17" s="1" t="str">
        <f t="shared" si="2"/>
        <v/>
      </c>
      <c r="J17" s="1" t="str">
        <f t="shared" si="3"/>
        <v/>
      </c>
      <c r="K17" s="13" t="str">
        <f t="shared" si="4"/>
        <v/>
      </c>
      <c r="L17" s="9" t="str">
        <f t="shared" si="5"/>
        <v/>
      </c>
      <c r="M17" s="1" t="str">
        <f t="shared" si="6"/>
        <v/>
      </c>
      <c r="N17" s="1" t="str">
        <f t="shared" si="7"/>
        <v/>
      </c>
      <c r="O17" s="1" t="str">
        <f t="shared" si="8"/>
        <v/>
      </c>
      <c r="P17" s="1" t="str">
        <f t="shared" si="9"/>
        <v/>
      </c>
      <c r="Q17" s="1" t="str">
        <f t="shared" si="10"/>
        <v/>
      </c>
      <c r="R17" s="1" t="str">
        <f t="shared" si="11"/>
        <v/>
      </c>
      <c r="S17" s="1" t="str">
        <f t="shared" si="12"/>
        <v/>
      </c>
      <c r="T17" s="1" t="str">
        <f t="shared" si="13"/>
        <v/>
      </c>
      <c r="U17" s="1" t="str">
        <f t="shared" si="14"/>
        <v/>
      </c>
      <c r="V17" s="1" t="str">
        <f t="shared" si="15"/>
        <v/>
      </c>
      <c r="W17" s="26" t="str">
        <f t="shared" si="16"/>
        <v/>
      </c>
      <c r="X17" s="13" t="str">
        <f t="shared" si="17"/>
        <v/>
      </c>
      <c r="Y17" s="9">
        <f t="shared" si="18"/>
        <v>0</v>
      </c>
    </row>
    <row r="18" spans="1:25" x14ac:dyDescent="0.25">
      <c r="A18" s="28"/>
      <c r="B18" s="29"/>
      <c r="C18" s="30"/>
      <c r="D18" s="31"/>
      <c r="E18" s="29" t="s">
        <v>16</v>
      </c>
      <c r="F18" s="13" t="b">
        <f>IF($E18=Categories!$A$1,"",IF($E18=Categories!$A$2,Categories!$B$2,IF($E18=Categories!$A$3,Categories!$B$3,IF($E18=Categories!$A$4,Categories!$B$4,IF($E18=Categories!$A$5,Categories!$B$5,IF($E18=Categories!$A$6,Categories!$B$6,IF($E18=Categories!$A$7,Categories!$B$7,IF($E18=Categories!$A$8,Categories!$B$8,IF($E18=Categories!$A$9,Categories!$B$9,IF($E18=Categories!$A$10,Categories!$B$10,IF($E18=Categories!$A$11,Categories!$B$11,IF($E18=Categories!$A$12,Categories!$B$12,IF($E18=Categories!$A$13,Categories!$B$13,IF($E18=Categories!$A$14,Categories!$B$14,IF($E18=Categories!$A$15,Categories!$B$15,IF($E18=Categories!$A$16,Categories!$B$16,IF($E18=Categories!$A$17,Categories!$B$17,IF($E18=Categories!$A$18,Categories!$B$18,IF($E18=Categories!$A$19,Categories!$B$19)))))))))))))))))))</f>
        <v>0</v>
      </c>
      <c r="G18" s="9" t="str">
        <f t="shared" si="0"/>
        <v/>
      </c>
      <c r="H18" s="1" t="str">
        <f t="shared" si="1"/>
        <v/>
      </c>
      <c r="I18" s="1" t="str">
        <f t="shared" si="2"/>
        <v/>
      </c>
      <c r="J18" s="1" t="str">
        <f t="shared" si="3"/>
        <v/>
      </c>
      <c r="K18" s="13" t="str">
        <f t="shared" si="4"/>
        <v/>
      </c>
      <c r="L18" s="9" t="str">
        <f t="shared" si="5"/>
        <v/>
      </c>
      <c r="M18" s="1" t="str">
        <f t="shared" si="6"/>
        <v/>
      </c>
      <c r="N18" s="1" t="str">
        <f t="shared" si="7"/>
        <v/>
      </c>
      <c r="O18" s="1" t="str">
        <f t="shared" si="8"/>
        <v/>
      </c>
      <c r="P18" s="1" t="str">
        <f t="shared" si="9"/>
        <v/>
      </c>
      <c r="Q18" s="1" t="str">
        <f t="shared" si="10"/>
        <v/>
      </c>
      <c r="R18" s="1" t="str">
        <f t="shared" si="11"/>
        <v/>
      </c>
      <c r="S18" s="1" t="str">
        <f t="shared" si="12"/>
        <v/>
      </c>
      <c r="T18" s="1" t="str">
        <f t="shared" si="13"/>
        <v/>
      </c>
      <c r="U18" s="1" t="str">
        <f t="shared" si="14"/>
        <v/>
      </c>
      <c r="V18" s="1" t="str">
        <f t="shared" si="15"/>
        <v/>
      </c>
      <c r="W18" s="26" t="str">
        <f t="shared" si="16"/>
        <v/>
      </c>
      <c r="X18" s="13" t="str">
        <f t="shared" si="17"/>
        <v/>
      </c>
      <c r="Y18" s="9">
        <f t="shared" si="18"/>
        <v>0</v>
      </c>
    </row>
    <row r="19" spans="1:25" x14ac:dyDescent="0.25">
      <c r="A19" s="28"/>
      <c r="B19" s="29"/>
      <c r="C19" s="30"/>
      <c r="D19" s="31"/>
      <c r="E19" s="29" t="s">
        <v>16</v>
      </c>
      <c r="F19" s="13" t="b">
        <f>IF($E19=Categories!$A$1,"",IF($E19=Categories!$A$2,Categories!$B$2,IF($E19=Categories!$A$3,Categories!$B$3,IF($E19=Categories!$A$4,Categories!$B$4,IF($E19=Categories!$A$5,Categories!$B$5,IF($E19=Categories!$A$6,Categories!$B$6,IF($E19=Categories!$A$7,Categories!$B$7,IF($E19=Categories!$A$8,Categories!$B$8,IF($E19=Categories!$A$9,Categories!$B$9,IF($E19=Categories!$A$10,Categories!$B$10,IF($E19=Categories!$A$11,Categories!$B$11,IF($E19=Categories!$A$12,Categories!$B$12,IF($E19=Categories!$A$13,Categories!$B$13,IF($E19=Categories!$A$14,Categories!$B$14,IF($E19=Categories!$A$15,Categories!$B$15,IF($E19=Categories!$A$16,Categories!$B$16,IF($E19=Categories!$A$17,Categories!$B$17,IF($E19=Categories!$A$18,Categories!$B$18,IF($E19=Categories!$A$19,Categories!$B$19)))))))))))))))))))</f>
        <v>0</v>
      </c>
      <c r="G19" s="9" t="str">
        <f t="shared" si="0"/>
        <v/>
      </c>
      <c r="H19" s="1" t="str">
        <f t="shared" si="1"/>
        <v/>
      </c>
      <c r="I19" s="1" t="str">
        <f t="shared" si="2"/>
        <v/>
      </c>
      <c r="J19" s="1" t="str">
        <f t="shared" si="3"/>
        <v/>
      </c>
      <c r="K19" s="13" t="str">
        <f t="shared" si="4"/>
        <v/>
      </c>
      <c r="L19" s="9" t="str">
        <f t="shared" si="5"/>
        <v/>
      </c>
      <c r="M19" s="1" t="str">
        <f t="shared" si="6"/>
        <v/>
      </c>
      <c r="N19" s="1" t="str">
        <f t="shared" si="7"/>
        <v/>
      </c>
      <c r="O19" s="1" t="str">
        <f t="shared" si="8"/>
        <v/>
      </c>
      <c r="P19" s="1" t="str">
        <f t="shared" si="9"/>
        <v/>
      </c>
      <c r="Q19" s="1" t="str">
        <f t="shared" si="10"/>
        <v/>
      </c>
      <c r="R19" s="1" t="str">
        <f t="shared" si="11"/>
        <v/>
      </c>
      <c r="S19" s="1" t="str">
        <f t="shared" si="12"/>
        <v/>
      </c>
      <c r="T19" s="1" t="str">
        <f t="shared" si="13"/>
        <v/>
      </c>
      <c r="U19" s="1" t="str">
        <f t="shared" si="14"/>
        <v/>
      </c>
      <c r="V19" s="1" t="str">
        <f t="shared" si="15"/>
        <v/>
      </c>
      <c r="W19" s="26" t="str">
        <f t="shared" si="16"/>
        <v/>
      </c>
      <c r="X19" s="13" t="str">
        <f t="shared" si="17"/>
        <v/>
      </c>
      <c r="Y19" s="9">
        <f t="shared" si="18"/>
        <v>0</v>
      </c>
    </row>
    <row r="20" spans="1:25" x14ac:dyDescent="0.25">
      <c r="A20" s="28"/>
      <c r="B20" s="29"/>
      <c r="C20" s="30"/>
      <c r="D20" s="31"/>
      <c r="E20" s="29" t="s">
        <v>16</v>
      </c>
      <c r="F20" s="13" t="b">
        <f>IF($E20=Categories!$A$1,"",IF($E20=Categories!$A$2,Categories!$B$2,IF($E20=Categories!$A$3,Categories!$B$3,IF($E20=Categories!$A$4,Categories!$B$4,IF($E20=Categories!$A$5,Categories!$B$5,IF($E20=Categories!$A$6,Categories!$B$6,IF($E20=Categories!$A$7,Categories!$B$7,IF($E20=Categories!$A$8,Categories!$B$8,IF($E20=Categories!$A$9,Categories!$B$9,IF($E20=Categories!$A$10,Categories!$B$10,IF($E20=Categories!$A$11,Categories!$B$11,IF($E20=Categories!$A$12,Categories!$B$12,IF($E20=Categories!$A$13,Categories!$B$13,IF($E20=Categories!$A$14,Categories!$B$14,IF($E20=Categories!$A$15,Categories!$B$15,IF($E20=Categories!$A$16,Categories!$B$16,IF($E20=Categories!$A$17,Categories!$B$17,IF($E20=Categories!$A$18,Categories!$B$18,IF($E20=Categories!$A$19,Categories!$B$19)))))))))))))))))))</f>
        <v>0</v>
      </c>
      <c r="G20" s="9" t="str">
        <f t="shared" si="0"/>
        <v/>
      </c>
      <c r="H20" s="1" t="str">
        <f t="shared" si="1"/>
        <v/>
      </c>
      <c r="I20" s="1" t="str">
        <f t="shared" si="2"/>
        <v/>
      </c>
      <c r="J20" s="1" t="str">
        <f t="shared" si="3"/>
        <v/>
      </c>
      <c r="K20" s="13" t="str">
        <f t="shared" si="4"/>
        <v/>
      </c>
      <c r="L20" s="9" t="str">
        <f t="shared" si="5"/>
        <v/>
      </c>
      <c r="M20" s="1" t="str">
        <f t="shared" si="6"/>
        <v/>
      </c>
      <c r="N20" s="1" t="str">
        <f t="shared" si="7"/>
        <v/>
      </c>
      <c r="O20" s="1" t="str">
        <f t="shared" si="8"/>
        <v/>
      </c>
      <c r="P20" s="1" t="str">
        <f t="shared" si="9"/>
        <v/>
      </c>
      <c r="Q20" s="1" t="str">
        <f t="shared" si="10"/>
        <v/>
      </c>
      <c r="R20" s="1" t="str">
        <f t="shared" si="11"/>
        <v/>
      </c>
      <c r="S20" s="1" t="str">
        <f t="shared" si="12"/>
        <v/>
      </c>
      <c r="T20" s="1" t="str">
        <f t="shared" si="13"/>
        <v/>
      </c>
      <c r="U20" s="1" t="str">
        <f t="shared" si="14"/>
        <v/>
      </c>
      <c r="V20" s="1" t="str">
        <f t="shared" si="15"/>
        <v/>
      </c>
      <c r="W20" s="26" t="str">
        <f t="shared" si="16"/>
        <v/>
      </c>
      <c r="X20" s="13" t="str">
        <f t="shared" si="17"/>
        <v/>
      </c>
      <c r="Y20" s="9">
        <f t="shared" si="18"/>
        <v>0</v>
      </c>
    </row>
    <row r="21" spans="1:25" x14ac:dyDescent="0.25">
      <c r="A21" s="28"/>
      <c r="B21" s="29"/>
      <c r="C21" s="30"/>
      <c r="D21" s="31"/>
      <c r="E21" s="29" t="s">
        <v>16</v>
      </c>
      <c r="F21" s="13" t="b">
        <f>IF($E21=Categories!$A$1,"",IF($E21=Categories!$A$2,Categories!$B$2,IF($E21=Categories!$A$3,Categories!$B$3,IF($E21=Categories!$A$4,Categories!$B$4,IF($E21=Categories!$A$5,Categories!$B$5,IF($E21=Categories!$A$6,Categories!$B$6,IF($E21=Categories!$A$7,Categories!$B$7,IF($E21=Categories!$A$8,Categories!$B$8,IF($E21=Categories!$A$9,Categories!$B$9,IF($E21=Categories!$A$10,Categories!$B$10,IF($E21=Categories!$A$11,Categories!$B$11,IF($E21=Categories!$A$12,Categories!$B$12,IF($E21=Categories!$A$13,Categories!$B$13,IF($E21=Categories!$A$14,Categories!$B$14,IF($E21=Categories!$A$15,Categories!$B$15,IF($E21=Categories!$A$16,Categories!$B$16,IF($E21=Categories!$A$17,Categories!$B$17,IF($E21=Categories!$A$18,Categories!$B$18,IF($E21=Categories!$A$19,Categories!$B$19)))))))))))))))))))</f>
        <v>0</v>
      </c>
      <c r="G21" s="9" t="str">
        <f t="shared" si="0"/>
        <v/>
      </c>
      <c r="H21" s="1" t="str">
        <f t="shared" si="1"/>
        <v/>
      </c>
      <c r="I21" s="1" t="str">
        <f t="shared" si="2"/>
        <v/>
      </c>
      <c r="J21" s="1" t="str">
        <f t="shared" si="3"/>
        <v/>
      </c>
      <c r="K21" s="13" t="str">
        <f t="shared" si="4"/>
        <v/>
      </c>
      <c r="L21" s="9" t="str">
        <f t="shared" si="5"/>
        <v/>
      </c>
      <c r="M21" s="1" t="str">
        <f t="shared" si="6"/>
        <v/>
      </c>
      <c r="N21" s="1" t="str">
        <f t="shared" si="7"/>
        <v/>
      </c>
      <c r="O21" s="1" t="str">
        <f t="shared" si="8"/>
        <v/>
      </c>
      <c r="P21" s="1" t="str">
        <f t="shared" si="9"/>
        <v/>
      </c>
      <c r="Q21" s="1" t="str">
        <f t="shared" si="10"/>
        <v/>
      </c>
      <c r="R21" s="1" t="str">
        <f t="shared" si="11"/>
        <v/>
      </c>
      <c r="S21" s="1" t="str">
        <f t="shared" si="12"/>
        <v/>
      </c>
      <c r="T21" s="1" t="str">
        <f t="shared" si="13"/>
        <v/>
      </c>
      <c r="U21" s="1" t="str">
        <f t="shared" si="14"/>
        <v/>
      </c>
      <c r="V21" s="1" t="str">
        <f t="shared" si="15"/>
        <v/>
      </c>
      <c r="W21" s="26" t="str">
        <f t="shared" si="16"/>
        <v/>
      </c>
      <c r="X21" s="13" t="str">
        <f t="shared" si="17"/>
        <v/>
      </c>
      <c r="Y21" s="9">
        <f t="shared" si="18"/>
        <v>0</v>
      </c>
    </row>
    <row r="22" spans="1:25" x14ac:dyDescent="0.25">
      <c r="A22" s="28"/>
      <c r="B22" s="29"/>
      <c r="C22" s="30"/>
      <c r="D22" s="31"/>
      <c r="E22" s="29" t="s">
        <v>16</v>
      </c>
      <c r="F22" s="13" t="b">
        <f>IF($E22=Categories!$A$1,"",IF($E22=Categories!$A$2,Categories!$B$2,IF($E22=Categories!$A$3,Categories!$B$3,IF($E22=Categories!$A$4,Categories!$B$4,IF($E22=Categories!$A$5,Categories!$B$5,IF($E22=Categories!$A$6,Categories!$B$6,IF($E22=Categories!$A$7,Categories!$B$7,IF($E22=Categories!$A$8,Categories!$B$8,IF($E22=Categories!$A$9,Categories!$B$9,IF($E22=Categories!$A$10,Categories!$B$10,IF($E22=Categories!$A$11,Categories!$B$11,IF($E22=Categories!$A$12,Categories!$B$12,IF($E22=Categories!$A$13,Categories!$B$13,IF($E22=Categories!$A$14,Categories!$B$14,IF($E22=Categories!$A$15,Categories!$B$15,IF($E22=Categories!$A$16,Categories!$B$16,IF($E22=Categories!$A$17,Categories!$B$17,IF($E22=Categories!$A$18,Categories!$B$18,IF($E22=Categories!$A$19,Categories!$B$19)))))))))))))))))))</f>
        <v>0</v>
      </c>
      <c r="G22" s="9" t="str">
        <f t="shared" si="0"/>
        <v/>
      </c>
      <c r="H22" s="1" t="str">
        <f t="shared" si="1"/>
        <v/>
      </c>
      <c r="I22" s="1" t="str">
        <f t="shared" si="2"/>
        <v/>
      </c>
      <c r="J22" s="1" t="str">
        <f t="shared" si="3"/>
        <v/>
      </c>
      <c r="K22" s="13" t="str">
        <f t="shared" si="4"/>
        <v/>
      </c>
      <c r="L22" s="9" t="str">
        <f t="shared" si="5"/>
        <v/>
      </c>
      <c r="M22" s="1" t="str">
        <f t="shared" si="6"/>
        <v/>
      </c>
      <c r="N22" s="1" t="str">
        <f t="shared" si="7"/>
        <v/>
      </c>
      <c r="O22" s="1" t="str">
        <f t="shared" si="8"/>
        <v/>
      </c>
      <c r="P22" s="1" t="str">
        <f t="shared" si="9"/>
        <v/>
      </c>
      <c r="Q22" s="1" t="str">
        <f t="shared" si="10"/>
        <v/>
      </c>
      <c r="R22" s="1" t="str">
        <f t="shared" si="11"/>
        <v/>
      </c>
      <c r="S22" s="1" t="str">
        <f t="shared" si="12"/>
        <v/>
      </c>
      <c r="T22" s="1" t="str">
        <f t="shared" si="13"/>
        <v/>
      </c>
      <c r="U22" s="1" t="str">
        <f t="shared" si="14"/>
        <v/>
      </c>
      <c r="V22" s="1" t="str">
        <f t="shared" si="15"/>
        <v/>
      </c>
      <c r="W22" s="26" t="str">
        <f t="shared" si="16"/>
        <v/>
      </c>
      <c r="X22" s="13" t="str">
        <f t="shared" si="17"/>
        <v/>
      </c>
      <c r="Y22" s="9">
        <f t="shared" si="18"/>
        <v>0</v>
      </c>
    </row>
    <row r="23" spans="1:25" x14ac:dyDescent="0.25">
      <c r="A23" s="28"/>
      <c r="B23" s="29"/>
      <c r="C23" s="30"/>
      <c r="D23" s="31"/>
      <c r="E23" s="29" t="s">
        <v>16</v>
      </c>
      <c r="F23" s="13" t="b">
        <f>IF($E23=Categories!$A$1,"",IF($E23=Categories!$A$2,Categories!$B$2,IF($E23=Categories!$A$3,Categories!$B$3,IF($E23=Categories!$A$4,Categories!$B$4,IF($E23=Categories!$A$5,Categories!$B$5,IF($E23=Categories!$A$6,Categories!$B$6,IF($E23=Categories!$A$7,Categories!$B$7,IF($E23=Categories!$A$8,Categories!$B$8,IF($E23=Categories!$A$9,Categories!$B$9,IF($E23=Categories!$A$10,Categories!$B$10,IF($E23=Categories!$A$11,Categories!$B$11,IF($E23=Categories!$A$12,Categories!$B$12,IF($E23=Categories!$A$13,Categories!$B$13,IF($E23=Categories!$A$14,Categories!$B$14,IF($E23=Categories!$A$15,Categories!$B$15,IF($E23=Categories!$A$16,Categories!$B$16,IF($E23=Categories!$A$17,Categories!$B$17,IF($E23=Categories!$A$18,Categories!$B$18,IF($E23=Categories!$A$19,Categories!$B$19)))))))))))))))))))</f>
        <v>0</v>
      </c>
      <c r="G23" s="9" t="str">
        <f t="shared" si="0"/>
        <v/>
      </c>
      <c r="H23" s="1" t="str">
        <f t="shared" si="1"/>
        <v/>
      </c>
      <c r="I23" s="1" t="str">
        <f t="shared" si="2"/>
        <v/>
      </c>
      <c r="J23" s="1" t="str">
        <f t="shared" si="3"/>
        <v/>
      </c>
      <c r="K23" s="13" t="str">
        <f t="shared" si="4"/>
        <v/>
      </c>
      <c r="L23" s="9" t="str">
        <f t="shared" si="5"/>
        <v/>
      </c>
      <c r="M23" s="1" t="str">
        <f t="shared" si="6"/>
        <v/>
      </c>
      <c r="N23" s="1" t="str">
        <f t="shared" si="7"/>
        <v/>
      </c>
      <c r="O23" s="1" t="str">
        <f t="shared" si="8"/>
        <v/>
      </c>
      <c r="P23" s="1" t="str">
        <f t="shared" si="9"/>
        <v/>
      </c>
      <c r="Q23" s="1" t="str">
        <f t="shared" si="10"/>
        <v/>
      </c>
      <c r="R23" s="1" t="str">
        <f t="shared" si="11"/>
        <v/>
      </c>
      <c r="S23" s="1" t="str">
        <f t="shared" si="12"/>
        <v/>
      </c>
      <c r="T23" s="1" t="str">
        <f t="shared" si="13"/>
        <v/>
      </c>
      <c r="U23" s="1" t="str">
        <f t="shared" si="14"/>
        <v/>
      </c>
      <c r="V23" s="1" t="str">
        <f t="shared" si="15"/>
        <v/>
      </c>
      <c r="W23" s="26" t="str">
        <f t="shared" si="16"/>
        <v/>
      </c>
      <c r="X23" s="13" t="str">
        <f t="shared" si="17"/>
        <v/>
      </c>
      <c r="Y23" s="9">
        <f t="shared" si="18"/>
        <v>0</v>
      </c>
    </row>
    <row r="24" spans="1:25" x14ac:dyDescent="0.25">
      <c r="A24" s="28"/>
      <c r="B24" s="29"/>
      <c r="C24" s="30"/>
      <c r="D24" s="31"/>
      <c r="E24" s="29" t="s">
        <v>16</v>
      </c>
      <c r="F24" s="13" t="b">
        <f>IF($E24=Categories!$A$1,"",IF($E24=Categories!$A$2,Categories!$B$2,IF($E24=Categories!$A$3,Categories!$B$3,IF($E24=Categories!$A$4,Categories!$B$4,IF($E24=Categories!$A$5,Categories!$B$5,IF($E24=Categories!$A$6,Categories!$B$6,IF($E24=Categories!$A$7,Categories!$B$7,IF($E24=Categories!$A$8,Categories!$B$8,IF($E24=Categories!$A$9,Categories!$B$9,IF($E24=Categories!$A$10,Categories!$B$10,IF($E24=Categories!$A$11,Categories!$B$11,IF($E24=Categories!$A$12,Categories!$B$12,IF($E24=Categories!$A$13,Categories!$B$13,IF($E24=Categories!$A$14,Categories!$B$14,IF($E24=Categories!$A$15,Categories!$B$15,IF($E24=Categories!$A$16,Categories!$B$16,IF($E24=Categories!$A$17,Categories!$B$17,IF($E24=Categories!$A$18,Categories!$B$18,IF($E24=Categories!$A$19,Categories!$B$19)))))))))))))))))))</f>
        <v>0</v>
      </c>
      <c r="G24" s="9" t="str">
        <f t="shared" si="0"/>
        <v/>
      </c>
      <c r="H24" s="1" t="str">
        <f t="shared" si="1"/>
        <v/>
      </c>
      <c r="I24" s="1" t="str">
        <f t="shared" si="2"/>
        <v/>
      </c>
      <c r="J24" s="1" t="str">
        <f t="shared" si="3"/>
        <v/>
      </c>
      <c r="K24" s="13" t="str">
        <f t="shared" si="4"/>
        <v/>
      </c>
      <c r="L24" s="9" t="str">
        <f t="shared" si="5"/>
        <v/>
      </c>
      <c r="M24" s="1" t="str">
        <f t="shared" si="6"/>
        <v/>
      </c>
      <c r="N24" s="1" t="str">
        <f t="shared" si="7"/>
        <v/>
      </c>
      <c r="O24" s="1" t="str">
        <f t="shared" si="8"/>
        <v/>
      </c>
      <c r="P24" s="1" t="str">
        <f t="shared" si="9"/>
        <v/>
      </c>
      <c r="Q24" s="1" t="str">
        <f t="shared" si="10"/>
        <v/>
      </c>
      <c r="R24" s="1" t="str">
        <f t="shared" si="11"/>
        <v/>
      </c>
      <c r="S24" s="1" t="str">
        <f t="shared" si="12"/>
        <v/>
      </c>
      <c r="T24" s="1" t="str">
        <f t="shared" si="13"/>
        <v/>
      </c>
      <c r="U24" s="1" t="str">
        <f t="shared" si="14"/>
        <v/>
      </c>
      <c r="V24" s="1" t="str">
        <f t="shared" si="15"/>
        <v/>
      </c>
      <c r="W24" s="26" t="str">
        <f t="shared" si="16"/>
        <v/>
      </c>
      <c r="X24" s="13" t="str">
        <f t="shared" si="17"/>
        <v/>
      </c>
      <c r="Y24" s="9">
        <f t="shared" si="18"/>
        <v>0</v>
      </c>
    </row>
    <row r="25" spans="1:25" x14ac:dyDescent="0.25">
      <c r="A25" s="28"/>
      <c r="B25" s="29"/>
      <c r="C25" s="30"/>
      <c r="D25" s="31"/>
      <c r="E25" s="29" t="s">
        <v>16</v>
      </c>
      <c r="F25" s="13" t="b">
        <f>IF($E25=Categories!$A$1,"",IF($E25=Categories!$A$2,Categories!$B$2,IF($E25=Categories!$A$3,Categories!$B$3,IF($E25=Categories!$A$4,Categories!$B$4,IF($E25=Categories!$A$5,Categories!$B$5,IF($E25=Categories!$A$6,Categories!$B$6,IF($E25=Categories!$A$7,Categories!$B$7,IF($E25=Categories!$A$8,Categories!$B$8,IF($E25=Categories!$A$9,Categories!$B$9,IF($E25=Categories!$A$10,Categories!$B$10,IF($E25=Categories!$A$11,Categories!$B$11,IF($E25=Categories!$A$12,Categories!$B$12,IF($E25=Categories!$A$13,Categories!$B$13,IF($E25=Categories!$A$14,Categories!$B$14,IF($E25=Categories!$A$15,Categories!$B$15,IF($E25=Categories!$A$16,Categories!$B$16,IF($E25=Categories!$A$17,Categories!$B$17,IF($E25=Categories!$A$18,Categories!$B$18,IF($E25=Categories!$A$19,Categories!$B$19)))))))))))))))))))</f>
        <v>0</v>
      </c>
      <c r="G25" s="9" t="str">
        <f t="shared" si="0"/>
        <v/>
      </c>
      <c r="H25" s="1" t="str">
        <f t="shared" si="1"/>
        <v/>
      </c>
      <c r="I25" s="1" t="str">
        <f t="shared" si="2"/>
        <v/>
      </c>
      <c r="J25" s="1" t="str">
        <f t="shared" si="3"/>
        <v/>
      </c>
      <c r="K25" s="13" t="str">
        <f t="shared" si="4"/>
        <v/>
      </c>
      <c r="L25" s="9" t="str">
        <f t="shared" si="5"/>
        <v/>
      </c>
      <c r="M25" s="1" t="str">
        <f t="shared" si="6"/>
        <v/>
      </c>
      <c r="N25" s="1" t="str">
        <f t="shared" si="7"/>
        <v/>
      </c>
      <c r="O25" s="1" t="str">
        <f t="shared" si="8"/>
        <v/>
      </c>
      <c r="P25" s="1" t="str">
        <f t="shared" si="9"/>
        <v/>
      </c>
      <c r="Q25" s="1" t="str">
        <f t="shared" si="10"/>
        <v/>
      </c>
      <c r="R25" s="1" t="str">
        <f t="shared" si="11"/>
        <v/>
      </c>
      <c r="S25" s="1" t="str">
        <f t="shared" si="12"/>
        <v/>
      </c>
      <c r="T25" s="1" t="str">
        <f t="shared" si="13"/>
        <v/>
      </c>
      <c r="U25" s="1" t="str">
        <f t="shared" si="14"/>
        <v/>
      </c>
      <c r="V25" s="1" t="str">
        <f t="shared" si="15"/>
        <v/>
      </c>
      <c r="W25" s="26" t="str">
        <f t="shared" si="16"/>
        <v/>
      </c>
      <c r="X25" s="13" t="str">
        <f t="shared" si="17"/>
        <v/>
      </c>
      <c r="Y25" s="9">
        <f t="shared" si="18"/>
        <v>0</v>
      </c>
    </row>
    <row r="26" spans="1:25" x14ac:dyDescent="0.25">
      <c r="A26" s="28"/>
      <c r="B26" s="29"/>
      <c r="C26" s="30"/>
      <c r="D26" s="31"/>
      <c r="E26" s="29" t="s">
        <v>16</v>
      </c>
      <c r="F26" s="13" t="b">
        <f>IF($E26=Categories!$A$1,"",IF($E26=Categories!$A$2,Categories!$B$2,IF($E26=Categories!$A$3,Categories!$B$3,IF($E26=Categories!$A$4,Categories!$B$4,IF($E26=Categories!$A$5,Categories!$B$5,IF($E26=Categories!$A$6,Categories!$B$6,IF($E26=Categories!$A$7,Categories!$B$7,IF($E26=Categories!$A$8,Categories!$B$8,IF($E26=Categories!$A$9,Categories!$B$9,IF($E26=Categories!$A$10,Categories!$B$10,IF($E26=Categories!$A$11,Categories!$B$11,IF($E26=Categories!$A$12,Categories!$B$12,IF($E26=Categories!$A$13,Categories!$B$13,IF($E26=Categories!$A$14,Categories!$B$14,IF($E26=Categories!$A$15,Categories!$B$15,IF($E26=Categories!$A$16,Categories!$B$16,IF($E26=Categories!$A$17,Categories!$B$17,IF($E26=Categories!$A$18,Categories!$B$18,IF($E26=Categories!$A$19,Categories!$B$19)))))))))))))))))))</f>
        <v>0</v>
      </c>
      <c r="G26" s="9" t="str">
        <f t="shared" si="0"/>
        <v/>
      </c>
      <c r="H26" s="1" t="str">
        <f t="shared" si="1"/>
        <v/>
      </c>
      <c r="I26" s="1" t="str">
        <f t="shared" si="2"/>
        <v/>
      </c>
      <c r="J26" s="1" t="str">
        <f t="shared" si="3"/>
        <v/>
      </c>
      <c r="K26" s="13" t="str">
        <f t="shared" si="4"/>
        <v/>
      </c>
      <c r="L26" s="9" t="str">
        <f t="shared" si="5"/>
        <v/>
      </c>
      <c r="M26" s="1" t="str">
        <f t="shared" si="6"/>
        <v/>
      </c>
      <c r="N26" s="1" t="str">
        <f t="shared" si="7"/>
        <v/>
      </c>
      <c r="O26" s="1" t="str">
        <f t="shared" si="8"/>
        <v/>
      </c>
      <c r="P26" s="1" t="str">
        <f t="shared" si="9"/>
        <v/>
      </c>
      <c r="Q26" s="1" t="str">
        <f t="shared" si="10"/>
        <v/>
      </c>
      <c r="R26" s="1" t="str">
        <f t="shared" si="11"/>
        <v/>
      </c>
      <c r="S26" s="1" t="str">
        <f t="shared" si="12"/>
        <v/>
      </c>
      <c r="T26" s="1" t="str">
        <f t="shared" si="13"/>
        <v/>
      </c>
      <c r="U26" s="1" t="str">
        <f t="shared" si="14"/>
        <v/>
      </c>
      <c r="V26" s="1" t="str">
        <f t="shared" si="15"/>
        <v/>
      </c>
      <c r="W26" s="26" t="str">
        <f t="shared" si="16"/>
        <v/>
      </c>
      <c r="X26" s="13" t="str">
        <f t="shared" si="17"/>
        <v/>
      </c>
      <c r="Y26" s="9">
        <f t="shared" si="18"/>
        <v>0</v>
      </c>
    </row>
    <row r="27" spans="1:25" x14ac:dyDescent="0.25">
      <c r="A27" s="28"/>
      <c r="B27" s="29"/>
      <c r="C27" s="30"/>
      <c r="D27" s="31"/>
      <c r="E27" s="29" t="s">
        <v>16</v>
      </c>
      <c r="F27" s="13" t="b">
        <f>IF($E27=Categories!$A$1,"",IF($E27=Categories!$A$2,Categories!$B$2,IF($E27=Categories!$A$3,Categories!$B$3,IF($E27=Categories!$A$4,Categories!$B$4,IF($E27=Categories!$A$5,Categories!$B$5,IF($E27=Categories!$A$6,Categories!$B$6,IF($E27=Categories!$A$7,Categories!$B$7,IF($E27=Categories!$A$8,Categories!$B$8,IF($E27=Categories!$A$9,Categories!$B$9,IF($E27=Categories!$A$10,Categories!$B$10,IF($E27=Categories!$A$11,Categories!$B$11,IF($E27=Categories!$A$12,Categories!$B$12,IF($E27=Categories!$A$13,Categories!$B$13,IF($E27=Categories!$A$14,Categories!$B$14,IF($E27=Categories!$A$15,Categories!$B$15,IF($E27=Categories!$A$16,Categories!$B$16,IF($E27=Categories!$A$17,Categories!$B$17,IF($E27=Categories!$A$18,Categories!$B$18,IF($E27=Categories!$A$19,Categories!$B$19)))))))))))))))))))</f>
        <v>0</v>
      </c>
      <c r="G27" s="9" t="str">
        <f t="shared" si="0"/>
        <v/>
      </c>
      <c r="H27" s="1" t="str">
        <f t="shared" si="1"/>
        <v/>
      </c>
      <c r="I27" s="1" t="str">
        <f t="shared" si="2"/>
        <v/>
      </c>
      <c r="J27" s="1" t="str">
        <f t="shared" si="3"/>
        <v/>
      </c>
      <c r="K27" s="13" t="str">
        <f t="shared" si="4"/>
        <v/>
      </c>
      <c r="L27" s="9" t="str">
        <f t="shared" si="5"/>
        <v/>
      </c>
      <c r="M27" s="1" t="str">
        <f t="shared" si="6"/>
        <v/>
      </c>
      <c r="N27" s="1" t="str">
        <f t="shared" si="7"/>
        <v/>
      </c>
      <c r="O27" s="1" t="str">
        <f t="shared" si="8"/>
        <v/>
      </c>
      <c r="P27" s="1" t="str">
        <f t="shared" si="9"/>
        <v/>
      </c>
      <c r="Q27" s="1" t="str">
        <f t="shared" si="10"/>
        <v/>
      </c>
      <c r="R27" s="1" t="str">
        <f t="shared" si="11"/>
        <v/>
      </c>
      <c r="S27" s="1" t="str">
        <f t="shared" si="12"/>
        <v/>
      </c>
      <c r="T27" s="1" t="str">
        <f t="shared" si="13"/>
        <v/>
      </c>
      <c r="U27" s="1" t="str">
        <f t="shared" si="14"/>
        <v/>
      </c>
      <c r="V27" s="1" t="str">
        <f t="shared" si="15"/>
        <v/>
      </c>
      <c r="W27" s="26" t="str">
        <f t="shared" si="16"/>
        <v/>
      </c>
      <c r="X27" s="13" t="str">
        <f t="shared" si="17"/>
        <v/>
      </c>
      <c r="Y27" s="9">
        <f t="shared" si="18"/>
        <v>0</v>
      </c>
    </row>
    <row r="28" spans="1:25" x14ac:dyDescent="0.25">
      <c r="A28" s="28"/>
      <c r="B28" s="29"/>
      <c r="C28" s="30"/>
      <c r="D28" s="31"/>
      <c r="E28" s="29" t="s">
        <v>16</v>
      </c>
      <c r="F28" s="13" t="b">
        <f>IF($E28=Categories!$A$1,"",IF($E28=Categories!$A$2,Categories!$B$2,IF($E28=Categories!$A$3,Categories!$B$3,IF($E28=Categories!$A$4,Categories!$B$4,IF($E28=Categories!$A$5,Categories!$B$5,IF($E28=Categories!$A$6,Categories!$B$6,IF($E28=Categories!$A$7,Categories!$B$7,IF($E28=Categories!$A$8,Categories!$B$8,IF($E28=Categories!$A$9,Categories!$B$9,IF($E28=Categories!$A$10,Categories!$B$10,IF($E28=Categories!$A$11,Categories!$B$11,IF($E28=Categories!$A$12,Categories!$B$12,IF($E28=Categories!$A$13,Categories!$B$13,IF($E28=Categories!$A$14,Categories!$B$14,IF($E28=Categories!$A$15,Categories!$B$15,IF($E28=Categories!$A$16,Categories!$B$16,IF($E28=Categories!$A$17,Categories!$B$17,IF($E28=Categories!$A$18,Categories!$B$18,IF($E28=Categories!$A$19,Categories!$B$19)))))))))))))))))))</f>
        <v>0</v>
      </c>
      <c r="G28" s="9" t="str">
        <f t="shared" si="0"/>
        <v/>
      </c>
      <c r="H28" s="1" t="str">
        <f t="shared" si="1"/>
        <v/>
      </c>
      <c r="I28" s="1" t="str">
        <f t="shared" si="2"/>
        <v/>
      </c>
      <c r="J28" s="1" t="str">
        <f t="shared" si="3"/>
        <v/>
      </c>
      <c r="K28" s="13" t="str">
        <f t="shared" si="4"/>
        <v/>
      </c>
      <c r="L28" s="9" t="str">
        <f t="shared" si="5"/>
        <v/>
      </c>
      <c r="M28" s="1" t="str">
        <f t="shared" si="6"/>
        <v/>
      </c>
      <c r="N28" s="1" t="str">
        <f t="shared" si="7"/>
        <v/>
      </c>
      <c r="O28" s="1" t="str">
        <f t="shared" si="8"/>
        <v/>
      </c>
      <c r="P28" s="1" t="str">
        <f t="shared" si="9"/>
        <v/>
      </c>
      <c r="Q28" s="1" t="str">
        <f t="shared" si="10"/>
        <v/>
      </c>
      <c r="R28" s="1" t="str">
        <f t="shared" si="11"/>
        <v/>
      </c>
      <c r="S28" s="1" t="str">
        <f t="shared" si="12"/>
        <v/>
      </c>
      <c r="T28" s="1" t="str">
        <f t="shared" si="13"/>
        <v/>
      </c>
      <c r="U28" s="1" t="str">
        <f t="shared" si="14"/>
        <v/>
      </c>
      <c r="V28" s="1" t="str">
        <f t="shared" si="15"/>
        <v/>
      </c>
      <c r="W28" s="26" t="str">
        <f t="shared" si="16"/>
        <v/>
      </c>
      <c r="X28" s="13" t="str">
        <f t="shared" si="17"/>
        <v/>
      </c>
      <c r="Y28" s="9">
        <f t="shared" si="18"/>
        <v>0</v>
      </c>
    </row>
    <row r="29" spans="1:25" x14ac:dyDescent="0.25">
      <c r="A29" s="28"/>
      <c r="B29" s="29"/>
      <c r="C29" s="30"/>
      <c r="D29" s="31"/>
      <c r="E29" s="29" t="s">
        <v>16</v>
      </c>
      <c r="F29" s="13" t="b">
        <f>IF($E29=Categories!$A$1,"",IF($E29=Categories!$A$2,Categories!$B$2,IF($E29=Categories!$A$3,Categories!$B$3,IF($E29=Categories!$A$4,Categories!$B$4,IF($E29=Categories!$A$5,Categories!$B$5,IF($E29=Categories!$A$6,Categories!$B$6,IF($E29=Categories!$A$7,Categories!$B$7,IF($E29=Categories!$A$8,Categories!$B$8,IF($E29=Categories!$A$9,Categories!$B$9,IF($E29=Categories!$A$10,Categories!$B$10,IF($E29=Categories!$A$11,Categories!$B$11,IF($E29=Categories!$A$12,Categories!$B$12,IF($E29=Categories!$A$13,Categories!$B$13,IF($E29=Categories!$A$14,Categories!$B$14,IF($E29=Categories!$A$15,Categories!$B$15,IF($E29=Categories!$A$16,Categories!$B$16,IF($E29=Categories!$A$17,Categories!$B$17,IF($E29=Categories!$A$18,Categories!$B$18,IF($E29=Categories!$A$19,Categories!$B$19)))))))))))))))))))</f>
        <v>0</v>
      </c>
      <c r="G29" s="9" t="str">
        <f t="shared" si="0"/>
        <v/>
      </c>
      <c r="H29" s="1" t="str">
        <f t="shared" si="1"/>
        <v/>
      </c>
      <c r="I29" s="1" t="str">
        <f t="shared" si="2"/>
        <v/>
      </c>
      <c r="J29" s="1" t="str">
        <f t="shared" si="3"/>
        <v/>
      </c>
      <c r="K29" s="13" t="str">
        <f t="shared" si="4"/>
        <v/>
      </c>
      <c r="L29" s="9" t="str">
        <f t="shared" si="5"/>
        <v/>
      </c>
      <c r="M29" s="1" t="str">
        <f t="shared" si="6"/>
        <v/>
      </c>
      <c r="N29" s="1" t="str">
        <f t="shared" si="7"/>
        <v/>
      </c>
      <c r="O29" s="1" t="str">
        <f t="shared" si="8"/>
        <v/>
      </c>
      <c r="P29" s="1" t="str">
        <f t="shared" si="9"/>
        <v/>
      </c>
      <c r="Q29" s="1" t="str">
        <f t="shared" si="10"/>
        <v/>
      </c>
      <c r="R29" s="1" t="str">
        <f t="shared" si="11"/>
        <v/>
      </c>
      <c r="S29" s="1" t="str">
        <f t="shared" si="12"/>
        <v/>
      </c>
      <c r="T29" s="1" t="str">
        <f t="shared" si="13"/>
        <v/>
      </c>
      <c r="U29" s="1" t="str">
        <f t="shared" si="14"/>
        <v/>
      </c>
      <c r="V29" s="1" t="str">
        <f t="shared" si="15"/>
        <v/>
      </c>
      <c r="W29" s="26" t="str">
        <f t="shared" si="16"/>
        <v/>
      </c>
      <c r="X29" s="13" t="str">
        <f t="shared" si="17"/>
        <v/>
      </c>
      <c r="Y29" s="9">
        <f t="shared" si="18"/>
        <v>0</v>
      </c>
    </row>
    <row r="30" spans="1:25" x14ac:dyDescent="0.25">
      <c r="A30" s="28"/>
      <c r="B30" s="29"/>
      <c r="C30" s="30"/>
      <c r="D30" s="31"/>
      <c r="E30" s="29" t="s">
        <v>16</v>
      </c>
      <c r="F30" s="13" t="b">
        <f>IF($E30=Categories!$A$1,"",IF($E30=Categories!$A$2,Categories!$B$2,IF($E30=Categories!$A$3,Categories!$B$3,IF($E30=Categories!$A$4,Categories!$B$4,IF($E30=Categories!$A$5,Categories!$B$5,IF($E30=Categories!$A$6,Categories!$B$6,IF($E30=Categories!$A$7,Categories!$B$7,IF($E30=Categories!$A$8,Categories!$B$8,IF($E30=Categories!$A$9,Categories!$B$9,IF($E30=Categories!$A$10,Categories!$B$10,IF($E30=Categories!$A$11,Categories!$B$11,IF($E30=Categories!$A$12,Categories!$B$12,IF($E30=Categories!$A$13,Categories!$B$13,IF($E30=Categories!$A$14,Categories!$B$14,IF($E30=Categories!$A$15,Categories!$B$15,IF($E30=Categories!$A$16,Categories!$B$16,IF($E30=Categories!$A$17,Categories!$B$17,IF($E30=Categories!$A$18,Categories!$B$18,IF($E30=Categories!$A$19,Categories!$B$19)))))))))))))))))))</f>
        <v>0</v>
      </c>
      <c r="G30" s="9" t="str">
        <f t="shared" si="0"/>
        <v/>
      </c>
      <c r="H30" s="1" t="str">
        <f t="shared" si="1"/>
        <v/>
      </c>
      <c r="I30" s="1" t="str">
        <f t="shared" si="2"/>
        <v/>
      </c>
      <c r="J30" s="1" t="str">
        <f t="shared" si="3"/>
        <v/>
      </c>
      <c r="K30" s="13" t="str">
        <f t="shared" si="4"/>
        <v/>
      </c>
      <c r="L30" s="9" t="str">
        <f t="shared" si="5"/>
        <v/>
      </c>
      <c r="M30" s="1" t="str">
        <f t="shared" si="6"/>
        <v/>
      </c>
      <c r="N30" s="1" t="str">
        <f t="shared" si="7"/>
        <v/>
      </c>
      <c r="O30" s="1" t="str">
        <f t="shared" si="8"/>
        <v/>
      </c>
      <c r="P30" s="1" t="str">
        <f t="shared" si="9"/>
        <v/>
      </c>
      <c r="Q30" s="1" t="str">
        <f t="shared" si="10"/>
        <v/>
      </c>
      <c r="R30" s="1" t="str">
        <f t="shared" si="11"/>
        <v/>
      </c>
      <c r="S30" s="1" t="str">
        <f t="shared" si="12"/>
        <v/>
      </c>
      <c r="T30" s="1" t="str">
        <f t="shared" si="13"/>
        <v/>
      </c>
      <c r="U30" s="1" t="str">
        <f t="shared" si="14"/>
        <v/>
      </c>
      <c r="V30" s="1" t="str">
        <f t="shared" si="15"/>
        <v/>
      </c>
      <c r="W30" s="26" t="str">
        <f t="shared" si="16"/>
        <v/>
      </c>
      <c r="X30" s="13" t="str">
        <f t="shared" si="17"/>
        <v/>
      </c>
      <c r="Y30" s="9">
        <f t="shared" si="18"/>
        <v>0</v>
      </c>
    </row>
    <row r="31" spans="1:25" x14ac:dyDescent="0.25">
      <c r="A31" s="28"/>
      <c r="B31" s="29"/>
      <c r="C31" s="30"/>
      <c r="D31" s="31"/>
      <c r="E31" s="29" t="s">
        <v>16</v>
      </c>
      <c r="F31" s="13" t="b">
        <f>IF($E31=Categories!$A$1,"",IF($E31=Categories!$A$2,Categories!$B$2,IF($E31=Categories!$A$3,Categories!$B$3,IF($E31=Categories!$A$4,Categories!$B$4,IF($E31=Categories!$A$5,Categories!$B$5,IF($E31=Categories!$A$6,Categories!$B$6,IF($E31=Categories!$A$7,Categories!$B$7,IF($E31=Categories!$A$8,Categories!$B$8,IF($E31=Categories!$A$9,Categories!$B$9,IF($E31=Categories!$A$10,Categories!$B$10,IF($E31=Categories!$A$11,Categories!$B$11,IF($E31=Categories!$A$12,Categories!$B$12,IF($E31=Categories!$A$13,Categories!$B$13,IF($E31=Categories!$A$14,Categories!$B$14,IF($E31=Categories!$A$15,Categories!$B$15,IF($E31=Categories!$A$16,Categories!$B$16,IF($E31=Categories!$A$17,Categories!$B$17,IF($E31=Categories!$A$18,Categories!$B$18,IF($E31=Categories!$A$19,Categories!$B$19)))))))))))))))))))</f>
        <v>0</v>
      </c>
      <c r="G31" s="9" t="str">
        <f t="shared" si="0"/>
        <v/>
      </c>
      <c r="H31" s="1" t="str">
        <f t="shared" si="1"/>
        <v/>
      </c>
      <c r="I31" s="1" t="str">
        <f t="shared" si="2"/>
        <v/>
      </c>
      <c r="J31" s="1" t="str">
        <f t="shared" si="3"/>
        <v/>
      </c>
      <c r="K31" s="13" t="str">
        <f t="shared" si="4"/>
        <v/>
      </c>
      <c r="L31" s="9" t="str">
        <f t="shared" si="5"/>
        <v/>
      </c>
      <c r="M31" s="1" t="str">
        <f t="shared" si="6"/>
        <v/>
      </c>
      <c r="N31" s="1" t="str">
        <f t="shared" si="7"/>
        <v/>
      </c>
      <c r="O31" s="1" t="str">
        <f t="shared" si="8"/>
        <v/>
      </c>
      <c r="P31" s="1" t="str">
        <f t="shared" si="9"/>
        <v/>
      </c>
      <c r="Q31" s="1" t="str">
        <f t="shared" si="10"/>
        <v/>
      </c>
      <c r="R31" s="1" t="str">
        <f t="shared" si="11"/>
        <v/>
      </c>
      <c r="S31" s="1" t="str">
        <f t="shared" si="12"/>
        <v/>
      </c>
      <c r="T31" s="1" t="str">
        <f t="shared" si="13"/>
        <v/>
      </c>
      <c r="U31" s="1" t="str">
        <f t="shared" si="14"/>
        <v/>
      </c>
      <c r="V31" s="1" t="str">
        <f t="shared" si="15"/>
        <v/>
      </c>
      <c r="W31" s="26" t="str">
        <f t="shared" si="16"/>
        <v/>
      </c>
      <c r="X31" s="13" t="str">
        <f t="shared" si="17"/>
        <v/>
      </c>
      <c r="Y31" s="9">
        <f t="shared" si="18"/>
        <v>0</v>
      </c>
    </row>
    <row r="32" spans="1:25" x14ac:dyDescent="0.25">
      <c r="A32" s="28"/>
      <c r="B32" s="29"/>
      <c r="C32" s="30"/>
      <c r="D32" s="31"/>
      <c r="E32" s="29" t="s">
        <v>16</v>
      </c>
      <c r="F32" s="13" t="b">
        <f>IF($E32=Categories!$A$1,"",IF($E32=Categories!$A$2,Categories!$B$2,IF($E32=Categories!$A$3,Categories!$B$3,IF($E32=Categories!$A$4,Categories!$B$4,IF($E32=Categories!$A$5,Categories!$B$5,IF($E32=Categories!$A$6,Categories!$B$6,IF($E32=Categories!$A$7,Categories!$B$7,IF($E32=Categories!$A$8,Categories!$B$8,IF($E32=Categories!$A$9,Categories!$B$9,IF($E32=Categories!$A$10,Categories!$B$10,IF($E32=Categories!$A$11,Categories!$B$11,IF($E32=Categories!$A$12,Categories!$B$12,IF($E32=Categories!$A$13,Categories!$B$13,IF($E32=Categories!$A$14,Categories!$B$14,IF($E32=Categories!$A$15,Categories!$B$15,IF($E32=Categories!$A$16,Categories!$B$16,IF($E32=Categories!$A$17,Categories!$B$17,IF($E32=Categories!$A$18,Categories!$B$18,IF($E32=Categories!$A$19,Categories!$B$19)))))))))))))))))))</f>
        <v>0</v>
      </c>
      <c r="G32" s="9" t="str">
        <f t="shared" si="0"/>
        <v/>
      </c>
      <c r="H32" s="1" t="str">
        <f t="shared" si="1"/>
        <v/>
      </c>
      <c r="I32" s="1" t="str">
        <f t="shared" si="2"/>
        <v/>
      </c>
      <c r="J32" s="1" t="str">
        <f t="shared" si="3"/>
        <v/>
      </c>
      <c r="K32" s="13" t="str">
        <f t="shared" si="4"/>
        <v/>
      </c>
      <c r="L32" s="9" t="str">
        <f t="shared" si="5"/>
        <v/>
      </c>
      <c r="M32" s="1" t="str">
        <f t="shared" si="6"/>
        <v/>
      </c>
      <c r="N32" s="1" t="str">
        <f t="shared" si="7"/>
        <v/>
      </c>
      <c r="O32" s="1" t="str">
        <f t="shared" si="8"/>
        <v/>
      </c>
      <c r="P32" s="1" t="str">
        <f t="shared" si="9"/>
        <v/>
      </c>
      <c r="Q32" s="1" t="str">
        <f t="shared" si="10"/>
        <v/>
      </c>
      <c r="R32" s="1" t="str">
        <f t="shared" si="11"/>
        <v/>
      </c>
      <c r="S32" s="1" t="str">
        <f t="shared" si="12"/>
        <v/>
      </c>
      <c r="T32" s="1" t="str">
        <f t="shared" si="13"/>
        <v/>
      </c>
      <c r="U32" s="1" t="str">
        <f t="shared" si="14"/>
        <v/>
      </c>
      <c r="V32" s="1" t="str">
        <f t="shared" si="15"/>
        <v/>
      </c>
      <c r="W32" s="26" t="str">
        <f t="shared" si="16"/>
        <v/>
      </c>
      <c r="X32" s="13" t="str">
        <f t="shared" si="17"/>
        <v/>
      </c>
      <c r="Y32" s="9">
        <f t="shared" si="18"/>
        <v>0</v>
      </c>
    </row>
    <row r="33" spans="1:25" x14ac:dyDescent="0.25">
      <c r="A33" s="28"/>
      <c r="B33" s="29"/>
      <c r="C33" s="30"/>
      <c r="D33" s="31"/>
      <c r="E33" s="29" t="s">
        <v>16</v>
      </c>
      <c r="F33" s="13" t="b">
        <f>IF($E33=Categories!$A$1,"",IF($E33=Categories!$A$2,Categories!$B$2,IF($E33=Categories!$A$3,Categories!$B$3,IF($E33=Categories!$A$4,Categories!$B$4,IF($E33=Categories!$A$5,Categories!$B$5,IF($E33=Categories!$A$6,Categories!$B$6,IF($E33=Categories!$A$7,Categories!$B$7,IF($E33=Categories!$A$8,Categories!$B$8,IF($E33=Categories!$A$9,Categories!$B$9,IF($E33=Categories!$A$10,Categories!$B$10,IF($E33=Categories!$A$11,Categories!$B$11,IF($E33=Categories!$A$12,Categories!$B$12,IF($E33=Categories!$A$13,Categories!$B$13,IF($E33=Categories!$A$14,Categories!$B$14,IF($E33=Categories!$A$15,Categories!$B$15,IF($E33=Categories!$A$16,Categories!$B$16,IF($E33=Categories!$A$17,Categories!$B$17,IF($E33=Categories!$A$18,Categories!$B$18,IF($E33=Categories!$A$19,Categories!$B$19)))))))))))))))))))</f>
        <v>0</v>
      </c>
      <c r="G33" s="9" t="str">
        <f t="shared" si="0"/>
        <v/>
      </c>
      <c r="H33" s="1" t="str">
        <f t="shared" si="1"/>
        <v/>
      </c>
      <c r="I33" s="1" t="str">
        <f t="shared" si="2"/>
        <v/>
      </c>
      <c r="J33" s="1" t="str">
        <f t="shared" si="3"/>
        <v/>
      </c>
      <c r="K33" s="13" t="str">
        <f t="shared" si="4"/>
        <v/>
      </c>
      <c r="L33" s="9" t="str">
        <f t="shared" si="5"/>
        <v/>
      </c>
      <c r="M33" s="1" t="str">
        <f t="shared" si="6"/>
        <v/>
      </c>
      <c r="N33" s="1" t="str">
        <f t="shared" si="7"/>
        <v/>
      </c>
      <c r="O33" s="1" t="str">
        <f t="shared" si="8"/>
        <v/>
      </c>
      <c r="P33" s="1" t="str">
        <f t="shared" si="9"/>
        <v/>
      </c>
      <c r="Q33" s="1" t="str">
        <f t="shared" si="10"/>
        <v/>
      </c>
      <c r="R33" s="1" t="str">
        <f t="shared" si="11"/>
        <v/>
      </c>
      <c r="S33" s="1" t="str">
        <f t="shared" si="12"/>
        <v/>
      </c>
      <c r="T33" s="1" t="str">
        <f t="shared" si="13"/>
        <v/>
      </c>
      <c r="U33" s="1" t="str">
        <f t="shared" si="14"/>
        <v/>
      </c>
      <c r="V33" s="1" t="str">
        <f t="shared" si="15"/>
        <v/>
      </c>
      <c r="W33" s="26" t="str">
        <f t="shared" si="16"/>
        <v/>
      </c>
      <c r="X33" s="13" t="str">
        <f t="shared" si="17"/>
        <v/>
      </c>
      <c r="Y33" s="9">
        <f t="shared" si="18"/>
        <v>0</v>
      </c>
    </row>
    <row r="34" spans="1:25" x14ac:dyDescent="0.25">
      <c r="A34" s="28"/>
      <c r="B34" s="29"/>
      <c r="C34" s="30"/>
      <c r="D34" s="31"/>
      <c r="E34" s="29" t="s">
        <v>16</v>
      </c>
      <c r="F34" s="13" t="b">
        <f>IF($E34=Categories!$A$1,"",IF($E34=Categories!$A$2,Categories!$B$2,IF($E34=Categories!$A$3,Categories!$B$3,IF($E34=Categories!$A$4,Categories!$B$4,IF($E34=Categories!$A$5,Categories!$B$5,IF($E34=Categories!$A$6,Categories!$B$6,IF($E34=Categories!$A$7,Categories!$B$7,IF($E34=Categories!$A$8,Categories!$B$8,IF($E34=Categories!$A$9,Categories!$B$9,IF($E34=Categories!$A$10,Categories!$B$10,IF($E34=Categories!$A$11,Categories!$B$11,IF($E34=Categories!$A$12,Categories!$B$12,IF($E34=Categories!$A$13,Categories!$B$13,IF($E34=Categories!$A$14,Categories!$B$14,IF($E34=Categories!$A$15,Categories!$B$15,IF($E34=Categories!$A$16,Categories!$B$16,IF($E34=Categories!$A$17,Categories!$B$17,IF($E34=Categories!$A$18,Categories!$B$18,IF($E34=Categories!$A$19,Categories!$B$19)))))))))))))))))))</f>
        <v>0</v>
      </c>
      <c r="G34" s="9" t="str">
        <f t="shared" si="0"/>
        <v/>
      </c>
      <c r="H34" s="1" t="str">
        <f t="shared" si="1"/>
        <v/>
      </c>
      <c r="I34" s="1" t="str">
        <f t="shared" si="2"/>
        <v/>
      </c>
      <c r="J34" s="1" t="str">
        <f t="shared" si="3"/>
        <v/>
      </c>
      <c r="K34" s="13" t="str">
        <f t="shared" si="4"/>
        <v/>
      </c>
      <c r="L34" s="9" t="str">
        <f t="shared" si="5"/>
        <v/>
      </c>
      <c r="M34" s="1" t="str">
        <f t="shared" si="6"/>
        <v/>
      </c>
      <c r="N34" s="1" t="str">
        <f t="shared" si="7"/>
        <v/>
      </c>
      <c r="O34" s="1" t="str">
        <f t="shared" si="8"/>
        <v/>
      </c>
      <c r="P34" s="1" t="str">
        <f t="shared" si="9"/>
        <v/>
      </c>
      <c r="Q34" s="1" t="str">
        <f t="shared" si="10"/>
        <v/>
      </c>
      <c r="R34" s="1" t="str">
        <f t="shared" si="11"/>
        <v/>
      </c>
      <c r="S34" s="1" t="str">
        <f t="shared" si="12"/>
        <v/>
      </c>
      <c r="T34" s="1" t="str">
        <f t="shared" si="13"/>
        <v/>
      </c>
      <c r="U34" s="1" t="str">
        <f t="shared" si="14"/>
        <v/>
      </c>
      <c r="V34" s="1" t="str">
        <f t="shared" si="15"/>
        <v/>
      </c>
      <c r="W34" s="26" t="str">
        <f t="shared" si="16"/>
        <v/>
      </c>
      <c r="X34" s="13" t="str">
        <f t="shared" si="17"/>
        <v/>
      </c>
      <c r="Y34" s="9">
        <f t="shared" si="18"/>
        <v>0</v>
      </c>
    </row>
    <row r="35" spans="1:25" x14ac:dyDescent="0.25">
      <c r="A35" s="28"/>
      <c r="B35" s="29"/>
      <c r="C35" s="30"/>
      <c r="D35" s="31"/>
      <c r="E35" s="29" t="s">
        <v>16</v>
      </c>
      <c r="F35" s="13" t="b">
        <f>IF($E35=Categories!$A$1,"",IF($E35=Categories!$A$2,Categories!$B$2,IF($E35=Categories!$A$3,Categories!$B$3,IF($E35=Categories!$A$4,Categories!$B$4,IF($E35=Categories!$A$5,Categories!$B$5,IF($E35=Categories!$A$6,Categories!$B$6,IF($E35=Categories!$A$7,Categories!$B$7,IF($E35=Categories!$A$8,Categories!$B$8,IF($E35=Categories!$A$9,Categories!$B$9,IF($E35=Categories!$A$10,Categories!$B$10,IF($E35=Categories!$A$11,Categories!$B$11,IF($E35=Categories!$A$12,Categories!$B$12,IF($E35=Categories!$A$13,Categories!$B$13,IF($E35=Categories!$A$14,Categories!$B$14,IF($E35=Categories!$A$15,Categories!$B$15,IF($E35=Categories!$A$16,Categories!$B$16,IF($E35=Categories!$A$17,Categories!$B$17,IF($E35=Categories!$A$18,Categories!$B$18,IF($E35=Categories!$A$19,Categories!$B$19)))))))))))))))))))</f>
        <v>0</v>
      </c>
      <c r="G35" s="9" t="str">
        <f t="shared" si="0"/>
        <v/>
      </c>
      <c r="H35" s="1" t="str">
        <f t="shared" si="1"/>
        <v/>
      </c>
      <c r="I35" s="1" t="str">
        <f t="shared" si="2"/>
        <v/>
      </c>
      <c r="J35" s="1" t="str">
        <f t="shared" si="3"/>
        <v/>
      </c>
      <c r="K35" s="13" t="str">
        <f t="shared" si="4"/>
        <v/>
      </c>
      <c r="L35" s="9" t="str">
        <f t="shared" si="5"/>
        <v/>
      </c>
      <c r="M35" s="1" t="str">
        <f t="shared" si="6"/>
        <v/>
      </c>
      <c r="N35" s="1" t="str">
        <f t="shared" si="7"/>
        <v/>
      </c>
      <c r="O35" s="1" t="str">
        <f t="shared" si="8"/>
        <v/>
      </c>
      <c r="P35" s="1" t="str">
        <f t="shared" si="9"/>
        <v/>
      </c>
      <c r="Q35" s="1" t="str">
        <f t="shared" si="10"/>
        <v/>
      </c>
      <c r="R35" s="1" t="str">
        <f t="shared" si="11"/>
        <v/>
      </c>
      <c r="S35" s="1" t="str">
        <f t="shared" si="12"/>
        <v/>
      </c>
      <c r="T35" s="1" t="str">
        <f t="shared" si="13"/>
        <v/>
      </c>
      <c r="U35" s="1" t="str">
        <f t="shared" si="14"/>
        <v/>
      </c>
      <c r="V35" s="1" t="str">
        <f t="shared" si="15"/>
        <v/>
      </c>
      <c r="W35" s="26" t="str">
        <f t="shared" si="16"/>
        <v/>
      </c>
      <c r="X35" s="13" t="str">
        <f t="shared" si="17"/>
        <v/>
      </c>
      <c r="Y35" s="9">
        <f t="shared" si="18"/>
        <v>0</v>
      </c>
    </row>
    <row r="36" spans="1:25" x14ac:dyDescent="0.25">
      <c r="A36" s="28"/>
      <c r="B36" s="29"/>
      <c r="C36" s="30"/>
      <c r="D36" s="31"/>
      <c r="E36" s="29" t="s">
        <v>16</v>
      </c>
      <c r="F36" s="13" t="b">
        <f>IF($E36=Categories!$A$1,"",IF($E36=Categories!$A$2,Categories!$B$2,IF($E36=Categories!$A$3,Categories!$B$3,IF($E36=Categories!$A$4,Categories!$B$4,IF($E36=Categories!$A$5,Categories!$B$5,IF($E36=Categories!$A$6,Categories!$B$6,IF($E36=Categories!$A$7,Categories!$B$7,IF($E36=Categories!$A$8,Categories!$B$8,IF($E36=Categories!$A$9,Categories!$B$9,IF($E36=Categories!$A$10,Categories!$B$10,IF($E36=Categories!$A$11,Categories!$B$11,IF($E36=Categories!$A$12,Categories!$B$12,IF($E36=Categories!$A$13,Categories!$B$13,IF($E36=Categories!$A$14,Categories!$B$14,IF($E36=Categories!$A$15,Categories!$B$15,IF($E36=Categories!$A$16,Categories!$B$16,IF($E36=Categories!$A$17,Categories!$B$17,IF($E36=Categories!$A$18,Categories!$B$18,IF($E36=Categories!$A$19,Categories!$B$19)))))))))))))))))))</f>
        <v>0</v>
      </c>
      <c r="G36" s="9" t="str">
        <f t="shared" si="0"/>
        <v/>
      </c>
      <c r="H36" s="1" t="str">
        <f t="shared" si="1"/>
        <v/>
      </c>
      <c r="I36" s="1" t="str">
        <f t="shared" si="2"/>
        <v/>
      </c>
      <c r="J36" s="1" t="str">
        <f t="shared" si="3"/>
        <v/>
      </c>
      <c r="K36" s="13" t="str">
        <f t="shared" si="4"/>
        <v/>
      </c>
      <c r="L36" s="9" t="str">
        <f t="shared" si="5"/>
        <v/>
      </c>
      <c r="M36" s="1" t="str">
        <f t="shared" si="6"/>
        <v/>
      </c>
      <c r="N36" s="1" t="str">
        <f t="shared" si="7"/>
        <v/>
      </c>
      <c r="O36" s="1" t="str">
        <f t="shared" si="8"/>
        <v/>
      </c>
      <c r="P36" s="1" t="str">
        <f t="shared" si="9"/>
        <v/>
      </c>
      <c r="Q36" s="1" t="str">
        <f t="shared" si="10"/>
        <v/>
      </c>
      <c r="R36" s="1" t="str">
        <f t="shared" si="11"/>
        <v/>
      </c>
      <c r="S36" s="1" t="str">
        <f t="shared" si="12"/>
        <v/>
      </c>
      <c r="T36" s="1" t="str">
        <f t="shared" si="13"/>
        <v/>
      </c>
      <c r="U36" s="1" t="str">
        <f t="shared" si="14"/>
        <v/>
      </c>
      <c r="V36" s="1" t="str">
        <f t="shared" si="15"/>
        <v/>
      </c>
      <c r="W36" s="26" t="str">
        <f t="shared" si="16"/>
        <v/>
      </c>
      <c r="X36" s="13" t="str">
        <f t="shared" si="17"/>
        <v/>
      </c>
      <c r="Y36" s="9">
        <f t="shared" si="18"/>
        <v>0</v>
      </c>
    </row>
    <row r="37" spans="1:25" x14ac:dyDescent="0.25">
      <c r="A37" s="28"/>
      <c r="B37" s="29"/>
      <c r="C37" s="30"/>
      <c r="D37" s="31"/>
      <c r="E37" s="29" t="s">
        <v>16</v>
      </c>
      <c r="F37" s="13" t="b">
        <f>IF($E37=Categories!$A$1,"",IF($E37=Categories!$A$2,Categories!$B$2,IF($E37=Categories!$A$3,Categories!$B$3,IF($E37=Categories!$A$4,Categories!$B$4,IF($E37=Categories!$A$5,Categories!$B$5,IF($E37=Categories!$A$6,Categories!$B$6,IF($E37=Categories!$A$7,Categories!$B$7,IF($E37=Categories!$A$8,Categories!$B$8,IF($E37=Categories!$A$9,Categories!$B$9,IF($E37=Categories!$A$10,Categories!$B$10,IF($E37=Categories!$A$11,Categories!$B$11,IF($E37=Categories!$A$12,Categories!$B$12,IF($E37=Categories!$A$13,Categories!$B$13,IF($E37=Categories!$A$14,Categories!$B$14,IF($E37=Categories!$A$15,Categories!$B$15,IF($E37=Categories!$A$16,Categories!$B$16,IF($E37=Categories!$A$17,Categories!$B$17,IF($E37=Categories!$A$18,Categories!$B$18,IF($E37=Categories!$A$19,Categories!$B$19)))))))))))))))))))</f>
        <v>0</v>
      </c>
      <c r="G37" s="9" t="str">
        <f t="shared" si="0"/>
        <v/>
      </c>
      <c r="H37" s="1" t="str">
        <f t="shared" si="1"/>
        <v/>
      </c>
      <c r="I37" s="1" t="str">
        <f t="shared" si="2"/>
        <v/>
      </c>
      <c r="J37" s="1" t="str">
        <f t="shared" si="3"/>
        <v/>
      </c>
      <c r="K37" s="13" t="str">
        <f t="shared" si="4"/>
        <v/>
      </c>
      <c r="L37" s="9" t="str">
        <f t="shared" si="5"/>
        <v/>
      </c>
      <c r="M37" s="1" t="str">
        <f t="shared" si="6"/>
        <v/>
      </c>
      <c r="N37" s="1" t="str">
        <f t="shared" si="7"/>
        <v/>
      </c>
      <c r="O37" s="1" t="str">
        <f t="shared" si="8"/>
        <v/>
      </c>
      <c r="P37" s="1" t="str">
        <f t="shared" si="9"/>
        <v/>
      </c>
      <c r="Q37" s="1" t="str">
        <f t="shared" si="10"/>
        <v/>
      </c>
      <c r="R37" s="1" t="str">
        <f t="shared" si="11"/>
        <v/>
      </c>
      <c r="S37" s="1" t="str">
        <f t="shared" si="12"/>
        <v/>
      </c>
      <c r="T37" s="1" t="str">
        <f t="shared" si="13"/>
        <v/>
      </c>
      <c r="U37" s="1" t="str">
        <f t="shared" si="14"/>
        <v/>
      </c>
      <c r="V37" s="1" t="str">
        <f t="shared" si="15"/>
        <v/>
      </c>
      <c r="W37" s="26" t="str">
        <f t="shared" si="16"/>
        <v/>
      </c>
      <c r="X37" s="13" t="str">
        <f t="shared" si="17"/>
        <v/>
      </c>
      <c r="Y37" s="9">
        <f t="shared" si="18"/>
        <v>0</v>
      </c>
    </row>
    <row r="38" spans="1:25" x14ac:dyDescent="0.25">
      <c r="A38" s="28"/>
      <c r="B38" s="29"/>
      <c r="C38" s="30"/>
      <c r="D38" s="31"/>
      <c r="E38" s="29" t="s">
        <v>16</v>
      </c>
      <c r="F38" s="13" t="b">
        <f>IF($E38=Categories!$A$1,"",IF($E38=Categories!$A$2,Categories!$B$2,IF($E38=Categories!$A$3,Categories!$B$3,IF($E38=Categories!$A$4,Categories!$B$4,IF($E38=Categories!$A$5,Categories!$B$5,IF($E38=Categories!$A$6,Categories!$B$6,IF($E38=Categories!$A$7,Categories!$B$7,IF($E38=Categories!$A$8,Categories!$B$8,IF($E38=Categories!$A$9,Categories!$B$9,IF($E38=Categories!$A$10,Categories!$B$10,IF($E38=Categories!$A$11,Categories!$B$11,IF($E38=Categories!$A$12,Categories!$B$12,IF($E38=Categories!$A$13,Categories!$B$13,IF($E38=Categories!$A$14,Categories!$B$14,IF($E38=Categories!$A$15,Categories!$B$15,IF($E38=Categories!$A$16,Categories!$B$16,IF($E38=Categories!$A$17,Categories!$B$17,IF($E38=Categories!$A$18,Categories!$B$18,IF($E38=Categories!$A$19,Categories!$B$19)))))))))))))))))))</f>
        <v>0</v>
      </c>
      <c r="G38" s="9" t="str">
        <f t="shared" si="0"/>
        <v/>
      </c>
      <c r="H38" s="1" t="str">
        <f t="shared" si="1"/>
        <v/>
      </c>
      <c r="I38" s="1" t="str">
        <f t="shared" si="2"/>
        <v/>
      </c>
      <c r="J38" s="1" t="str">
        <f t="shared" si="3"/>
        <v/>
      </c>
      <c r="K38" s="13" t="str">
        <f t="shared" si="4"/>
        <v/>
      </c>
      <c r="L38" s="9" t="str">
        <f t="shared" si="5"/>
        <v/>
      </c>
      <c r="M38" s="1" t="str">
        <f t="shared" si="6"/>
        <v/>
      </c>
      <c r="N38" s="1" t="str">
        <f t="shared" si="7"/>
        <v/>
      </c>
      <c r="O38" s="1" t="str">
        <f t="shared" si="8"/>
        <v/>
      </c>
      <c r="P38" s="1" t="str">
        <f t="shared" si="9"/>
        <v/>
      </c>
      <c r="Q38" s="1" t="str">
        <f t="shared" si="10"/>
        <v/>
      </c>
      <c r="R38" s="1" t="str">
        <f t="shared" si="11"/>
        <v/>
      </c>
      <c r="S38" s="1" t="str">
        <f t="shared" si="12"/>
        <v/>
      </c>
      <c r="T38" s="1" t="str">
        <f t="shared" si="13"/>
        <v/>
      </c>
      <c r="U38" s="1" t="str">
        <f t="shared" si="14"/>
        <v/>
      </c>
      <c r="V38" s="1" t="str">
        <f t="shared" si="15"/>
        <v/>
      </c>
      <c r="W38" s="26" t="str">
        <f t="shared" si="16"/>
        <v/>
      </c>
      <c r="X38" s="13" t="str">
        <f t="shared" si="17"/>
        <v/>
      </c>
      <c r="Y38" s="9">
        <f t="shared" si="18"/>
        <v>0</v>
      </c>
    </row>
    <row r="39" spans="1:25" x14ac:dyDescent="0.25">
      <c r="A39" s="28"/>
      <c r="B39" s="29"/>
      <c r="C39" s="30"/>
      <c r="D39" s="31"/>
      <c r="E39" s="29" t="s">
        <v>16</v>
      </c>
      <c r="F39" s="13" t="b">
        <f>IF($E39=Categories!$A$1,"",IF($E39=Categories!$A$2,Categories!$B$2,IF($E39=Categories!$A$3,Categories!$B$3,IF($E39=Categories!$A$4,Categories!$B$4,IF($E39=Categories!$A$5,Categories!$B$5,IF($E39=Categories!$A$6,Categories!$B$6,IF($E39=Categories!$A$7,Categories!$B$7,IF($E39=Categories!$A$8,Categories!$B$8,IF($E39=Categories!$A$9,Categories!$B$9,IF($E39=Categories!$A$10,Categories!$B$10,IF($E39=Categories!$A$11,Categories!$B$11,IF($E39=Categories!$A$12,Categories!$B$12,IF($E39=Categories!$A$13,Categories!$B$13,IF($E39=Categories!$A$14,Categories!$B$14,IF($E39=Categories!$A$15,Categories!$B$15,IF($E39=Categories!$A$16,Categories!$B$16,IF($E39=Categories!$A$17,Categories!$B$17,IF($E39=Categories!$A$18,Categories!$B$18,IF($E39=Categories!$A$19,Categories!$B$19)))))))))))))))))))</f>
        <v>0</v>
      </c>
      <c r="G39" s="9" t="str">
        <f t="shared" si="0"/>
        <v/>
      </c>
      <c r="H39" s="1" t="str">
        <f t="shared" si="1"/>
        <v/>
      </c>
      <c r="I39" s="1" t="str">
        <f t="shared" si="2"/>
        <v/>
      </c>
      <c r="J39" s="1" t="str">
        <f t="shared" si="3"/>
        <v/>
      </c>
      <c r="K39" s="13" t="str">
        <f t="shared" si="4"/>
        <v/>
      </c>
      <c r="L39" s="9" t="str">
        <f t="shared" si="5"/>
        <v/>
      </c>
      <c r="M39" s="1" t="str">
        <f t="shared" si="6"/>
        <v/>
      </c>
      <c r="N39" s="1" t="str">
        <f t="shared" si="7"/>
        <v/>
      </c>
      <c r="O39" s="1" t="str">
        <f t="shared" si="8"/>
        <v/>
      </c>
      <c r="P39" s="1" t="str">
        <f t="shared" si="9"/>
        <v/>
      </c>
      <c r="Q39" s="1" t="str">
        <f t="shared" si="10"/>
        <v/>
      </c>
      <c r="R39" s="1" t="str">
        <f t="shared" si="11"/>
        <v/>
      </c>
      <c r="S39" s="1" t="str">
        <f t="shared" si="12"/>
        <v/>
      </c>
      <c r="T39" s="1" t="str">
        <f t="shared" si="13"/>
        <v/>
      </c>
      <c r="U39" s="1" t="str">
        <f t="shared" si="14"/>
        <v/>
      </c>
      <c r="V39" s="1" t="str">
        <f t="shared" si="15"/>
        <v/>
      </c>
      <c r="W39" s="26" t="str">
        <f t="shared" si="16"/>
        <v/>
      </c>
      <c r="X39" s="13" t="str">
        <f t="shared" si="17"/>
        <v/>
      </c>
      <c r="Y39" s="9">
        <f t="shared" si="18"/>
        <v>0</v>
      </c>
    </row>
    <row r="40" spans="1:25" x14ac:dyDescent="0.25">
      <c r="A40" s="28"/>
      <c r="B40" s="29"/>
      <c r="C40" s="30"/>
      <c r="D40" s="31"/>
      <c r="E40" s="29" t="s">
        <v>16</v>
      </c>
      <c r="F40" s="13" t="b">
        <f>IF($E40=Categories!$A$1,"",IF($E40=Categories!$A$2,Categories!$B$2,IF($E40=Categories!$A$3,Categories!$B$3,IF($E40=Categories!$A$4,Categories!$B$4,IF($E40=Categories!$A$5,Categories!$B$5,IF($E40=Categories!$A$6,Categories!$B$6,IF($E40=Categories!$A$7,Categories!$B$7,IF($E40=Categories!$A$8,Categories!$B$8,IF($E40=Categories!$A$9,Categories!$B$9,IF($E40=Categories!$A$10,Categories!$B$10,IF($E40=Categories!$A$11,Categories!$B$11,IF($E40=Categories!$A$12,Categories!$B$12,IF($E40=Categories!$A$13,Categories!$B$13,IF($E40=Categories!$A$14,Categories!$B$14,IF($E40=Categories!$A$15,Categories!$B$15,IF($E40=Categories!$A$16,Categories!$B$16,IF($E40=Categories!$A$17,Categories!$B$17,IF($E40=Categories!$A$18,Categories!$B$18,IF($E40=Categories!$A$19,Categories!$B$19)))))))))))))))))))</f>
        <v>0</v>
      </c>
      <c r="G40" s="9" t="str">
        <f t="shared" si="0"/>
        <v/>
      </c>
      <c r="H40" s="1" t="str">
        <f t="shared" si="1"/>
        <v/>
      </c>
      <c r="I40" s="1" t="str">
        <f t="shared" si="2"/>
        <v/>
      </c>
      <c r="J40" s="1" t="str">
        <f t="shared" si="3"/>
        <v/>
      </c>
      <c r="K40" s="13" t="str">
        <f t="shared" si="4"/>
        <v/>
      </c>
      <c r="L40" s="9" t="str">
        <f t="shared" si="5"/>
        <v/>
      </c>
      <c r="M40" s="1" t="str">
        <f t="shared" si="6"/>
        <v/>
      </c>
      <c r="N40" s="1" t="str">
        <f t="shared" si="7"/>
        <v/>
      </c>
      <c r="O40" s="1" t="str">
        <f t="shared" si="8"/>
        <v/>
      </c>
      <c r="P40" s="1" t="str">
        <f t="shared" si="9"/>
        <v/>
      </c>
      <c r="Q40" s="1" t="str">
        <f t="shared" si="10"/>
        <v/>
      </c>
      <c r="R40" s="1" t="str">
        <f t="shared" si="11"/>
        <v/>
      </c>
      <c r="S40" s="1" t="str">
        <f t="shared" si="12"/>
        <v/>
      </c>
      <c r="T40" s="1" t="str">
        <f t="shared" si="13"/>
        <v/>
      </c>
      <c r="U40" s="1" t="str">
        <f t="shared" si="14"/>
        <v/>
      </c>
      <c r="V40" s="1" t="str">
        <f t="shared" si="15"/>
        <v/>
      </c>
      <c r="W40" s="26" t="str">
        <f t="shared" si="16"/>
        <v/>
      </c>
      <c r="X40" s="13" t="str">
        <f t="shared" si="17"/>
        <v/>
      </c>
      <c r="Y40" s="9">
        <f t="shared" si="18"/>
        <v>0</v>
      </c>
    </row>
    <row r="41" spans="1:25" x14ac:dyDescent="0.25">
      <c r="A41" s="28"/>
      <c r="B41" s="29"/>
      <c r="C41" s="30"/>
      <c r="D41" s="31"/>
      <c r="E41" s="29" t="s">
        <v>16</v>
      </c>
      <c r="F41" s="13" t="b">
        <f>IF($E41=Categories!$A$1,"",IF($E41=Categories!$A$2,Categories!$B$2,IF($E41=Categories!$A$3,Categories!$B$3,IF($E41=Categories!$A$4,Categories!$B$4,IF($E41=Categories!$A$5,Categories!$B$5,IF($E41=Categories!$A$6,Categories!$B$6,IF($E41=Categories!$A$7,Categories!$B$7,IF($E41=Categories!$A$8,Categories!$B$8,IF($E41=Categories!$A$9,Categories!$B$9,IF($E41=Categories!$A$10,Categories!$B$10,IF($E41=Categories!$A$11,Categories!$B$11,IF($E41=Categories!$A$12,Categories!$B$12,IF($E41=Categories!$A$13,Categories!$B$13,IF($E41=Categories!$A$14,Categories!$B$14,IF($E41=Categories!$A$15,Categories!$B$15,IF($E41=Categories!$A$16,Categories!$B$16,IF($E41=Categories!$A$17,Categories!$B$17,IF($E41=Categories!$A$18,Categories!$B$18,IF($E41=Categories!$A$19,Categories!$B$19)))))))))))))))))))</f>
        <v>0</v>
      </c>
      <c r="G41" s="9" t="str">
        <f t="shared" si="0"/>
        <v/>
      </c>
      <c r="H41" s="1" t="str">
        <f t="shared" si="1"/>
        <v/>
      </c>
      <c r="I41" s="1" t="str">
        <f t="shared" si="2"/>
        <v/>
      </c>
      <c r="J41" s="1" t="str">
        <f t="shared" si="3"/>
        <v/>
      </c>
      <c r="K41" s="13" t="str">
        <f t="shared" si="4"/>
        <v/>
      </c>
      <c r="L41" s="9" t="str">
        <f t="shared" si="5"/>
        <v/>
      </c>
      <c r="M41" s="1" t="str">
        <f t="shared" si="6"/>
        <v/>
      </c>
      <c r="N41" s="1" t="str">
        <f t="shared" si="7"/>
        <v/>
      </c>
      <c r="O41" s="1" t="str">
        <f t="shared" si="8"/>
        <v/>
      </c>
      <c r="P41" s="1" t="str">
        <f t="shared" si="9"/>
        <v/>
      </c>
      <c r="Q41" s="1" t="str">
        <f t="shared" si="10"/>
        <v/>
      </c>
      <c r="R41" s="1" t="str">
        <f t="shared" si="11"/>
        <v/>
      </c>
      <c r="S41" s="1" t="str">
        <f t="shared" si="12"/>
        <v/>
      </c>
      <c r="T41" s="1" t="str">
        <f t="shared" si="13"/>
        <v/>
      </c>
      <c r="U41" s="1" t="str">
        <f t="shared" si="14"/>
        <v/>
      </c>
      <c r="V41" s="1" t="str">
        <f t="shared" si="15"/>
        <v/>
      </c>
      <c r="W41" s="26" t="str">
        <f t="shared" si="16"/>
        <v/>
      </c>
      <c r="X41" s="13" t="str">
        <f t="shared" si="17"/>
        <v/>
      </c>
      <c r="Y41" s="9">
        <f t="shared" si="18"/>
        <v>0</v>
      </c>
    </row>
    <row r="42" spans="1:25" x14ac:dyDescent="0.25">
      <c r="A42" s="28"/>
      <c r="B42" s="29"/>
      <c r="C42" s="30"/>
      <c r="D42" s="31"/>
      <c r="E42" s="29" t="s">
        <v>16</v>
      </c>
      <c r="F42" s="13" t="b">
        <f>IF($E42=Categories!$A$1,"",IF($E42=Categories!$A$2,Categories!$B$2,IF($E42=Categories!$A$3,Categories!$B$3,IF($E42=Categories!$A$4,Categories!$B$4,IF($E42=Categories!$A$5,Categories!$B$5,IF($E42=Categories!$A$6,Categories!$B$6,IF($E42=Categories!$A$7,Categories!$B$7,IF($E42=Categories!$A$8,Categories!$B$8,IF($E42=Categories!$A$9,Categories!$B$9,IF($E42=Categories!$A$10,Categories!$B$10,IF($E42=Categories!$A$11,Categories!$B$11,IF($E42=Categories!$A$12,Categories!$B$12,IF($E42=Categories!$A$13,Categories!$B$13,IF($E42=Categories!$A$14,Categories!$B$14,IF($E42=Categories!$A$15,Categories!$B$15,IF($E42=Categories!$A$16,Categories!$B$16,IF($E42=Categories!$A$17,Categories!$B$17,IF($E42=Categories!$A$18,Categories!$B$18,IF($E42=Categories!$A$19,Categories!$B$19)))))))))))))))))))</f>
        <v>0</v>
      </c>
      <c r="G42" s="9" t="str">
        <f t="shared" si="0"/>
        <v/>
      </c>
      <c r="H42" s="1" t="str">
        <f t="shared" si="1"/>
        <v/>
      </c>
      <c r="I42" s="1" t="str">
        <f t="shared" si="2"/>
        <v/>
      </c>
      <c r="J42" s="1" t="str">
        <f t="shared" si="3"/>
        <v/>
      </c>
      <c r="K42" s="13" t="str">
        <f t="shared" si="4"/>
        <v/>
      </c>
      <c r="L42" s="9" t="str">
        <f t="shared" si="5"/>
        <v/>
      </c>
      <c r="M42" s="1" t="str">
        <f t="shared" si="6"/>
        <v/>
      </c>
      <c r="N42" s="1" t="str">
        <f t="shared" si="7"/>
        <v/>
      </c>
      <c r="O42" s="1" t="str">
        <f t="shared" si="8"/>
        <v/>
      </c>
      <c r="P42" s="1" t="str">
        <f t="shared" si="9"/>
        <v/>
      </c>
      <c r="Q42" s="1" t="str">
        <f t="shared" si="10"/>
        <v/>
      </c>
      <c r="R42" s="1" t="str">
        <f t="shared" si="11"/>
        <v/>
      </c>
      <c r="S42" s="1" t="str">
        <f t="shared" si="12"/>
        <v/>
      </c>
      <c r="T42" s="1" t="str">
        <f t="shared" si="13"/>
        <v/>
      </c>
      <c r="U42" s="1" t="str">
        <f t="shared" si="14"/>
        <v/>
      </c>
      <c r="V42" s="1" t="str">
        <f t="shared" si="15"/>
        <v/>
      </c>
      <c r="W42" s="26" t="str">
        <f t="shared" si="16"/>
        <v/>
      </c>
      <c r="X42" s="13" t="str">
        <f t="shared" si="17"/>
        <v/>
      </c>
      <c r="Y42" s="9">
        <f t="shared" si="18"/>
        <v>0</v>
      </c>
    </row>
    <row r="43" spans="1:25" x14ac:dyDescent="0.25">
      <c r="A43" s="28"/>
      <c r="B43" s="29"/>
      <c r="C43" s="30"/>
      <c r="D43" s="31"/>
      <c r="E43" s="29" t="s">
        <v>16</v>
      </c>
      <c r="F43" s="13" t="b">
        <f>IF($E43=Categories!$A$1,"",IF($E43=Categories!$A$2,Categories!$B$2,IF($E43=Categories!$A$3,Categories!$B$3,IF($E43=Categories!$A$4,Categories!$B$4,IF($E43=Categories!$A$5,Categories!$B$5,IF($E43=Categories!$A$6,Categories!$B$6,IF($E43=Categories!$A$7,Categories!$B$7,IF($E43=Categories!$A$8,Categories!$B$8,IF($E43=Categories!$A$9,Categories!$B$9,IF($E43=Categories!$A$10,Categories!$B$10,IF($E43=Categories!$A$11,Categories!$B$11,IF($E43=Categories!$A$12,Categories!$B$12,IF($E43=Categories!$A$13,Categories!$B$13,IF($E43=Categories!$A$14,Categories!$B$14,IF($E43=Categories!$A$15,Categories!$B$15,IF($E43=Categories!$A$16,Categories!$B$16,IF($E43=Categories!$A$17,Categories!$B$17,IF($E43=Categories!$A$18,Categories!$B$18,IF($E43=Categories!$A$19,Categories!$B$19)))))))))))))))))))</f>
        <v>0</v>
      </c>
      <c r="G43" s="9" t="str">
        <f t="shared" si="0"/>
        <v/>
      </c>
      <c r="H43" s="1" t="str">
        <f t="shared" si="1"/>
        <v/>
      </c>
      <c r="I43" s="1" t="str">
        <f t="shared" si="2"/>
        <v/>
      </c>
      <c r="J43" s="1" t="str">
        <f t="shared" si="3"/>
        <v/>
      </c>
      <c r="K43" s="13" t="str">
        <f t="shared" si="4"/>
        <v/>
      </c>
      <c r="L43" s="9" t="str">
        <f t="shared" si="5"/>
        <v/>
      </c>
      <c r="M43" s="1" t="str">
        <f t="shared" si="6"/>
        <v/>
      </c>
      <c r="N43" s="1" t="str">
        <f t="shared" si="7"/>
        <v/>
      </c>
      <c r="O43" s="1" t="str">
        <f t="shared" si="8"/>
        <v/>
      </c>
      <c r="P43" s="1" t="str">
        <f t="shared" si="9"/>
        <v/>
      </c>
      <c r="Q43" s="1" t="str">
        <f t="shared" si="10"/>
        <v/>
      </c>
      <c r="R43" s="1" t="str">
        <f t="shared" si="11"/>
        <v/>
      </c>
      <c r="S43" s="1" t="str">
        <f t="shared" si="12"/>
        <v/>
      </c>
      <c r="T43" s="1" t="str">
        <f t="shared" si="13"/>
        <v/>
      </c>
      <c r="U43" s="1" t="str">
        <f t="shared" si="14"/>
        <v/>
      </c>
      <c r="V43" s="1" t="str">
        <f t="shared" si="15"/>
        <v/>
      </c>
      <c r="W43" s="26" t="str">
        <f t="shared" si="16"/>
        <v/>
      </c>
      <c r="X43" s="13" t="str">
        <f t="shared" si="17"/>
        <v/>
      </c>
      <c r="Y43" s="9">
        <f t="shared" si="18"/>
        <v>0</v>
      </c>
    </row>
    <row r="44" spans="1:25" x14ac:dyDescent="0.25">
      <c r="A44" s="28"/>
      <c r="B44" s="29"/>
      <c r="C44" s="30"/>
      <c r="D44" s="31"/>
      <c r="E44" s="29" t="s">
        <v>16</v>
      </c>
      <c r="F44" s="13" t="b">
        <f>IF($E44=Categories!$A$1,"",IF($E44=Categories!$A$2,Categories!$B$2,IF($E44=Categories!$A$3,Categories!$B$3,IF($E44=Categories!$A$4,Categories!$B$4,IF($E44=Categories!$A$5,Categories!$B$5,IF($E44=Categories!$A$6,Categories!$B$6,IF($E44=Categories!$A$7,Categories!$B$7,IF($E44=Categories!$A$8,Categories!$B$8,IF($E44=Categories!$A$9,Categories!$B$9,IF($E44=Categories!$A$10,Categories!$B$10,IF($E44=Categories!$A$11,Categories!$B$11,IF($E44=Categories!$A$12,Categories!$B$12,IF($E44=Categories!$A$13,Categories!$B$13,IF($E44=Categories!$A$14,Categories!$B$14,IF($E44=Categories!$A$15,Categories!$B$15,IF($E44=Categories!$A$16,Categories!$B$16,IF($E44=Categories!$A$17,Categories!$B$17,IF($E44=Categories!$A$18,Categories!$B$18,IF($E44=Categories!$A$19,Categories!$B$19)))))))))))))))))))</f>
        <v>0</v>
      </c>
      <c r="G44" s="9" t="str">
        <f t="shared" si="0"/>
        <v/>
      </c>
      <c r="H44" s="1" t="str">
        <f t="shared" si="1"/>
        <v/>
      </c>
      <c r="I44" s="1" t="str">
        <f t="shared" si="2"/>
        <v/>
      </c>
      <c r="J44" s="1" t="str">
        <f t="shared" si="3"/>
        <v/>
      </c>
      <c r="K44" s="13" t="str">
        <f t="shared" si="4"/>
        <v/>
      </c>
      <c r="L44" s="9" t="str">
        <f t="shared" si="5"/>
        <v/>
      </c>
      <c r="M44" s="1" t="str">
        <f t="shared" si="6"/>
        <v/>
      </c>
      <c r="N44" s="1" t="str">
        <f t="shared" si="7"/>
        <v/>
      </c>
      <c r="O44" s="1" t="str">
        <f t="shared" si="8"/>
        <v/>
      </c>
      <c r="P44" s="1" t="str">
        <f t="shared" si="9"/>
        <v/>
      </c>
      <c r="Q44" s="1" t="str">
        <f t="shared" si="10"/>
        <v/>
      </c>
      <c r="R44" s="1" t="str">
        <f t="shared" si="11"/>
        <v/>
      </c>
      <c r="S44" s="1" t="str">
        <f t="shared" si="12"/>
        <v/>
      </c>
      <c r="T44" s="1" t="str">
        <f t="shared" si="13"/>
        <v/>
      </c>
      <c r="U44" s="1" t="str">
        <f t="shared" si="14"/>
        <v/>
      </c>
      <c r="V44" s="1" t="str">
        <f t="shared" si="15"/>
        <v/>
      </c>
      <c r="W44" s="26" t="str">
        <f t="shared" si="16"/>
        <v/>
      </c>
      <c r="X44" s="13" t="str">
        <f t="shared" si="17"/>
        <v/>
      </c>
      <c r="Y44" s="9">
        <f t="shared" si="18"/>
        <v>0</v>
      </c>
    </row>
    <row r="45" spans="1:25" x14ac:dyDescent="0.25">
      <c r="A45" s="28"/>
      <c r="B45" s="29"/>
      <c r="C45" s="30"/>
      <c r="D45" s="31"/>
      <c r="E45" s="29" t="s">
        <v>16</v>
      </c>
      <c r="F45" s="13" t="b">
        <f>IF($E45=Categories!$A$1,"",IF($E45=Categories!$A$2,Categories!$B$2,IF($E45=Categories!$A$3,Categories!$B$3,IF($E45=Categories!$A$4,Categories!$B$4,IF($E45=Categories!$A$5,Categories!$B$5,IF($E45=Categories!$A$6,Categories!$B$6,IF($E45=Categories!$A$7,Categories!$B$7,IF($E45=Categories!$A$8,Categories!$B$8,IF($E45=Categories!$A$9,Categories!$B$9,IF($E45=Categories!$A$10,Categories!$B$10,IF($E45=Categories!$A$11,Categories!$B$11,IF($E45=Categories!$A$12,Categories!$B$12,IF($E45=Categories!$A$13,Categories!$B$13,IF($E45=Categories!$A$14,Categories!$B$14,IF($E45=Categories!$A$15,Categories!$B$15,IF($E45=Categories!$A$16,Categories!$B$16,IF($E45=Categories!$A$17,Categories!$B$17,IF($E45=Categories!$A$18,Categories!$B$18,IF($E45=Categories!$A$19,Categories!$B$19)))))))))))))))))))</f>
        <v>0</v>
      </c>
      <c r="G45" s="9" t="str">
        <f t="shared" si="0"/>
        <v/>
      </c>
      <c r="H45" s="1" t="str">
        <f t="shared" si="1"/>
        <v/>
      </c>
      <c r="I45" s="1" t="str">
        <f t="shared" si="2"/>
        <v/>
      </c>
      <c r="J45" s="1" t="str">
        <f t="shared" si="3"/>
        <v/>
      </c>
      <c r="K45" s="13" t="str">
        <f t="shared" si="4"/>
        <v/>
      </c>
      <c r="L45" s="9" t="str">
        <f t="shared" si="5"/>
        <v/>
      </c>
      <c r="M45" s="1" t="str">
        <f t="shared" si="6"/>
        <v/>
      </c>
      <c r="N45" s="1" t="str">
        <f t="shared" si="7"/>
        <v/>
      </c>
      <c r="O45" s="1" t="str">
        <f t="shared" si="8"/>
        <v/>
      </c>
      <c r="P45" s="1" t="str">
        <f t="shared" si="9"/>
        <v/>
      </c>
      <c r="Q45" s="1" t="str">
        <f t="shared" si="10"/>
        <v/>
      </c>
      <c r="R45" s="1" t="str">
        <f t="shared" si="11"/>
        <v/>
      </c>
      <c r="S45" s="1" t="str">
        <f t="shared" si="12"/>
        <v/>
      </c>
      <c r="T45" s="1" t="str">
        <f t="shared" si="13"/>
        <v/>
      </c>
      <c r="U45" s="1" t="str">
        <f t="shared" si="14"/>
        <v/>
      </c>
      <c r="V45" s="1" t="str">
        <f t="shared" si="15"/>
        <v/>
      </c>
      <c r="W45" s="26" t="str">
        <f t="shared" si="16"/>
        <v/>
      </c>
      <c r="X45" s="13" t="str">
        <f t="shared" si="17"/>
        <v/>
      </c>
      <c r="Y45" s="9">
        <f t="shared" si="18"/>
        <v>0</v>
      </c>
    </row>
    <row r="46" spans="1:25" x14ac:dyDescent="0.25">
      <c r="A46" s="28"/>
      <c r="B46" s="29"/>
      <c r="C46" s="30"/>
      <c r="D46" s="31"/>
      <c r="E46" s="29" t="s">
        <v>16</v>
      </c>
      <c r="F46" s="13" t="b">
        <f>IF($E46=Categories!$A$1,"",IF($E46=Categories!$A$2,Categories!$B$2,IF($E46=Categories!$A$3,Categories!$B$3,IF($E46=Categories!$A$4,Categories!$B$4,IF($E46=Categories!$A$5,Categories!$B$5,IF($E46=Categories!$A$6,Categories!$B$6,IF($E46=Categories!$A$7,Categories!$B$7,IF($E46=Categories!$A$8,Categories!$B$8,IF($E46=Categories!$A$9,Categories!$B$9,IF($E46=Categories!$A$10,Categories!$B$10,IF($E46=Categories!$A$11,Categories!$B$11,IF($E46=Categories!$A$12,Categories!$B$12,IF($E46=Categories!$A$13,Categories!$B$13,IF($E46=Categories!$A$14,Categories!$B$14,IF($E46=Categories!$A$15,Categories!$B$15,IF($E46=Categories!$A$16,Categories!$B$16,IF($E46=Categories!$A$17,Categories!$B$17,IF($E46=Categories!$A$18,Categories!$B$18,IF($E46=Categories!$A$19,Categories!$B$19)))))))))))))))))))</f>
        <v>0</v>
      </c>
      <c r="G46" s="9" t="str">
        <f t="shared" si="0"/>
        <v/>
      </c>
      <c r="H46" s="1" t="str">
        <f t="shared" si="1"/>
        <v/>
      </c>
      <c r="I46" s="1" t="str">
        <f t="shared" si="2"/>
        <v/>
      </c>
      <c r="J46" s="1" t="str">
        <f t="shared" si="3"/>
        <v/>
      </c>
      <c r="K46" s="13" t="str">
        <f t="shared" si="4"/>
        <v/>
      </c>
      <c r="L46" s="9" t="str">
        <f t="shared" si="5"/>
        <v/>
      </c>
      <c r="M46" s="1" t="str">
        <f t="shared" si="6"/>
        <v/>
      </c>
      <c r="N46" s="1" t="str">
        <f t="shared" si="7"/>
        <v/>
      </c>
      <c r="O46" s="1" t="str">
        <f t="shared" si="8"/>
        <v/>
      </c>
      <c r="P46" s="1" t="str">
        <f t="shared" si="9"/>
        <v/>
      </c>
      <c r="Q46" s="1" t="str">
        <f t="shared" si="10"/>
        <v/>
      </c>
      <c r="R46" s="1" t="str">
        <f t="shared" si="11"/>
        <v/>
      </c>
      <c r="S46" s="1" t="str">
        <f t="shared" si="12"/>
        <v/>
      </c>
      <c r="T46" s="1" t="str">
        <f t="shared" si="13"/>
        <v/>
      </c>
      <c r="U46" s="1" t="str">
        <f t="shared" si="14"/>
        <v/>
      </c>
      <c r="V46" s="1" t="str">
        <f t="shared" si="15"/>
        <v/>
      </c>
      <c r="W46" s="26" t="str">
        <f t="shared" si="16"/>
        <v/>
      </c>
      <c r="X46" s="13" t="str">
        <f t="shared" si="17"/>
        <v/>
      </c>
      <c r="Y46" s="9">
        <f t="shared" si="18"/>
        <v>0</v>
      </c>
    </row>
    <row r="47" spans="1:25" x14ac:dyDescent="0.25">
      <c r="A47" s="28"/>
      <c r="B47" s="29"/>
      <c r="C47" s="30"/>
      <c r="D47" s="31"/>
      <c r="E47" s="29" t="s">
        <v>16</v>
      </c>
      <c r="F47" s="13" t="b">
        <f>IF($E47=Categories!$A$1,"",IF($E47=Categories!$A$2,Categories!$B$2,IF($E47=Categories!$A$3,Categories!$B$3,IF($E47=Categories!$A$4,Categories!$B$4,IF($E47=Categories!$A$5,Categories!$B$5,IF($E47=Categories!$A$6,Categories!$B$6,IF($E47=Categories!$A$7,Categories!$B$7,IF($E47=Categories!$A$8,Categories!$B$8,IF($E47=Categories!$A$9,Categories!$B$9,IF($E47=Categories!$A$10,Categories!$B$10,IF($E47=Categories!$A$11,Categories!$B$11,IF($E47=Categories!$A$12,Categories!$B$12,IF($E47=Categories!$A$13,Categories!$B$13,IF($E47=Categories!$A$14,Categories!$B$14,IF($E47=Categories!$A$15,Categories!$B$15,IF($E47=Categories!$A$16,Categories!$B$16,IF($E47=Categories!$A$17,Categories!$B$17,IF($E47=Categories!$A$18,Categories!$B$18,IF($E47=Categories!$A$19,Categories!$B$19)))))))))))))))))))</f>
        <v>0</v>
      </c>
      <c r="G47" s="9" t="str">
        <f t="shared" si="0"/>
        <v/>
      </c>
      <c r="H47" s="1" t="str">
        <f t="shared" si="1"/>
        <v/>
      </c>
      <c r="I47" s="1" t="str">
        <f t="shared" si="2"/>
        <v/>
      </c>
      <c r="J47" s="1" t="str">
        <f t="shared" si="3"/>
        <v/>
      </c>
      <c r="K47" s="13" t="str">
        <f t="shared" si="4"/>
        <v/>
      </c>
      <c r="L47" s="9" t="str">
        <f t="shared" si="5"/>
        <v/>
      </c>
      <c r="M47" s="1" t="str">
        <f t="shared" si="6"/>
        <v/>
      </c>
      <c r="N47" s="1" t="str">
        <f t="shared" si="7"/>
        <v/>
      </c>
      <c r="O47" s="1" t="str">
        <f t="shared" si="8"/>
        <v/>
      </c>
      <c r="P47" s="1" t="str">
        <f t="shared" si="9"/>
        <v/>
      </c>
      <c r="Q47" s="1" t="str">
        <f t="shared" si="10"/>
        <v/>
      </c>
      <c r="R47" s="1" t="str">
        <f t="shared" si="11"/>
        <v/>
      </c>
      <c r="S47" s="1" t="str">
        <f t="shared" si="12"/>
        <v/>
      </c>
      <c r="T47" s="1" t="str">
        <f t="shared" si="13"/>
        <v/>
      </c>
      <c r="U47" s="1" t="str">
        <f t="shared" si="14"/>
        <v/>
      </c>
      <c r="V47" s="1" t="str">
        <f t="shared" si="15"/>
        <v/>
      </c>
      <c r="W47" s="26" t="str">
        <f t="shared" si="16"/>
        <v/>
      </c>
      <c r="X47" s="13" t="str">
        <f t="shared" si="17"/>
        <v/>
      </c>
      <c r="Y47" s="9">
        <f t="shared" si="18"/>
        <v>0</v>
      </c>
    </row>
    <row r="48" spans="1:25" x14ac:dyDescent="0.25">
      <c r="A48" s="28"/>
      <c r="B48" s="29"/>
      <c r="C48" s="30"/>
      <c r="D48" s="31"/>
      <c r="E48" s="29" t="s">
        <v>16</v>
      </c>
      <c r="F48" s="13" t="b">
        <f>IF($E48=Categories!$A$1,"",IF($E48=Categories!$A$2,Categories!$B$2,IF($E48=Categories!$A$3,Categories!$B$3,IF($E48=Categories!$A$4,Categories!$B$4,IF($E48=Categories!$A$5,Categories!$B$5,IF($E48=Categories!$A$6,Categories!$B$6,IF($E48=Categories!$A$7,Categories!$B$7,IF($E48=Categories!$A$8,Categories!$B$8,IF($E48=Categories!$A$9,Categories!$B$9,IF($E48=Categories!$A$10,Categories!$B$10,IF($E48=Categories!$A$11,Categories!$B$11,IF($E48=Categories!$A$12,Categories!$B$12,IF($E48=Categories!$A$13,Categories!$B$13,IF($E48=Categories!$A$14,Categories!$B$14,IF($E48=Categories!$A$15,Categories!$B$15,IF($E48=Categories!$A$16,Categories!$B$16,IF($E48=Categories!$A$17,Categories!$B$17,IF($E48=Categories!$A$18,Categories!$B$18,IF($E48=Categories!$A$19,Categories!$B$19)))))))))))))))))))</f>
        <v>0</v>
      </c>
      <c r="G48" s="9" t="str">
        <f t="shared" si="0"/>
        <v/>
      </c>
      <c r="H48" s="1" t="str">
        <f t="shared" si="1"/>
        <v/>
      </c>
      <c r="I48" s="1" t="str">
        <f t="shared" si="2"/>
        <v/>
      </c>
      <c r="J48" s="1" t="str">
        <f t="shared" si="3"/>
        <v/>
      </c>
      <c r="K48" s="13" t="str">
        <f t="shared" si="4"/>
        <v/>
      </c>
      <c r="L48" s="9" t="str">
        <f t="shared" si="5"/>
        <v/>
      </c>
      <c r="M48" s="1" t="str">
        <f t="shared" si="6"/>
        <v/>
      </c>
      <c r="N48" s="1" t="str">
        <f t="shared" si="7"/>
        <v/>
      </c>
      <c r="O48" s="1" t="str">
        <f t="shared" si="8"/>
        <v/>
      </c>
      <c r="P48" s="1" t="str">
        <f t="shared" si="9"/>
        <v/>
      </c>
      <c r="Q48" s="1" t="str">
        <f t="shared" si="10"/>
        <v/>
      </c>
      <c r="R48" s="1" t="str">
        <f t="shared" si="11"/>
        <v/>
      </c>
      <c r="S48" s="1" t="str">
        <f t="shared" si="12"/>
        <v/>
      </c>
      <c r="T48" s="1" t="str">
        <f t="shared" si="13"/>
        <v/>
      </c>
      <c r="U48" s="1" t="str">
        <f t="shared" si="14"/>
        <v/>
      </c>
      <c r="V48" s="1" t="str">
        <f t="shared" si="15"/>
        <v/>
      </c>
      <c r="W48" s="26" t="str">
        <f t="shared" si="16"/>
        <v/>
      </c>
      <c r="X48" s="13" t="str">
        <f t="shared" si="17"/>
        <v/>
      </c>
      <c r="Y48" s="9">
        <f t="shared" si="18"/>
        <v>0</v>
      </c>
    </row>
    <row r="49" spans="1:25" x14ac:dyDescent="0.25">
      <c r="A49" s="28"/>
      <c r="B49" s="29"/>
      <c r="C49" s="30"/>
      <c r="D49" s="31"/>
      <c r="E49" s="29" t="s">
        <v>16</v>
      </c>
      <c r="F49" s="13" t="b">
        <f>IF($E49=Categories!$A$1,"",IF($E49=Categories!$A$2,Categories!$B$2,IF($E49=Categories!$A$3,Categories!$B$3,IF($E49=Categories!$A$4,Categories!$B$4,IF($E49=Categories!$A$5,Categories!$B$5,IF($E49=Categories!$A$6,Categories!$B$6,IF($E49=Categories!$A$7,Categories!$B$7,IF($E49=Categories!$A$8,Categories!$B$8,IF($E49=Categories!$A$9,Categories!$B$9,IF($E49=Categories!$A$10,Categories!$B$10,IF($E49=Categories!$A$11,Categories!$B$11,IF($E49=Categories!$A$12,Categories!$B$12,IF($E49=Categories!$A$13,Categories!$B$13,IF($E49=Categories!$A$14,Categories!$B$14,IF($E49=Categories!$A$15,Categories!$B$15,IF($E49=Categories!$A$16,Categories!$B$16,IF($E49=Categories!$A$17,Categories!$B$17,IF($E49=Categories!$A$18,Categories!$B$18,IF($E49=Categories!$A$19,Categories!$B$19)))))))))))))))))))</f>
        <v>0</v>
      </c>
      <c r="G49" s="9" t="str">
        <f t="shared" si="0"/>
        <v/>
      </c>
      <c r="H49" s="1" t="str">
        <f t="shared" si="1"/>
        <v/>
      </c>
      <c r="I49" s="1" t="str">
        <f t="shared" si="2"/>
        <v/>
      </c>
      <c r="J49" s="1" t="str">
        <f t="shared" si="3"/>
        <v/>
      </c>
      <c r="K49" s="13" t="str">
        <f t="shared" si="4"/>
        <v/>
      </c>
      <c r="L49" s="9" t="str">
        <f t="shared" si="5"/>
        <v/>
      </c>
      <c r="M49" s="1" t="str">
        <f t="shared" si="6"/>
        <v/>
      </c>
      <c r="N49" s="1" t="str">
        <f t="shared" si="7"/>
        <v/>
      </c>
      <c r="O49" s="1" t="str">
        <f t="shared" si="8"/>
        <v/>
      </c>
      <c r="P49" s="1" t="str">
        <f t="shared" si="9"/>
        <v/>
      </c>
      <c r="Q49" s="1" t="str">
        <f t="shared" si="10"/>
        <v/>
      </c>
      <c r="R49" s="1" t="str">
        <f t="shared" si="11"/>
        <v/>
      </c>
      <c r="S49" s="1" t="str">
        <f t="shared" si="12"/>
        <v/>
      </c>
      <c r="T49" s="1" t="str">
        <f t="shared" si="13"/>
        <v/>
      </c>
      <c r="U49" s="1" t="str">
        <f t="shared" si="14"/>
        <v/>
      </c>
      <c r="V49" s="1" t="str">
        <f t="shared" si="15"/>
        <v/>
      </c>
      <c r="W49" s="26" t="str">
        <f t="shared" si="16"/>
        <v/>
      </c>
      <c r="X49" s="13" t="str">
        <f t="shared" si="17"/>
        <v/>
      </c>
      <c r="Y49" s="9">
        <f t="shared" si="18"/>
        <v>0</v>
      </c>
    </row>
    <row r="50" spans="1:25" x14ac:dyDescent="0.25">
      <c r="A50" s="28"/>
      <c r="B50" s="29"/>
      <c r="C50" s="30"/>
      <c r="D50" s="31"/>
      <c r="E50" s="29" t="s">
        <v>16</v>
      </c>
      <c r="F50" s="13" t="b">
        <f>IF($E50=Categories!$A$1,"",IF($E50=Categories!$A$2,Categories!$B$2,IF($E50=Categories!$A$3,Categories!$B$3,IF($E50=Categories!$A$4,Categories!$B$4,IF($E50=Categories!$A$5,Categories!$B$5,IF($E50=Categories!$A$6,Categories!$B$6,IF($E50=Categories!$A$7,Categories!$B$7,IF($E50=Categories!$A$8,Categories!$B$8,IF($E50=Categories!$A$9,Categories!$B$9,IF($E50=Categories!$A$10,Categories!$B$10,IF($E50=Categories!$A$11,Categories!$B$11,IF($E50=Categories!$A$12,Categories!$B$12,IF($E50=Categories!$A$13,Categories!$B$13,IF($E50=Categories!$A$14,Categories!$B$14,IF($E50=Categories!$A$15,Categories!$B$15,IF($E50=Categories!$A$16,Categories!$B$16,IF($E50=Categories!$A$17,Categories!$B$17,IF($E50=Categories!$A$18,Categories!$B$18,IF($E50=Categories!$A$19,Categories!$B$19)))))))))))))))))))</f>
        <v>0</v>
      </c>
      <c r="G50" s="9" t="str">
        <f t="shared" si="0"/>
        <v/>
      </c>
      <c r="H50" s="1" t="str">
        <f t="shared" si="1"/>
        <v/>
      </c>
      <c r="I50" s="1" t="str">
        <f t="shared" si="2"/>
        <v/>
      </c>
      <c r="J50" s="1" t="str">
        <f t="shared" si="3"/>
        <v/>
      </c>
      <c r="K50" s="13" t="str">
        <f t="shared" si="4"/>
        <v/>
      </c>
      <c r="L50" s="9" t="str">
        <f t="shared" si="5"/>
        <v/>
      </c>
      <c r="M50" s="1" t="str">
        <f t="shared" si="6"/>
        <v/>
      </c>
      <c r="N50" s="1" t="str">
        <f t="shared" si="7"/>
        <v/>
      </c>
      <c r="O50" s="1" t="str">
        <f t="shared" si="8"/>
        <v/>
      </c>
      <c r="P50" s="1" t="str">
        <f t="shared" si="9"/>
        <v/>
      </c>
      <c r="Q50" s="1" t="str">
        <f t="shared" si="10"/>
        <v/>
      </c>
      <c r="R50" s="1" t="str">
        <f t="shared" si="11"/>
        <v/>
      </c>
      <c r="S50" s="1" t="str">
        <f t="shared" si="12"/>
        <v/>
      </c>
      <c r="T50" s="1" t="str">
        <f t="shared" si="13"/>
        <v/>
      </c>
      <c r="U50" s="1" t="str">
        <f t="shared" si="14"/>
        <v/>
      </c>
      <c r="V50" s="1" t="str">
        <f t="shared" si="15"/>
        <v/>
      </c>
      <c r="W50" s="26" t="str">
        <f t="shared" si="16"/>
        <v/>
      </c>
      <c r="X50" s="13" t="str">
        <f t="shared" si="17"/>
        <v/>
      </c>
      <c r="Y50" s="9">
        <f t="shared" si="18"/>
        <v>0</v>
      </c>
    </row>
    <row r="51" spans="1:25" x14ac:dyDescent="0.25">
      <c r="A51" s="28"/>
      <c r="B51" s="29"/>
      <c r="C51" s="30"/>
      <c r="D51" s="31"/>
      <c r="E51" s="29" t="s">
        <v>16</v>
      </c>
      <c r="F51" s="13" t="b">
        <f>IF($E51=Categories!$A$1,"",IF($E51=Categories!$A$2,Categories!$B$2,IF($E51=Categories!$A$3,Categories!$B$3,IF($E51=Categories!$A$4,Categories!$B$4,IF($E51=Categories!$A$5,Categories!$B$5,IF($E51=Categories!$A$6,Categories!$B$6,IF($E51=Categories!$A$7,Categories!$B$7,IF($E51=Categories!$A$8,Categories!$B$8,IF($E51=Categories!$A$9,Categories!$B$9,IF($E51=Categories!$A$10,Categories!$B$10,IF($E51=Categories!$A$11,Categories!$B$11,IF($E51=Categories!$A$12,Categories!$B$12,IF($E51=Categories!$A$13,Categories!$B$13,IF($E51=Categories!$A$14,Categories!$B$14,IF($E51=Categories!$A$15,Categories!$B$15,IF($E51=Categories!$A$16,Categories!$B$16,IF($E51=Categories!$A$17,Categories!$B$17,IF($E51=Categories!$A$18,Categories!$B$18,IF($E51=Categories!$A$19,Categories!$B$19)))))))))))))))))))</f>
        <v>0</v>
      </c>
      <c r="G51" s="9" t="str">
        <f t="shared" si="0"/>
        <v/>
      </c>
      <c r="H51" s="1" t="str">
        <f t="shared" si="1"/>
        <v/>
      </c>
      <c r="I51" s="1" t="str">
        <f t="shared" si="2"/>
        <v/>
      </c>
      <c r="J51" s="1" t="str">
        <f t="shared" si="3"/>
        <v/>
      </c>
      <c r="K51" s="13" t="str">
        <f t="shared" si="4"/>
        <v/>
      </c>
      <c r="L51" s="9" t="str">
        <f t="shared" si="5"/>
        <v/>
      </c>
      <c r="M51" s="1" t="str">
        <f t="shared" si="6"/>
        <v/>
      </c>
      <c r="N51" s="1" t="str">
        <f t="shared" si="7"/>
        <v/>
      </c>
      <c r="O51" s="1" t="str">
        <f t="shared" si="8"/>
        <v/>
      </c>
      <c r="P51" s="1" t="str">
        <f t="shared" si="9"/>
        <v/>
      </c>
      <c r="Q51" s="1" t="str">
        <f t="shared" si="10"/>
        <v/>
      </c>
      <c r="R51" s="1" t="str">
        <f t="shared" si="11"/>
        <v/>
      </c>
      <c r="S51" s="1" t="str">
        <f t="shared" si="12"/>
        <v/>
      </c>
      <c r="T51" s="1" t="str">
        <f t="shared" si="13"/>
        <v/>
      </c>
      <c r="U51" s="1" t="str">
        <f t="shared" si="14"/>
        <v/>
      </c>
      <c r="V51" s="1" t="str">
        <f t="shared" si="15"/>
        <v/>
      </c>
      <c r="W51" s="26" t="str">
        <f t="shared" si="16"/>
        <v/>
      </c>
      <c r="X51" s="13" t="str">
        <f t="shared" si="17"/>
        <v/>
      </c>
      <c r="Y51" s="9">
        <f t="shared" si="18"/>
        <v>0</v>
      </c>
    </row>
    <row r="52" spans="1:25" x14ac:dyDescent="0.25">
      <c r="A52" s="28"/>
      <c r="B52" s="29"/>
      <c r="C52" s="30"/>
      <c r="D52" s="31"/>
      <c r="E52" s="29" t="s">
        <v>16</v>
      </c>
      <c r="F52" s="13" t="b">
        <f>IF($E52=Categories!$A$1,"",IF($E52=Categories!$A$2,Categories!$B$2,IF($E52=Categories!$A$3,Categories!$B$3,IF($E52=Categories!$A$4,Categories!$B$4,IF($E52=Categories!$A$5,Categories!$B$5,IF($E52=Categories!$A$6,Categories!$B$6,IF($E52=Categories!$A$7,Categories!$B$7,IF($E52=Categories!$A$8,Categories!$B$8,IF($E52=Categories!$A$9,Categories!$B$9,IF($E52=Categories!$A$10,Categories!$B$10,IF($E52=Categories!$A$11,Categories!$B$11,IF($E52=Categories!$A$12,Categories!$B$12,IF($E52=Categories!$A$13,Categories!$B$13,IF($E52=Categories!$A$14,Categories!$B$14,IF($E52=Categories!$A$15,Categories!$B$15,IF($E52=Categories!$A$16,Categories!$B$16,IF($E52=Categories!$A$17,Categories!$B$17,IF($E52=Categories!$A$18,Categories!$B$18,IF($E52=Categories!$A$19,Categories!$B$19)))))))))))))))))))</f>
        <v>0</v>
      </c>
      <c r="G52" s="9" t="str">
        <f t="shared" si="0"/>
        <v/>
      </c>
      <c r="H52" s="1" t="str">
        <f t="shared" si="1"/>
        <v/>
      </c>
      <c r="I52" s="1" t="str">
        <f t="shared" si="2"/>
        <v/>
      </c>
      <c r="J52" s="1" t="str">
        <f t="shared" si="3"/>
        <v/>
      </c>
      <c r="K52" s="13" t="str">
        <f t="shared" si="4"/>
        <v/>
      </c>
      <c r="L52" s="9" t="str">
        <f t="shared" si="5"/>
        <v/>
      </c>
      <c r="M52" s="1" t="str">
        <f t="shared" si="6"/>
        <v/>
      </c>
      <c r="N52" s="1" t="str">
        <f t="shared" si="7"/>
        <v/>
      </c>
      <c r="O52" s="1" t="str">
        <f t="shared" si="8"/>
        <v/>
      </c>
      <c r="P52" s="1" t="str">
        <f t="shared" si="9"/>
        <v/>
      </c>
      <c r="Q52" s="1" t="str">
        <f t="shared" si="10"/>
        <v/>
      </c>
      <c r="R52" s="1" t="str">
        <f t="shared" si="11"/>
        <v/>
      </c>
      <c r="S52" s="1" t="str">
        <f t="shared" si="12"/>
        <v/>
      </c>
      <c r="T52" s="1" t="str">
        <f t="shared" si="13"/>
        <v/>
      </c>
      <c r="U52" s="1" t="str">
        <f t="shared" si="14"/>
        <v/>
      </c>
      <c r="V52" s="1" t="str">
        <f t="shared" si="15"/>
        <v/>
      </c>
      <c r="W52" s="26" t="str">
        <f t="shared" si="16"/>
        <v/>
      </c>
      <c r="X52" s="13" t="str">
        <f t="shared" si="17"/>
        <v/>
      </c>
      <c r="Y52" s="9">
        <f t="shared" si="18"/>
        <v>0</v>
      </c>
    </row>
    <row r="53" spans="1:25" x14ac:dyDescent="0.25">
      <c r="A53" s="28"/>
      <c r="B53" s="29"/>
      <c r="C53" s="30"/>
      <c r="D53" s="31"/>
      <c r="E53" s="29" t="s">
        <v>16</v>
      </c>
      <c r="F53" s="13" t="b">
        <f>IF($E53=Categories!$A$1,"",IF($E53=Categories!$A$2,Categories!$B$2,IF($E53=Categories!$A$3,Categories!$B$3,IF($E53=Categories!$A$4,Categories!$B$4,IF($E53=Categories!$A$5,Categories!$B$5,IF($E53=Categories!$A$6,Categories!$B$6,IF($E53=Categories!$A$7,Categories!$B$7,IF($E53=Categories!$A$8,Categories!$B$8,IF($E53=Categories!$A$9,Categories!$B$9,IF($E53=Categories!$A$10,Categories!$B$10,IF($E53=Categories!$A$11,Categories!$B$11,IF($E53=Categories!$A$12,Categories!$B$12,IF($E53=Categories!$A$13,Categories!$B$13,IF($E53=Categories!$A$14,Categories!$B$14,IF($E53=Categories!$A$15,Categories!$B$15,IF($E53=Categories!$A$16,Categories!$B$16,IF($E53=Categories!$A$17,Categories!$B$17,IF($E53=Categories!$A$18,Categories!$B$18,IF($E53=Categories!$A$19,Categories!$B$19)))))))))))))))))))</f>
        <v>0</v>
      </c>
      <c r="G53" s="9" t="str">
        <f t="shared" si="0"/>
        <v/>
      </c>
      <c r="H53" s="1" t="str">
        <f t="shared" si="1"/>
        <v/>
      </c>
      <c r="I53" s="1" t="str">
        <f t="shared" si="2"/>
        <v/>
      </c>
      <c r="J53" s="1" t="str">
        <f t="shared" si="3"/>
        <v/>
      </c>
      <c r="K53" s="13" t="str">
        <f t="shared" si="4"/>
        <v/>
      </c>
      <c r="L53" s="9" t="str">
        <f t="shared" si="5"/>
        <v/>
      </c>
      <c r="M53" s="1" t="str">
        <f t="shared" si="6"/>
        <v/>
      </c>
      <c r="N53" s="1" t="str">
        <f t="shared" si="7"/>
        <v/>
      </c>
      <c r="O53" s="1" t="str">
        <f t="shared" si="8"/>
        <v/>
      </c>
      <c r="P53" s="1" t="str">
        <f t="shared" si="9"/>
        <v/>
      </c>
      <c r="Q53" s="1" t="str">
        <f t="shared" si="10"/>
        <v/>
      </c>
      <c r="R53" s="1" t="str">
        <f t="shared" si="11"/>
        <v/>
      </c>
      <c r="S53" s="1" t="str">
        <f t="shared" si="12"/>
        <v/>
      </c>
      <c r="T53" s="1" t="str">
        <f t="shared" si="13"/>
        <v/>
      </c>
      <c r="U53" s="1" t="str">
        <f t="shared" si="14"/>
        <v/>
      </c>
      <c r="V53" s="1" t="str">
        <f t="shared" si="15"/>
        <v/>
      </c>
      <c r="W53" s="26" t="str">
        <f t="shared" si="16"/>
        <v/>
      </c>
      <c r="X53" s="13" t="str">
        <f t="shared" si="17"/>
        <v/>
      </c>
      <c r="Y53" s="9">
        <f t="shared" si="18"/>
        <v>0</v>
      </c>
    </row>
    <row r="54" spans="1:25" x14ac:dyDescent="0.25">
      <c r="A54" s="28"/>
      <c r="B54" s="29"/>
      <c r="C54" s="30"/>
      <c r="D54" s="31"/>
      <c r="E54" s="29" t="s">
        <v>16</v>
      </c>
      <c r="F54" s="13" t="b">
        <f>IF($E54=Categories!$A$1,"",IF($E54=Categories!$A$2,Categories!$B$2,IF($E54=Categories!$A$3,Categories!$B$3,IF($E54=Categories!$A$4,Categories!$B$4,IF($E54=Categories!$A$5,Categories!$B$5,IF($E54=Categories!$A$6,Categories!$B$6,IF($E54=Categories!$A$7,Categories!$B$7,IF($E54=Categories!$A$8,Categories!$B$8,IF($E54=Categories!$A$9,Categories!$B$9,IF($E54=Categories!$A$10,Categories!$B$10,IF($E54=Categories!$A$11,Categories!$B$11,IF($E54=Categories!$A$12,Categories!$B$12,IF($E54=Categories!$A$13,Categories!$B$13,IF($E54=Categories!$A$14,Categories!$B$14,IF($E54=Categories!$A$15,Categories!$B$15,IF($E54=Categories!$A$16,Categories!$B$16,IF($E54=Categories!$A$17,Categories!$B$17,IF($E54=Categories!$A$18,Categories!$B$18,IF($E54=Categories!$A$19,Categories!$B$19)))))))))))))))))))</f>
        <v>0</v>
      </c>
      <c r="G54" s="9" t="str">
        <f t="shared" si="0"/>
        <v/>
      </c>
      <c r="H54" s="1" t="str">
        <f t="shared" si="1"/>
        <v/>
      </c>
      <c r="I54" s="1" t="str">
        <f t="shared" si="2"/>
        <v/>
      </c>
      <c r="J54" s="1" t="str">
        <f t="shared" si="3"/>
        <v/>
      </c>
      <c r="K54" s="13" t="str">
        <f t="shared" si="4"/>
        <v/>
      </c>
      <c r="L54" s="9" t="str">
        <f t="shared" si="5"/>
        <v/>
      </c>
      <c r="M54" s="1" t="str">
        <f t="shared" si="6"/>
        <v/>
      </c>
      <c r="N54" s="1" t="str">
        <f t="shared" si="7"/>
        <v/>
      </c>
      <c r="O54" s="1" t="str">
        <f t="shared" si="8"/>
        <v/>
      </c>
      <c r="P54" s="1" t="str">
        <f t="shared" si="9"/>
        <v/>
      </c>
      <c r="Q54" s="1" t="str">
        <f t="shared" si="10"/>
        <v/>
      </c>
      <c r="R54" s="1" t="str">
        <f t="shared" si="11"/>
        <v/>
      </c>
      <c r="S54" s="1" t="str">
        <f t="shared" si="12"/>
        <v/>
      </c>
      <c r="T54" s="1" t="str">
        <f t="shared" si="13"/>
        <v/>
      </c>
      <c r="U54" s="1" t="str">
        <f t="shared" si="14"/>
        <v/>
      </c>
      <c r="V54" s="1" t="str">
        <f t="shared" si="15"/>
        <v/>
      </c>
      <c r="W54" s="26" t="str">
        <f t="shared" si="16"/>
        <v/>
      </c>
      <c r="X54" s="13" t="str">
        <f t="shared" si="17"/>
        <v/>
      </c>
      <c r="Y54" s="9">
        <f t="shared" si="18"/>
        <v>0</v>
      </c>
    </row>
    <row r="55" spans="1:25" x14ac:dyDescent="0.25">
      <c r="A55" s="28"/>
      <c r="B55" s="29"/>
      <c r="C55" s="30"/>
      <c r="D55" s="31"/>
      <c r="E55" s="29" t="s">
        <v>16</v>
      </c>
      <c r="F55" s="13" t="b">
        <f>IF($E55=Categories!$A$1,"",IF($E55=Categories!$A$2,Categories!$B$2,IF($E55=Categories!$A$3,Categories!$B$3,IF($E55=Categories!$A$4,Categories!$B$4,IF($E55=Categories!$A$5,Categories!$B$5,IF($E55=Categories!$A$6,Categories!$B$6,IF($E55=Categories!$A$7,Categories!$B$7,IF($E55=Categories!$A$8,Categories!$B$8,IF($E55=Categories!$A$9,Categories!$B$9,IF($E55=Categories!$A$10,Categories!$B$10,IF($E55=Categories!$A$11,Categories!$B$11,IF($E55=Categories!$A$12,Categories!$B$12,IF($E55=Categories!$A$13,Categories!$B$13,IF($E55=Categories!$A$14,Categories!$B$14,IF($E55=Categories!$A$15,Categories!$B$15,IF($E55=Categories!$A$16,Categories!$B$16,IF($E55=Categories!$A$17,Categories!$B$17,IF($E55=Categories!$A$18,Categories!$B$18,IF($E55=Categories!$A$19,Categories!$B$19)))))))))))))))))))</f>
        <v>0</v>
      </c>
      <c r="G55" s="9" t="str">
        <f t="shared" si="0"/>
        <v/>
      </c>
      <c r="H55" s="1" t="str">
        <f t="shared" si="1"/>
        <v/>
      </c>
      <c r="I55" s="1" t="str">
        <f t="shared" si="2"/>
        <v/>
      </c>
      <c r="J55" s="1" t="str">
        <f t="shared" si="3"/>
        <v/>
      </c>
      <c r="K55" s="13" t="str">
        <f t="shared" si="4"/>
        <v/>
      </c>
      <c r="L55" s="9" t="str">
        <f t="shared" si="5"/>
        <v/>
      </c>
      <c r="M55" s="1" t="str">
        <f t="shared" si="6"/>
        <v/>
      </c>
      <c r="N55" s="1" t="str">
        <f t="shared" si="7"/>
        <v/>
      </c>
      <c r="O55" s="1" t="str">
        <f t="shared" si="8"/>
        <v/>
      </c>
      <c r="P55" s="1" t="str">
        <f t="shared" si="9"/>
        <v/>
      </c>
      <c r="Q55" s="1" t="str">
        <f t="shared" si="10"/>
        <v/>
      </c>
      <c r="R55" s="1" t="str">
        <f t="shared" si="11"/>
        <v/>
      </c>
      <c r="S55" s="1" t="str">
        <f t="shared" si="12"/>
        <v/>
      </c>
      <c r="T55" s="1" t="str">
        <f t="shared" si="13"/>
        <v/>
      </c>
      <c r="U55" s="1" t="str">
        <f t="shared" si="14"/>
        <v/>
      </c>
      <c r="V55" s="1" t="str">
        <f t="shared" si="15"/>
        <v/>
      </c>
      <c r="W55" s="26" t="str">
        <f t="shared" si="16"/>
        <v/>
      </c>
      <c r="X55" s="13" t="str">
        <f t="shared" si="17"/>
        <v/>
      </c>
      <c r="Y55" s="9">
        <f t="shared" si="18"/>
        <v>0</v>
      </c>
    </row>
    <row r="56" spans="1:25" x14ac:dyDescent="0.25">
      <c r="A56" s="28"/>
      <c r="B56" s="29"/>
      <c r="C56" s="30"/>
      <c r="D56" s="31"/>
      <c r="E56" s="29" t="s">
        <v>16</v>
      </c>
      <c r="F56" s="13" t="b">
        <f>IF($E56=Categories!$A$1,"",IF($E56=Categories!$A$2,Categories!$B$2,IF($E56=Categories!$A$3,Categories!$B$3,IF($E56=Categories!$A$4,Categories!$B$4,IF($E56=Categories!$A$5,Categories!$B$5,IF($E56=Categories!$A$6,Categories!$B$6,IF($E56=Categories!$A$7,Categories!$B$7,IF($E56=Categories!$A$8,Categories!$B$8,IF($E56=Categories!$A$9,Categories!$B$9,IF($E56=Categories!$A$10,Categories!$B$10,IF($E56=Categories!$A$11,Categories!$B$11,IF($E56=Categories!$A$12,Categories!$B$12,IF($E56=Categories!$A$13,Categories!$B$13,IF($E56=Categories!$A$14,Categories!$B$14,IF($E56=Categories!$A$15,Categories!$B$15,IF($E56=Categories!$A$16,Categories!$B$16,IF($E56=Categories!$A$17,Categories!$B$17,IF($E56=Categories!$A$18,Categories!$B$18,IF($E56=Categories!$A$19,Categories!$B$19)))))))))))))))))))</f>
        <v>0</v>
      </c>
      <c r="G56" s="9" t="str">
        <f t="shared" si="0"/>
        <v/>
      </c>
      <c r="H56" s="1" t="str">
        <f t="shared" si="1"/>
        <v/>
      </c>
      <c r="I56" s="1" t="str">
        <f t="shared" si="2"/>
        <v/>
      </c>
      <c r="J56" s="1" t="str">
        <f t="shared" si="3"/>
        <v/>
      </c>
      <c r="K56" s="13" t="str">
        <f t="shared" si="4"/>
        <v/>
      </c>
      <c r="L56" s="9" t="str">
        <f t="shared" si="5"/>
        <v/>
      </c>
      <c r="M56" s="1" t="str">
        <f t="shared" si="6"/>
        <v/>
      </c>
      <c r="N56" s="1" t="str">
        <f t="shared" si="7"/>
        <v/>
      </c>
      <c r="O56" s="1" t="str">
        <f t="shared" si="8"/>
        <v/>
      </c>
      <c r="P56" s="1" t="str">
        <f t="shared" si="9"/>
        <v/>
      </c>
      <c r="Q56" s="1" t="str">
        <f t="shared" si="10"/>
        <v/>
      </c>
      <c r="R56" s="1" t="str">
        <f t="shared" si="11"/>
        <v/>
      </c>
      <c r="S56" s="1" t="str">
        <f t="shared" si="12"/>
        <v/>
      </c>
      <c r="T56" s="1" t="str">
        <f t="shared" si="13"/>
        <v/>
      </c>
      <c r="U56" s="1" t="str">
        <f t="shared" si="14"/>
        <v/>
      </c>
      <c r="V56" s="1" t="str">
        <f t="shared" si="15"/>
        <v/>
      </c>
      <c r="W56" s="26" t="str">
        <f t="shared" si="16"/>
        <v/>
      </c>
      <c r="X56" s="13" t="str">
        <f t="shared" si="17"/>
        <v/>
      </c>
      <c r="Y56" s="9">
        <f t="shared" si="18"/>
        <v>0</v>
      </c>
    </row>
    <row r="57" spans="1:25" x14ac:dyDescent="0.25">
      <c r="A57" s="28"/>
      <c r="B57" s="29"/>
      <c r="C57" s="30"/>
      <c r="D57" s="31"/>
      <c r="E57" s="29" t="s">
        <v>16</v>
      </c>
      <c r="F57" s="13" t="b">
        <f>IF($E57=Categories!$A$1,"",IF($E57=Categories!$A$2,Categories!$B$2,IF($E57=Categories!$A$3,Categories!$B$3,IF($E57=Categories!$A$4,Categories!$B$4,IF($E57=Categories!$A$5,Categories!$B$5,IF($E57=Categories!$A$6,Categories!$B$6,IF($E57=Categories!$A$7,Categories!$B$7,IF($E57=Categories!$A$8,Categories!$B$8,IF($E57=Categories!$A$9,Categories!$B$9,IF($E57=Categories!$A$10,Categories!$B$10,IF($E57=Categories!$A$11,Categories!$B$11,IF($E57=Categories!$A$12,Categories!$B$12,IF($E57=Categories!$A$13,Categories!$B$13,IF($E57=Categories!$A$14,Categories!$B$14,IF($E57=Categories!$A$15,Categories!$B$15,IF($E57=Categories!$A$16,Categories!$B$16,IF($E57=Categories!$A$17,Categories!$B$17,IF($E57=Categories!$A$18,Categories!$B$18,IF($E57=Categories!$A$19,Categories!$B$19)))))))))))))))))))</f>
        <v>0</v>
      </c>
      <c r="G57" s="9" t="str">
        <f t="shared" si="0"/>
        <v/>
      </c>
      <c r="H57" s="1" t="str">
        <f t="shared" si="1"/>
        <v/>
      </c>
      <c r="I57" s="1" t="str">
        <f t="shared" si="2"/>
        <v/>
      </c>
      <c r="J57" s="1" t="str">
        <f t="shared" si="3"/>
        <v/>
      </c>
      <c r="K57" s="13" t="str">
        <f t="shared" si="4"/>
        <v/>
      </c>
      <c r="L57" s="9" t="str">
        <f t="shared" si="5"/>
        <v/>
      </c>
      <c r="M57" s="1" t="str">
        <f t="shared" si="6"/>
        <v/>
      </c>
      <c r="N57" s="1" t="str">
        <f t="shared" si="7"/>
        <v/>
      </c>
      <c r="O57" s="1" t="str">
        <f t="shared" si="8"/>
        <v/>
      </c>
      <c r="P57" s="1" t="str">
        <f t="shared" si="9"/>
        <v/>
      </c>
      <c r="Q57" s="1" t="str">
        <f t="shared" si="10"/>
        <v/>
      </c>
      <c r="R57" s="1" t="str">
        <f t="shared" si="11"/>
        <v/>
      </c>
      <c r="S57" s="1" t="str">
        <f t="shared" si="12"/>
        <v/>
      </c>
      <c r="T57" s="1" t="str">
        <f t="shared" si="13"/>
        <v/>
      </c>
      <c r="U57" s="1" t="str">
        <f t="shared" si="14"/>
        <v/>
      </c>
      <c r="V57" s="1" t="str">
        <f t="shared" si="15"/>
        <v/>
      </c>
      <c r="W57" s="26" t="str">
        <f t="shared" si="16"/>
        <v/>
      </c>
      <c r="X57" s="13" t="str">
        <f t="shared" si="17"/>
        <v/>
      </c>
      <c r="Y57" s="9">
        <f t="shared" si="18"/>
        <v>0</v>
      </c>
    </row>
    <row r="58" spans="1:25" x14ac:dyDescent="0.25">
      <c r="A58" s="28"/>
      <c r="B58" s="29"/>
      <c r="C58" s="30"/>
      <c r="D58" s="31"/>
      <c r="E58" s="29" t="s">
        <v>16</v>
      </c>
      <c r="F58" s="13" t="b">
        <f>IF($E58=Categories!$A$1,"",IF($E58=Categories!$A$2,Categories!$B$2,IF($E58=Categories!$A$3,Categories!$B$3,IF($E58=Categories!$A$4,Categories!$B$4,IF($E58=Categories!$A$5,Categories!$B$5,IF($E58=Categories!$A$6,Categories!$B$6,IF($E58=Categories!$A$7,Categories!$B$7,IF($E58=Categories!$A$8,Categories!$B$8,IF($E58=Categories!$A$9,Categories!$B$9,IF($E58=Categories!$A$10,Categories!$B$10,IF($E58=Categories!$A$11,Categories!$B$11,IF($E58=Categories!$A$12,Categories!$B$12,IF($E58=Categories!$A$13,Categories!$B$13,IF($E58=Categories!$A$14,Categories!$B$14,IF($E58=Categories!$A$15,Categories!$B$15,IF($E58=Categories!$A$16,Categories!$B$16,IF($E58=Categories!$A$17,Categories!$B$17,IF($E58=Categories!$A$18,Categories!$B$18,IF($E58=Categories!$A$19,Categories!$B$19)))))))))))))))))))</f>
        <v>0</v>
      </c>
      <c r="G58" s="9" t="str">
        <f t="shared" si="0"/>
        <v/>
      </c>
      <c r="H58" s="1" t="str">
        <f t="shared" si="1"/>
        <v/>
      </c>
      <c r="I58" s="1" t="str">
        <f t="shared" si="2"/>
        <v/>
      </c>
      <c r="J58" s="1" t="str">
        <f t="shared" si="3"/>
        <v/>
      </c>
      <c r="K58" s="13" t="str">
        <f t="shared" si="4"/>
        <v/>
      </c>
      <c r="L58" s="9" t="str">
        <f t="shared" si="5"/>
        <v/>
      </c>
      <c r="M58" s="1" t="str">
        <f t="shared" si="6"/>
        <v/>
      </c>
      <c r="N58" s="1" t="str">
        <f t="shared" si="7"/>
        <v/>
      </c>
      <c r="O58" s="1" t="str">
        <f t="shared" si="8"/>
        <v/>
      </c>
      <c r="P58" s="1" t="str">
        <f t="shared" si="9"/>
        <v/>
      </c>
      <c r="Q58" s="1" t="str">
        <f t="shared" si="10"/>
        <v/>
      </c>
      <c r="R58" s="1" t="str">
        <f t="shared" si="11"/>
        <v/>
      </c>
      <c r="S58" s="1" t="str">
        <f t="shared" si="12"/>
        <v/>
      </c>
      <c r="T58" s="1" t="str">
        <f t="shared" si="13"/>
        <v/>
      </c>
      <c r="U58" s="1" t="str">
        <f t="shared" si="14"/>
        <v/>
      </c>
      <c r="V58" s="1" t="str">
        <f t="shared" si="15"/>
        <v/>
      </c>
      <c r="W58" s="26" t="str">
        <f t="shared" si="16"/>
        <v/>
      </c>
      <c r="X58" s="13" t="str">
        <f t="shared" si="17"/>
        <v/>
      </c>
      <c r="Y58" s="9">
        <f t="shared" si="18"/>
        <v>0</v>
      </c>
    </row>
    <row r="59" spans="1:25" x14ac:dyDescent="0.25">
      <c r="A59" s="28"/>
      <c r="B59" s="29"/>
      <c r="C59" s="30"/>
      <c r="D59" s="31"/>
      <c r="E59" s="29" t="s">
        <v>16</v>
      </c>
      <c r="F59" s="13" t="b">
        <f>IF($E59=Categories!$A$1,"",IF($E59=Categories!$A$2,Categories!$B$2,IF($E59=Categories!$A$3,Categories!$B$3,IF($E59=Categories!$A$4,Categories!$B$4,IF($E59=Categories!$A$5,Categories!$B$5,IF($E59=Categories!$A$6,Categories!$B$6,IF($E59=Categories!$A$7,Categories!$B$7,IF($E59=Categories!$A$8,Categories!$B$8,IF($E59=Categories!$A$9,Categories!$B$9,IF($E59=Categories!$A$10,Categories!$B$10,IF($E59=Categories!$A$11,Categories!$B$11,IF($E59=Categories!$A$12,Categories!$B$12,IF($E59=Categories!$A$13,Categories!$B$13,IF($E59=Categories!$A$14,Categories!$B$14,IF($E59=Categories!$A$15,Categories!$B$15,IF($E59=Categories!$A$16,Categories!$B$16,IF($E59=Categories!$A$17,Categories!$B$17,IF($E59=Categories!$A$18,Categories!$B$18,IF($E59=Categories!$A$19,Categories!$B$19)))))))))))))))))))</f>
        <v>0</v>
      </c>
      <c r="G59" s="9" t="str">
        <f t="shared" si="0"/>
        <v/>
      </c>
      <c r="H59" s="1" t="str">
        <f t="shared" si="1"/>
        <v/>
      </c>
      <c r="I59" s="1" t="str">
        <f t="shared" si="2"/>
        <v/>
      </c>
      <c r="J59" s="1" t="str">
        <f t="shared" si="3"/>
        <v/>
      </c>
      <c r="K59" s="13" t="str">
        <f t="shared" si="4"/>
        <v/>
      </c>
      <c r="L59" s="9" t="str">
        <f t="shared" si="5"/>
        <v/>
      </c>
      <c r="M59" s="1" t="str">
        <f t="shared" si="6"/>
        <v/>
      </c>
      <c r="N59" s="1" t="str">
        <f t="shared" si="7"/>
        <v/>
      </c>
      <c r="O59" s="1" t="str">
        <f t="shared" si="8"/>
        <v/>
      </c>
      <c r="P59" s="1" t="str">
        <f t="shared" si="9"/>
        <v/>
      </c>
      <c r="Q59" s="1" t="str">
        <f t="shared" si="10"/>
        <v/>
      </c>
      <c r="R59" s="1" t="str">
        <f t="shared" si="11"/>
        <v/>
      </c>
      <c r="S59" s="1" t="str">
        <f t="shared" si="12"/>
        <v/>
      </c>
      <c r="T59" s="1" t="str">
        <f t="shared" si="13"/>
        <v/>
      </c>
      <c r="U59" s="1" t="str">
        <f t="shared" si="14"/>
        <v/>
      </c>
      <c r="V59" s="1" t="str">
        <f t="shared" si="15"/>
        <v/>
      </c>
      <c r="W59" s="26" t="str">
        <f t="shared" si="16"/>
        <v/>
      </c>
      <c r="X59" s="13" t="str">
        <f t="shared" si="17"/>
        <v/>
      </c>
      <c r="Y59" s="9">
        <f t="shared" si="18"/>
        <v>0</v>
      </c>
    </row>
    <row r="60" spans="1:25" x14ac:dyDescent="0.25">
      <c r="A60" s="28"/>
      <c r="B60" s="29"/>
      <c r="C60" s="30"/>
      <c r="D60" s="31"/>
      <c r="E60" s="29" t="s">
        <v>16</v>
      </c>
      <c r="F60" s="13" t="b">
        <f>IF($E60=Categories!$A$1,"",IF($E60=Categories!$A$2,Categories!$B$2,IF($E60=Categories!$A$3,Categories!$B$3,IF($E60=Categories!$A$4,Categories!$B$4,IF($E60=Categories!$A$5,Categories!$B$5,IF($E60=Categories!$A$6,Categories!$B$6,IF($E60=Categories!$A$7,Categories!$B$7,IF($E60=Categories!$A$8,Categories!$B$8,IF($E60=Categories!$A$9,Categories!$B$9,IF($E60=Categories!$A$10,Categories!$B$10,IF($E60=Categories!$A$11,Categories!$B$11,IF($E60=Categories!$A$12,Categories!$B$12,IF($E60=Categories!$A$13,Categories!$B$13,IF($E60=Categories!$A$14,Categories!$B$14,IF($E60=Categories!$A$15,Categories!$B$15,IF($E60=Categories!$A$16,Categories!$B$16,IF($E60=Categories!$A$17,Categories!$B$17,IF($E60=Categories!$A$18,Categories!$B$18,IF($E60=Categories!$A$19,Categories!$B$19)))))))))))))))))))</f>
        <v>0</v>
      </c>
      <c r="G60" s="9" t="str">
        <f t="shared" si="0"/>
        <v/>
      </c>
      <c r="H60" s="1" t="str">
        <f t="shared" si="1"/>
        <v/>
      </c>
      <c r="I60" s="1" t="str">
        <f t="shared" si="2"/>
        <v/>
      </c>
      <c r="J60" s="1" t="str">
        <f t="shared" si="3"/>
        <v/>
      </c>
      <c r="K60" s="13" t="str">
        <f t="shared" si="4"/>
        <v/>
      </c>
      <c r="L60" s="9" t="str">
        <f t="shared" si="5"/>
        <v/>
      </c>
      <c r="M60" s="1" t="str">
        <f t="shared" si="6"/>
        <v/>
      </c>
      <c r="N60" s="1" t="str">
        <f t="shared" si="7"/>
        <v/>
      </c>
      <c r="O60" s="1" t="str">
        <f t="shared" si="8"/>
        <v/>
      </c>
      <c r="P60" s="1" t="str">
        <f t="shared" si="9"/>
        <v/>
      </c>
      <c r="Q60" s="1" t="str">
        <f t="shared" si="10"/>
        <v/>
      </c>
      <c r="R60" s="1" t="str">
        <f t="shared" si="11"/>
        <v/>
      </c>
      <c r="S60" s="1" t="str">
        <f t="shared" si="12"/>
        <v/>
      </c>
      <c r="T60" s="1" t="str">
        <f t="shared" si="13"/>
        <v/>
      </c>
      <c r="U60" s="1" t="str">
        <f t="shared" si="14"/>
        <v/>
      </c>
      <c r="V60" s="1" t="str">
        <f t="shared" si="15"/>
        <v/>
      </c>
      <c r="W60" s="26" t="str">
        <f t="shared" si="16"/>
        <v/>
      </c>
      <c r="X60" s="13" t="str">
        <f t="shared" si="17"/>
        <v/>
      </c>
      <c r="Y60" s="9">
        <f t="shared" si="18"/>
        <v>0</v>
      </c>
    </row>
    <row r="61" spans="1:25" x14ac:dyDescent="0.25">
      <c r="A61" s="28"/>
      <c r="B61" s="29"/>
      <c r="C61" s="30"/>
      <c r="D61" s="31"/>
      <c r="E61" s="29" t="s">
        <v>16</v>
      </c>
      <c r="F61" s="13" t="b">
        <f>IF($E61=Categories!$A$1,"",IF($E61=Categories!$A$2,Categories!$B$2,IF($E61=Categories!$A$3,Categories!$B$3,IF($E61=Categories!$A$4,Categories!$B$4,IF($E61=Categories!$A$5,Categories!$B$5,IF($E61=Categories!$A$6,Categories!$B$6,IF($E61=Categories!$A$7,Categories!$B$7,IF($E61=Categories!$A$8,Categories!$B$8,IF($E61=Categories!$A$9,Categories!$B$9,IF($E61=Categories!$A$10,Categories!$B$10,IF($E61=Categories!$A$11,Categories!$B$11,IF($E61=Categories!$A$12,Categories!$B$12,IF($E61=Categories!$A$13,Categories!$B$13,IF($E61=Categories!$A$14,Categories!$B$14,IF($E61=Categories!$A$15,Categories!$B$15,IF($E61=Categories!$A$16,Categories!$B$16,IF($E61=Categories!$A$17,Categories!$B$17,IF($E61=Categories!$A$18,Categories!$B$18,IF($E61=Categories!$A$19,Categories!$B$19)))))))))))))))))))</f>
        <v>0</v>
      </c>
      <c r="G61" s="9" t="str">
        <f t="shared" si="0"/>
        <v/>
      </c>
      <c r="H61" s="1" t="str">
        <f t="shared" si="1"/>
        <v/>
      </c>
      <c r="I61" s="1" t="str">
        <f t="shared" si="2"/>
        <v/>
      </c>
      <c r="J61" s="1" t="str">
        <f t="shared" si="3"/>
        <v/>
      </c>
      <c r="K61" s="13" t="str">
        <f t="shared" si="4"/>
        <v/>
      </c>
      <c r="L61" s="9" t="str">
        <f t="shared" si="5"/>
        <v/>
      </c>
      <c r="M61" s="1" t="str">
        <f t="shared" si="6"/>
        <v/>
      </c>
      <c r="N61" s="1" t="str">
        <f t="shared" si="7"/>
        <v/>
      </c>
      <c r="O61" s="1" t="str">
        <f t="shared" si="8"/>
        <v/>
      </c>
      <c r="P61" s="1" t="str">
        <f t="shared" si="9"/>
        <v/>
      </c>
      <c r="Q61" s="1" t="str">
        <f t="shared" si="10"/>
        <v/>
      </c>
      <c r="R61" s="1" t="str">
        <f t="shared" si="11"/>
        <v/>
      </c>
      <c r="S61" s="1" t="str">
        <f t="shared" si="12"/>
        <v/>
      </c>
      <c r="T61" s="1" t="str">
        <f t="shared" si="13"/>
        <v/>
      </c>
      <c r="U61" s="1" t="str">
        <f t="shared" si="14"/>
        <v/>
      </c>
      <c r="V61" s="1" t="str">
        <f t="shared" si="15"/>
        <v/>
      </c>
      <c r="W61" s="26" t="str">
        <f t="shared" si="16"/>
        <v/>
      </c>
      <c r="X61" s="13" t="str">
        <f t="shared" si="17"/>
        <v/>
      </c>
      <c r="Y61" s="9">
        <f t="shared" si="18"/>
        <v>0</v>
      </c>
    </row>
    <row r="62" spans="1:25" x14ac:dyDescent="0.25">
      <c r="A62" s="28"/>
      <c r="B62" s="29"/>
      <c r="C62" s="30"/>
      <c r="D62" s="31"/>
      <c r="E62" s="29" t="s">
        <v>16</v>
      </c>
      <c r="F62" s="13" t="b">
        <f>IF($E62=Categories!$A$1,"",IF($E62=Categories!$A$2,Categories!$B$2,IF($E62=Categories!$A$3,Categories!$B$3,IF($E62=Categories!$A$4,Categories!$B$4,IF($E62=Categories!$A$5,Categories!$B$5,IF($E62=Categories!$A$6,Categories!$B$6,IF($E62=Categories!$A$7,Categories!$B$7,IF($E62=Categories!$A$8,Categories!$B$8,IF($E62=Categories!$A$9,Categories!$B$9,IF($E62=Categories!$A$10,Categories!$B$10,IF($E62=Categories!$A$11,Categories!$B$11,IF($E62=Categories!$A$12,Categories!$B$12,IF($E62=Categories!$A$13,Categories!$B$13,IF($E62=Categories!$A$14,Categories!$B$14,IF($E62=Categories!$A$15,Categories!$B$15,IF($E62=Categories!$A$16,Categories!$B$16,IF($E62=Categories!$A$17,Categories!$B$17,IF($E62=Categories!$A$18,Categories!$B$18,IF($E62=Categories!$A$19,Categories!$B$19)))))))))))))))))))</f>
        <v>0</v>
      </c>
      <c r="G62" s="9" t="str">
        <f t="shared" si="0"/>
        <v/>
      </c>
      <c r="H62" s="1" t="str">
        <f t="shared" si="1"/>
        <v/>
      </c>
      <c r="I62" s="1" t="str">
        <f t="shared" si="2"/>
        <v/>
      </c>
      <c r="J62" s="1" t="str">
        <f t="shared" si="3"/>
        <v/>
      </c>
      <c r="K62" s="13" t="str">
        <f t="shared" si="4"/>
        <v/>
      </c>
      <c r="L62" s="9" t="str">
        <f t="shared" si="5"/>
        <v/>
      </c>
      <c r="M62" s="1" t="str">
        <f t="shared" si="6"/>
        <v/>
      </c>
      <c r="N62" s="1" t="str">
        <f t="shared" si="7"/>
        <v/>
      </c>
      <c r="O62" s="1" t="str">
        <f t="shared" si="8"/>
        <v/>
      </c>
      <c r="P62" s="1" t="str">
        <f t="shared" si="9"/>
        <v/>
      </c>
      <c r="Q62" s="1" t="str">
        <f t="shared" si="10"/>
        <v/>
      </c>
      <c r="R62" s="1" t="str">
        <f t="shared" si="11"/>
        <v/>
      </c>
      <c r="S62" s="1" t="str">
        <f t="shared" si="12"/>
        <v/>
      </c>
      <c r="T62" s="1" t="str">
        <f t="shared" si="13"/>
        <v/>
      </c>
      <c r="U62" s="1" t="str">
        <f t="shared" si="14"/>
        <v/>
      </c>
      <c r="V62" s="1" t="str">
        <f t="shared" si="15"/>
        <v/>
      </c>
      <c r="W62" s="26" t="str">
        <f t="shared" si="16"/>
        <v/>
      </c>
      <c r="X62" s="13" t="str">
        <f t="shared" si="17"/>
        <v/>
      </c>
      <c r="Y62" s="9">
        <f t="shared" si="18"/>
        <v>0</v>
      </c>
    </row>
    <row r="63" spans="1:25" x14ac:dyDescent="0.25">
      <c r="A63" s="28"/>
      <c r="B63" s="29"/>
      <c r="C63" s="30"/>
      <c r="D63" s="31"/>
      <c r="E63" s="29" t="s">
        <v>16</v>
      </c>
      <c r="F63" s="13" t="b">
        <f>IF($E63=Categories!$A$1,"",IF($E63=Categories!$A$2,Categories!$B$2,IF($E63=Categories!$A$3,Categories!$B$3,IF($E63=Categories!$A$4,Categories!$B$4,IF($E63=Categories!$A$5,Categories!$B$5,IF($E63=Categories!$A$6,Categories!$B$6,IF($E63=Categories!$A$7,Categories!$B$7,IF($E63=Categories!$A$8,Categories!$B$8,IF($E63=Categories!$A$9,Categories!$B$9,IF($E63=Categories!$A$10,Categories!$B$10,IF($E63=Categories!$A$11,Categories!$B$11,IF($E63=Categories!$A$12,Categories!$B$12,IF($E63=Categories!$A$13,Categories!$B$13,IF($E63=Categories!$A$14,Categories!$B$14,IF($E63=Categories!$A$15,Categories!$B$15,IF($E63=Categories!$A$16,Categories!$B$16,IF($E63=Categories!$A$17,Categories!$B$17,IF($E63=Categories!$A$18,Categories!$B$18,IF($E63=Categories!$A$19,Categories!$B$19)))))))))))))))))))</f>
        <v>0</v>
      </c>
      <c r="G63" s="9" t="str">
        <f t="shared" si="0"/>
        <v/>
      </c>
      <c r="H63" s="1" t="str">
        <f t="shared" si="1"/>
        <v/>
      </c>
      <c r="I63" s="1" t="str">
        <f t="shared" si="2"/>
        <v/>
      </c>
      <c r="J63" s="1" t="str">
        <f t="shared" si="3"/>
        <v/>
      </c>
      <c r="K63" s="13" t="str">
        <f t="shared" si="4"/>
        <v/>
      </c>
      <c r="L63" s="9" t="str">
        <f t="shared" si="5"/>
        <v/>
      </c>
      <c r="M63" s="1" t="str">
        <f t="shared" si="6"/>
        <v/>
      </c>
      <c r="N63" s="1" t="str">
        <f t="shared" si="7"/>
        <v/>
      </c>
      <c r="O63" s="1" t="str">
        <f t="shared" si="8"/>
        <v/>
      </c>
      <c r="P63" s="1" t="str">
        <f t="shared" si="9"/>
        <v/>
      </c>
      <c r="Q63" s="1" t="str">
        <f t="shared" si="10"/>
        <v/>
      </c>
      <c r="R63" s="1" t="str">
        <f t="shared" si="11"/>
        <v/>
      </c>
      <c r="S63" s="1" t="str">
        <f t="shared" si="12"/>
        <v/>
      </c>
      <c r="T63" s="1" t="str">
        <f t="shared" si="13"/>
        <v/>
      </c>
      <c r="U63" s="1" t="str">
        <f t="shared" si="14"/>
        <v/>
      </c>
      <c r="V63" s="1" t="str">
        <f t="shared" si="15"/>
        <v/>
      </c>
      <c r="W63" s="26" t="str">
        <f t="shared" si="16"/>
        <v/>
      </c>
      <c r="X63" s="13" t="str">
        <f t="shared" si="17"/>
        <v/>
      </c>
      <c r="Y63" s="9">
        <f t="shared" si="18"/>
        <v>0</v>
      </c>
    </row>
    <row r="64" spans="1:25" x14ac:dyDescent="0.25">
      <c r="A64" s="28"/>
      <c r="B64" s="29"/>
      <c r="C64" s="30"/>
      <c r="D64" s="31"/>
      <c r="E64" s="29" t="s">
        <v>16</v>
      </c>
      <c r="F64" s="13" t="b">
        <f>IF($E64=Categories!$A$1,"",IF($E64=Categories!$A$2,Categories!$B$2,IF($E64=Categories!$A$3,Categories!$B$3,IF($E64=Categories!$A$4,Categories!$B$4,IF($E64=Categories!$A$5,Categories!$B$5,IF($E64=Categories!$A$6,Categories!$B$6,IF($E64=Categories!$A$7,Categories!$B$7,IF($E64=Categories!$A$8,Categories!$B$8,IF($E64=Categories!$A$9,Categories!$B$9,IF($E64=Categories!$A$10,Categories!$B$10,IF($E64=Categories!$A$11,Categories!$B$11,IF($E64=Categories!$A$12,Categories!$B$12,IF($E64=Categories!$A$13,Categories!$B$13,IF($E64=Categories!$A$14,Categories!$B$14,IF($E64=Categories!$A$15,Categories!$B$15,IF($E64=Categories!$A$16,Categories!$B$16,IF($E64=Categories!$A$17,Categories!$B$17,IF($E64=Categories!$A$18,Categories!$B$18,IF($E64=Categories!$A$19,Categories!$B$19)))))))))))))))))))</f>
        <v>0</v>
      </c>
      <c r="G64" s="9" t="str">
        <f t="shared" si="0"/>
        <v/>
      </c>
      <c r="H64" s="1" t="str">
        <f t="shared" si="1"/>
        <v/>
      </c>
      <c r="I64" s="1" t="str">
        <f t="shared" si="2"/>
        <v/>
      </c>
      <c r="J64" s="1" t="str">
        <f t="shared" si="3"/>
        <v/>
      </c>
      <c r="K64" s="13" t="str">
        <f t="shared" si="4"/>
        <v/>
      </c>
      <c r="L64" s="9" t="str">
        <f t="shared" si="5"/>
        <v/>
      </c>
      <c r="M64" s="1" t="str">
        <f t="shared" si="6"/>
        <v/>
      </c>
      <c r="N64" s="1" t="str">
        <f t="shared" si="7"/>
        <v/>
      </c>
      <c r="O64" s="1" t="str">
        <f t="shared" si="8"/>
        <v/>
      </c>
      <c r="P64" s="1" t="str">
        <f t="shared" si="9"/>
        <v/>
      </c>
      <c r="Q64" s="1" t="str">
        <f t="shared" si="10"/>
        <v/>
      </c>
      <c r="R64" s="1" t="str">
        <f t="shared" si="11"/>
        <v/>
      </c>
      <c r="S64" s="1" t="str">
        <f t="shared" si="12"/>
        <v/>
      </c>
      <c r="T64" s="1" t="str">
        <f t="shared" si="13"/>
        <v/>
      </c>
      <c r="U64" s="1" t="str">
        <f t="shared" si="14"/>
        <v/>
      </c>
      <c r="V64" s="1" t="str">
        <f t="shared" si="15"/>
        <v/>
      </c>
      <c r="W64" s="26" t="str">
        <f t="shared" si="16"/>
        <v/>
      </c>
      <c r="X64" s="13" t="str">
        <f t="shared" si="17"/>
        <v/>
      </c>
      <c r="Y64" s="9">
        <f t="shared" si="18"/>
        <v>0</v>
      </c>
    </row>
    <row r="65" spans="1:25" x14ac:dyDescent="0.25">
      <c r="A65" s="28"/>
      <c r="B65" s="29"/>
      <c r="C65" s="30"/>
      <c r="D65" s="31"/>
      <c r="E65" s="29" t="s">
        <v>16</v>
      </c>
      <c r="F65" s="13" t="b">
        <f>IF($E65=Categories!$A$1,"",IF($E65=Categories!$A$2,Categories!$B$2,IF($E65=Categories!$A$3,Categories!$B$3,IF($E65=Categories!$A$4,Categories!$B$4,IF($E65=Categories!$A$5,Categories!$B$5,IF($E65=Categories!$A$6,Categories!$B$6,IF($E65=Categories!$A$7,Categories!$B$7,IF($E65=Categories!$A$8,Categories!$B$8,IF($E65=Categories!$A$9,Categories!$B$9,IF($E65=Categories!$A$10,Categories!$B$10,IF($E65=Categories!$A$11,Categories!$B$11,IF($E65=Categories!$A$12,Categories!$B$12,IF($E65=Categories!$A$13,Categories!$B$13,IF($E65=Categories!$A$14,Categories!$B$14,IF($E65=Categories!$A$15,Categories!$B$15,IF($E65=Categories!$A$16,Categories!$B$16,IF($E65=Categories!$A$17,Categories!$B$17,IF($E65=Categories!$A$18,Categories!$B$18,IF($E65=Categories!$A$19,Categories!$B$19)))))))))))))))))))</f>
        <v>0</v>
      </c>
      <c r="G65" s="9" t="str">
        <f t="shared" si="0"/>
        <v/>
      </c>
      <c r="H65" s="1" t="str">
        <f t="shared" si="1"/>
        <v/>
      </c>
      <c r="I65" s="1" t="str">
        <f t="shared" si="2"/>
        <v/>
      </c>
      <c r="J65" s="1" t="str">
        <f t="shared" si="3"/>
        <v/>
      </c>
      <c r="K65" s="13" t="str">
        <f t="shared" si="4"/>
        <v/>
      </c>
      <c r="L65" s="9" t="str">
        <f t="shared" si="5"/>
        <v/>
      </c>
      <c r="M65" s="1" t="str">
        <f t="shared" si="6"/>
        <v/>
      </c>
      <c r="N65" s="1" t="str">
        <f t="shared" si="7"/>
        <v/>
      </c>
      <c r="O65" s="1" t="str">
        <f t="shared" si="8"/>
        <v/>
      </c>
      <c r="P65" s="1" t="str">
        <f t="shared" si="9"/>
        <v/>
      </c>
      <c r="Q65" s="1" t="str">
        <f t="shared" si="10"/>
        <v/>
      </c>
      <c r="R65" s="1" t="str">
        <f t="shared" si="11"/>
        <v/>
      </c>
      <c r="S65" s="1" t="str">
        <f t="shared" si="12"/>
        <v/>
      </c>
      <c r="T65" s="1" t="str">
        <f t="shared" si="13"/>
        <v/>
      </c>
      <c r="U65" s="1" t="str">
        <f t="shared" si="14"/>
        <v/>
      </c>
      <c r="V65" s="1" t="str">
        <f t="shared" si="15"/>
        <v/>
      </c>
      <c r="W65" s="26" t="str">
        <f t="shared" si="16"/>
        <v/>
      </c>
      <c r="X65" s="13" t="str">
        <f t="shared" si="17"/>
        <v/>
      </c>
      <c r="Y65" s="9">
        <f t="shared" si="18"/>
        <v>0</v>
      </c>
    </row>
    <row r="66" spans="1:25" x14ac:dyDescent="0.25">
      <c r="A66" s="28"/>
      <c r="B66" s="29"/>
      <c r="C66" s="30"/>
      <c r="D66" s="31"/>
      <c r="E66" s="29" t="s">
        <v>16</v>
      </c>
      <c r="F66" s="13" t="b">
        <f>IF($E66=Categories!$A$1,"",IF($E66=Categories!$A$2,Categories!$B$2,IF($E66=Categories!$A$3,Categories!$B$3,IF($E66=Categories!$A$4,Categories!$B$4,IF($E66=Categories!$A$5,Categories!$B$5,IF($E66=Categories!$A$6,Categories!$B$6,IF($E66=Categories!$A$7,Categories!$B$7,IF($E66=Categories!$A$8,Categories!$B$8,IF($E66=Categories!$A$9,Categories!$B$9,IF($E66=Categories!$A$10,Categories!$B$10,IF($E66=Categories!$A$11,Categories!$B$11,IF($E66=Categories!$A$12,Categories!$B$12,IF($E66=Categories!$A$13,Categories!$B$13,IF($E66=Categories!$A$14,Categories!$B$14,IF($E66=Categories!$A$15,Categories!$B$15,IF($E66=Categories!$A$16,Categories!$B$16,IF($E66=Categories!$A$17,Categories!$B$17,IF($E66=Categories!$A$18,Categories!$B$18,IF($E66=Categories!$A$19,Categories!$B$19)))))))))))))))))))</f>
        <v>0</v>
      </c>
      <c r="G66" s="9" t="str">
        <f t="shared" si="0"/>
        <v/>
      </c>
      <c r="H66" s="1" t="str">
        <f t="shared" si="1"/>
        <v/>
      </c>
      <c r="I66" s="1" t="str">
        <f t="shared" si="2"/>
        <v/>
      </c>
      <c r="J66" s="1" t="str">
        <f t="shared" si="3"/>
        <v/>
      </c>
      <c r="K66" s="13" t="str">
        <f t="shared" si="4"/>
        <v/>
      </c>
      <c r="L66" s="9" t="str">
        <f t="shared" si="5"/>
        <v/>
      </c>
      <c r="M66" s="1" t="str">
        <f t="shared" si="6"/>
        <v/>
      </c>
      <c r="N66" s="1" t="str">
        <f t="shared" si="7"/>
        <v/>
      </c>
      <c r="O66" s="1" t="str">
        <f t="shared" si="8"/>
        <v/>
      </c>
      <c r="P66" s="1" t="str">
        <f t="shared" si="9"/>
        <v/>
      </c>
      <c r="Q66" s="1" t="str">
        <f t="shared" si="10"/>
        <v/>
      </c>
      <c r="R66" s="1" t="str">
        <f t="shared" si="11"/>
        <v/>
      </c>
      <c r="S66" s="1" t="str">
        <f t="shared" si="12"/>
        <v/>
      </c>
      <c r="T66" s="1" t="str">
        <f t="shared" si="13"/>
        <v/>
      </c>
      <c r="U66" s="1" t="str">
        <f t="shared" si="14"/>
        <v/>
      </c>
      <c r="V66" s="1" t="str">
        <f t="shared" si="15"/>
        <v/>
      </c>
      <c r="W66" s="26" t="str">
        <f t="shared" si="16"/>
        <v/>
      </c>
      <c r="X66" s="13" t="str">
        <f t="shared" si="17"/>
        <v/>
      </c>
      <c r="Y66" s="9">
        <f t="shared" si="18"/>
        <v>0</v>
      </c>
    </row>
    <row r="67" spans="1:25" x14ac:dyDescent="0.25">
      <c r="A67" s="28"/>
      <c r="B67" s="29"/>
      <c r="C67" s="30"/>
      <c r="D67" s="31"/>
      <c r="E67" s="29" t="s">
        <v>16</v>
      </c>
      <c r="F67" s="13" t="b">
        <f>IF($E67=Categories!$A$1,"",IF($E67=Categories!$A$2,Categories!$B$2,IF($E67=Categories!$A$3,Categories!$B$3,IF($E67=Categories!$A$4,Categories!$B$4,IF($E67=Categories!$A$5,Categories!$B$5,IF($E67=Categories!$A$6,Categories!$B$6,IF($E67=Categories!$A$7,Categories!$B$7,IF($E67=Categories!$A$8,Categories!$B$8,IF($E67=Categories!$A$9,Categories!$B$9,IF($E67=Categories!$A$10,Categories!$B$10,IF($E67=Categories!$A$11,Categories!$B$11,IF($E67=Categories!$A$12,Categories!$B$12,IF($E67=Categories!$A$13,Categories!$B$13,IF($E67=Categories!$A$14,Categories!$B$14,IF($E67=Categories!$A$15,Categories!$B$15,IF($E67=Categories!$A$16,Categories!$B$16,IF($E67=Categories!$A$17,Categories!$B$17,IF($E67=Categories!$A$18,Categories!$B$18,IF($E67=Categories!$A$19,Categories!$B$19)))))))))))))))))))</f>
        <v>0</v>
      </c>
      <c r="G67" s="9" t="str">
        <f t="shared" si="0"/>
        <v/>
      </c>
      <c r="H67" s="1" t="str">
        <f t="shared" si="1"/>
        <v/>
      </c>
      <c r="I67" s="1" t="str">
        <f t="shared" si="2"/>
        <v/>
      </c>
      <c r="J67" s="1" t="str">
        <f t="shared" si="3"/>
        <v/>
      </c>
      <c r="K67" s="13" t="str">
        <f t="shared" si="4"/>
        <v/>
      </c>
      <c r="L67" s="9" t="str">
        <f t="shared" si="5"/>
        <v/>
      </c>
      <c r="M67" s="1" t="str">
        <f t="shared" si="6"/>
        <v/>
      </c>
      <c r="N67" s="1" t="str">
        <f t="shared" si="7"/>
        <v/>
      </c>
      <c r="O67" s="1" t="str">
        <f t="shared" si="8"/>
        <v/>
      </c>
      <c r="P67" s="1" t="str">
        <f t="shared" si="9"/>
        <v/>
      </c>
      <c r="Q67" s="1" t="str">
        <f t="shared" si="10"/>
        <v/>
      </c>
      <c r="R67" s="1" t="str">
        <f t="shared" si="11"/>
        <v/>
      </c>
      <c r="S67" s="1" t="str">
        <f t="shared" si="12"/>
        <v/>
      </c>
      <c r="T67" s="1" t="str">
        <f t="shared" si="13"/>
        <v/>
      </c>
      <c r="U67" s="1" t="str">
        <f t="shared" si="14"/>
        <v/>
      </c>
      <c r="V67" s="1" t="str">
        <f t="shared" si="15"/>
        <v/>
      </c>
      <c r="W67" s="26" t="str">
        <f t="shared" si="16"/>
        <v/>
      </c>
      <c r="X67" s="13" t="str">
        <f t="shared" si="17"/>
        <v/>
      </c>
      <c r="Y67" s="9">
        <f t="shared" si="18"/>
        <v>0</v>
      </c>
    </row>
    <row r="68" spans="1:25" x14ac:dyDescent="0.25">
      <c r="A68" s="28"/>
      <c r="B68" s="29"/>
      <c r="C68" s="30"/>
      <c r="D68" s="31"/>
      <c r="E68" s="29" t="s">
        <v>16</v>
      </c>
      <c r="F68" s="13" t="b">
        <f>IF($E68=Categories!$A$1,"",IF($E68=Categories!$A$2,Categories!$B$2,IF($E68=Categories!$A$3,Categories!$B$3,IF($E68=Categories!$A$4,Categories!$B$4,IF($E68=Categories!$A$5,Categories!$B$5,IF($E68=Categories!$A$6,Categories!$B$6,IF($E68=Categories!$A$7,Categories!$B$7,IF($E68=Categories!$A$8,Categories!$B$8,IF($E68=Categories!$A$9,Categories!$B$9,IF($E68=Categories!$A$10,Categories!$B$10,IF($E68=Categories!$A$11,Categories!$B$11,IF($E68=Categories!$A$12,Categories!$B$12,IF($E68=Categories!$A$13,Categories!$B$13,IF($E68=Categories!$A$14,Categories!$B$14,IF($E68=Categories!$A$15,Categories!$B$15,IF($E68=Categories!$A$16,Categories!$B$16,IF($E68=Categories!$A$17,Categories!$B$17,IF($E68=Categories!$A$18,Categories!$B$18,IF($E68=Categories!$A$19,Categories!$B$19)))))))))))))))))))</f>
        <v>0</v>
      </c>
      <c r="G68" s="9" t="str">
        <f t="shared" si="0"/>
        <v/>
      </c>
      <c r="H68" s="1" t="str">
        <f t="shared" si="1"/>
        <v/>
      </c>
      <c r="I68" s="1" t="str">
        <f t="shared" si="2"/>
        <v/>
      </c>
      <c r="J68" s="1" t="str">
        <f t="shared" si="3"/>
        <v/>
      </c>
      <c r="K68" s="13" t="str">
        <f t="shared" si="4"/>
        <v/>
      </c>
      <c r="L68" s="9" t="str">
        <f t="shared" si="5"/>
        <v/>
      </c>
      <c r="M68" s="1" t="str">
        <f t="shared" si="6"/>
        <v/>
      </c>
      <c r="N68" s="1" t="str">
        <f t="shared" si="7"/>
        <v/>
      </c>
      <c r="O68" s="1" t="str">
        <f t="shared" si="8"/>
        <v/>
      </c>
      <c r="P68" s="1" t="str">
        <f t="shared" si="9"/>
        <v/>
      </c>
      <c r="Q68" s="1" t="str">
        <f t="shared" si="10"/>
        <v/>
      </c>
      <c r="R68" s="1" t="str">
        <f t="shared" si="11"/>
        <v/>
      </c>
      <c r="S68" s="1" t="str">
        <f t="shared" si="12"/>
        <v/>
      </c>
      <c r="T68" s="1" t="str">
        <f t="shared" si="13"/>
        <v/>
      </c>
      <c r="U68" s="1" t="str">
        <f t="shared" si="14"/>
        <v/>
      </c>
      <c r="V68" s="1" t="str">
        <f t="shared" si="15"/>
        <v/>
      </c>
      <c r="W68" s="26" t="str">
        <f t="shared" si="16"/>
        <v/>
      </c>
      <c r="X68" s="13" t="str">
        <f t="shared" si="17"/>
        <v/>
      </c>
      <c r="Y68" s="9">
        <f t="shared" si="18"/>
        <v>0</v>
      </c>
    </row>
    <row r="69" spans="1:25" x14ac:dyDescent="0.25">
      <c r="A69" s="28"/>
      <c r="B69" s="29"/>
      <c r="C69" s="30"/>
      <c r="D69" s="31"/>
      <c r="E69" s="29" t="s">
        <v>16</v>
      </c>
      <c r="F69" s="13" t="b">
        <f>IF($E69=Categories!$A$1,"",IF($E69=Categories!$A$2,Categories!$B$2,IF($E69=Categories!$A$3,Categories!$B$3,IF($E69=Categories!$A$4,Categories!$B$4,IF($E69=Categories!$A$5,Categories!$B$5,IF($E69=Categories!$A$6,Categories!$B$6,IF($E69=Categories!$A$7,Categories!$B$7,IF($E69=Categories!$A$8,Categories!$B$8,IF($E69=Categories!$A$9,Categories!$B$9,IF($E69=Categories!$A$10,Categories!$B$10,IF($E69=Categories!$A$11,Categories!$B$11,IF($E69=Categories!$A$12,Categories!$B$12,IF($E69=Categories!$A$13,Categories!$B$13,IF($E69=Categories!$A$14,Categories!$B$14,IF($E69=Categories!$A$15,Categories!$B$15,IF($E69=Categories!$A$16,Categories!$B$16,IF($E69=Categories!$A$17,Categories!$B$17,IF($E69=Categories!$A$18,Categories!$B$18,IF($E69=Categories!$A$19,Categories!$B$19)))))))))))))))))))</f>
        <v>0</v>
      </c>
      <c r="G69" s="9" t="str">
        <f t="shared" si="0"/>
        <v/>
      </c>
      <c r="H69" s="1" t="str">
        <f t="shared" si="1"/>
        <v/>
      </c>
      <c r="I69" s="1" t="str">
        <f t="shared" si="2"/>
        <v/>
      </c>
      <c r="J69" s="1" t="str">
        <f t="shared" si="3"/>
        <v/>
      </c>
      <c r="K69" s="13" t="str">
        <f t="shared" si="4"/>
        <v/>
      </c>
      <c r="L69" s="9" t="str">
        <f t="shared" si="5"/>
        <v/>
      </c>
      <c r="M69" s="1" t="str">
        <f t="shared" si="6"/>
        <v/>
      </c>
      <c r="N69" s="1" t="str">
        <f t="shared" si="7"/>
        <v/>
      </c>
      <c r="O69" s="1" t="str">
        <f t="shared" si="8"/>
        <v/>
      </c>
      <c r="P69" s="1" t="str">
        <f t="shared" si="9"/>
        <v/>
      </c>
      <c r="Q69" s="1" t="str">
        <f t="shared" si="10"/>
        <v/>
      </c>
      <c r="R69" s="1" t="str">
        <f t="shared" si="11"/>
        <v/>
      </c>
      <c r="S69" s="1" t="str">
        <f t="shared" si="12"/>
        <v/>
      </c>
      <c r="T69" s="1" t="str">
        <f t="shared" si="13"/>
        <v/>
      </c>
      <c r="U69" s="1" t="str">
        <f t="shared" si="14"/>
        <v/>
      </c>
      <c r="V69" s="1" t="str">
        <f t="shared" si="15"/>
        <v/>
      </c>
      <c r="W69" s="26" t="str">
        <f t="shared" si="16"/>
        <v/>
      </c>
      <c r="X69" s="13" t="str">
        <f t="shared" si="17"/>
        <v/>
      </c>
      <c r="Y69" s="9">
        <f t="shared" si="18"/>
        <v>0</v>
      </c>
    </row>
    <row r="70" spans="1:25" x14ac:dyDescent="0.25">
      <c r="A70" s="28"/>
      <c r="B70" s="29"/>
      <c r="C70" s="30"/>
      <c r="D70" s="31"/>
      <c r="E70" s="29" t="s">
        <v>16</v>
      </c>
      <c r="F70" s="13" t="b">
        <f>IF($E70=Categories!$A$1,"",IF($E70=Categories!$A$2,Categories!$B$2,IF($E70=Categories!$A$3,Categories!$B$3,IF($E70=Categories!$A$4,Categories!$B$4,IF($E70=Categories!$A$5,Categories!$B$5,IF($E70=Categories!$A$6,Categories!$B$6,IF($E70=Categories!$A$7,Categories!$B$7,IF($E70=Categories!$A$8,Categories!$B$8,IF($E70=Categories!$A$9,Categories!$B$9,IF($E70=Categories!$A$10,Categories!$B$10,IF($E70=Categories!$A$11,Categories!$B$11,IF($E70=Categories!$A$12,Categories!$B$12,IF($E70=Categories!$A$13,Categories!$B$13,IF($E70=Categories!$A$14,Categories!$B$14,IF($E70=Categories!$A$15,Categories!$B$15,IF($E70=Categories!$A$16,Categories!$B$16,IF($E70=Categories!$A$17,Categories!$B$17,IF($E70=Categories!$A$18,Categories!$B$18,IF($E70=Categories!$A$19,Categories!$B$19)))))))))))))))))))</f>
        <v>0</v>
      </c>
      <c r="G70" s="9" t="str">
        <f t="shared" si="0"/>
        <v/>
      </c>
      <c r="H70" s="1" t="str">
        <f t="shared" si="1"/>
        <v/>
      </c>
      <c r="I70" s="1" t="str">
        <f t="shared" si="2"/>
        <v/>
      </c>
      <c r="J70" s="1" t="str">
        <f t="shared" si="3"/>
        <v/>
      </c>
      <c r="K70" s="13" t="str">
        <f t="shared" si="4"/>
        <v/>
      </c>
      <c r="L70" s="9" t="str">
        <f t="shared" si="5"/>
        <v/>
      </c>
      <c r="M70" s="1" t="str">
        <f t="shared" si="6"/>
        <v/>
      </c>
      <c r="N70" s="1" t="str">
        <f t="shared" si="7"/>
        <v/>
      </c>
      <c r="O70" s="1" t="str">
        <f t="shared" si="8"/>
        <v/>
      </c>
      <c r="P70" s="1" t="str">
        <f t="shared" si="9"/>
        <v/>
      </c>
      <c r="Q70" s="1" t="str">
        <f t="shared" si="10"/>
        <v/>
      </c>
      <c r="R70" s="1" t="str">
        <f t="shared" si="11"/>
        <v/>
      </c>
      <c r="S70" s="1" t="str">
        <f t="shared" si="12"/>
        <v/>
      </c>
      <c r="T70" s="1" t="str">
        <f t="shared" si="13"/>
        <v/>
      </c>
      <c r="U70" s="1" t="str">
        <f t="shared" si="14"/>
        <v/>
      </c>
      <c r="V70" s="1" t="str">
        <f t="shared" si="15"/>
        <v/>
      </c>
      <c r="W70" s="26" t="str">
        <f t="shared" si="16"/>
        <v/>
      </c>
      <c r="X70" s="13" t="str">
        <f t="shared" si="17"/>
        <v/>
      </c>
      <c r="Y70" s="9">
        <f t="shared" si="18"/>
        <v>0</v>
      </c>
    </row>
    <row r="71" spans="1:25" x14ac:dyDescent="0.25">
      <c r="A71" s="28"/>
      <c r="B71" s="29"/>
      <c r="C71" s="30"/>
      <c r="D71" s="31"/>
      <c r="E71" s="29" t="s">
        <v>16</v>
      </c>
      <c r="F71" s="13" t="b">
        <f>IF($E71=Categories!$A$1,"",IF($E71=Categories!$A$2,Categories!$B$2,IF($E71=Categories!$A$3,Categories!$B$3,IF($E71=Categories!$A$4,Categories!$B$4,IF($E71=Categories!$A$5,Categories!$B$5,IF($E71=Categories!$A$6,Categories!$B$6,IF($E71=Categories!$A$7,Categories!$B$7,IF($E71=Categories!$A$8,Categories!$B$8,IF($E71=Categories!$A$9,Categories!$B$9,IF($E71=Categories!$A$10,Categories!$B$10,IF($E71=Categories!$A$11,Categories!$B$11,IF($E71=Categories!$A$12,Categories!$B$12,IF($E71=Categories!$A$13,Categories!$B$13,IF($E71=Categories!$A$14,Categories!$B$14,IF($E71=Categories!$A$15,Categories!$B$15,IF($E71=Categories!$A$16,Categories!$B$16,IF($E71=Categories!$A$17,Categories!$B$17,IF($E71=Categories!$A$18,Categories!$B$18,IF($E71=Categories!$A$19,Categories!$B$19)))))))))))))))))))</f>
        <v>0</v>
      </c>
      <c r="G71" s="9" t="str">
        <f t="shared" ref="G71:G95" si="19">IF($F71="Inc1",$D71,"")</f>
        <v/>
      </c>
      <c r="H71" s="1" t="str">
        <f t="shared" ref="H71:H95" si="20">IF($F71="Inc2",$D71,"")</f>
        <v/>
      </c>
      <c r="I71" s="1" t="str">
        <f t="shared" ref="I71:I95" si="21">IF($F71="Int",$D71,"")</f>
        <v/>
      </c>
      <c r="J71" s="1" t="str">
        <f t="shared" ref="J71:J95" si="22">IF($F71="Inc4",$D71,"")</f>
        <v/>
      </c>
      <c r="K71" s="13" t="str">
        <f t="shared" ref="K71:K95" si="23">IF($F71="Inc5",$D71,"")</f>
        <v/>
      </c>
      <c r="L71" s="9" t="str">
        <f t="shared" ref="L71:L95" si="24">IF($F71="ExpA",$D71,"")</f>
        <v/>
      </c>
      <c r="M71" s="1" t="str">
        <f t="shared" ref="M71:M95" si="25">IF($F71="ExpB",$D71,"")</f>
        <v/>
      </c>
      <c r="N71" s="1" t="str">
        <f t="shared" ref="N71:N95" si="26">IF($F71="ExpC",$D71,"")</f>
        <v/>
      </c>
      <c r="O71" s="1" t="str">
        <f t="shared" ref="O71:O95" si="27">IF($F71="ExpD",$D71,"")</f>
        <v/>
      </c>
      <c r="P71" s="1" t="str">
        <f t="shared" ref="P71:P95" si="28">IF($F71="ExpE",$D71,"")</f>
        <v/>
      </c>
      <c r="Q71" s="1" t="str">
        <f t="shared" ref="Q71:Q95" si="29">IF($F71="ExpF",$D71,"")</f>
        <v/>
      </c>
      <c r="R71" s="1" t="str">
        <f t="shared" ref="R71:R95" si="30">IF($F71="ExpG",$D71,"")</f>
        <v/>
      </c>
      <c r="S71" s="1" t="str">
        <f t="shared" ref="S71:S95" si="31">IF($F71="ExpH",$D71,"")</f>
        <v/>
      </c>
      <c r="T71" s="1" t="str">
        <f t="shared" ref="T71:T95" si="32">IF($F71="ExpI",$D71,"")</f>
        <v/>
      </c>
      <c r="U71" s="1" t="str">
        <f t="shared" ref="U71:U95" si="33">IF($F71="ExpJ",$D71,"")</f>
        <v/>
      </c>
      <c r="V71" s="1" t="str">
        <f t="shared" ref="V71:V95" si="34">IF($F71="ExpK",$D71,"")</f>
        <v/>
      </c>
      <c r="W71" s="26" t="str">
        <f t="shared" ref="W71:W95" si="35">IF($F71="ExpL",$D71,"")</f>
        <v/>
      </c>
      <c r="X71" s="13" t="str">
        <f t="shared" ref="X71:X95" si="36">IF($F71="Expm",$D71,"")</f>
        <v/>
      </c>
      <c r="Y71" s="9">
        <f t="shared" si="18"/>
        <v>0</v>
      </c>
    </row>
    <row r="72" spans="1:25" x14ac:dyDescent="0.25">
      <c r="A72" s="28"/>
      <c r="B72" s="29"/>
      <c r="C72" s="30"/>
      <c r="D72" s="31"/>
      <c r="E72" s="29" t="s">
        <v>16</v>
      </c>
      <c r="F72" s="13" t="b">
        <f>IF($E72=Categories!$A$1,"",IF($E72=Categories!$A$2,Categories!$B$2,IF($E72=Categories!$A$3,Categories!$B$3,IF($E72=Categories!$A$4,Categories!$B$4,IF($E72=Categories!$A$5,Categories!$B$5,IF($E72=Categories!$A$6,Categories!$B$6,IF($E72=Categories!$A$7,Categories!$B$7,IF($E72=Categories!$A$8,Categories!$B$8,IF($E72=Categories!$A$9,Categories!$B$9,IF($E72=Categories!$A$10,Categories!$B$10,IF($E72=Categories!$A$11,Categories!$B$11,IF($E72=Categories!$A$12,Categories!$B$12,IF($E72=Categories!$A$13,Categories!$B$13,IF($E72=Categories!$A$14,Categories!$B$14,IF($E72=Categories!$A$15,Categories!$B$15,IF($E72=Categories!$A$16,Categories!$B$16,IF($E72=Categories!$A$17,Categories!$B$17,IF($E72=Categories!$A$18,Categories!$B$18,IF($E72=Categories!$A$19,Categories!$B$19)))))))))))))))))))</f>
        <v>0</v>
      </c>
      <c r="G72" s="9" t="str">
        <f t="shared" si="19"/>
        <v/>
      </c>
      <c r="H72" s="1" t="str">
        <f t="shared" si="20"/>
        <v/>
      </c>
      <c r="I72" s="1" t="str">
        <f t="shared" si="21"/>
        <v/>
      </c>
      <c r="J72" s="1" t="str">
        <f t="shared" si="22"/>
        <v/>
      </c>
      <c r="K72" s="13" t="str">
        <f t="shared" si="23"/>
        <v/>
      </c>
      <c r="L72" s="9" t="str">
        <f t="shared" si="24"/>
        <v/>
      </c>
      <c r="M72" s="1" t="str">
        <f t="shared" si="25"/>
        <v/>
      </c>
      <c r="N72" s="1" t="str">
        <f t="shared" si="26"/>
        <v/>
      </c>
      <c r="O72" s="1" t="str">
        <f t="shared" si="27"/>
        <v/>
      </c>
      <c r="P72" s="1" t="str">
        <f t="shared" si="28"/>
        <v/>
      </c>
      <c r="Q72" s="1" t="str">
        <f t="shared" si="29"/>
        <v/>
      </c>
      <c r="R72" s="1" t="str">
        <f t="shared" si="30"/>
        <v/>
      </c>
      <c r="S72" s="1" t="str">
        <f t="shared" si="31"/>
        <v/>
      </c>
      <c r="T72" s="1" t="str">
        <f t="shared" si="32"/>
        <v/>
      </c>
      <c r="U72" s="1" t="str">
        <f t="shared" si="33"/>
        <v/>
      </c>
      <c r="V72" s="1" t="str">
        <f t="shared" si="34"/>
        <v/>
      </c>
      <c r="W72" s="26" t="str">
        <f t="shared" si="35"/>
        <v/>
      </c>
      <c r="X72" s="13" t="str">
        <f t="shared" si="36"/>
        <v/>
      </c>
      <c r="Y72" s="9">
        <f t="shared" ref="Y72:Y95" si="37">Y71+SUM(G72:K72)-SUM(L72:X72)</f>
        <v>0</v>
      </c>
    </row>
    <row r="73" spans="1:25" x14ac:dyDescent="0.25">
      <c r="A73" s="28"/>
      <c r="B73" s="29"/>
      <c r="C73" s="30"/>
      <c r="D73" s="31"/>
      <c r="E73" s="29" t="s">
        <v>16</v>
      </c>
      <c r="F73" s="13" t="b">
        <f>IF($E73=Categories!$A$1,"",IF($E73=Categories!$A$2,Categories!$B$2,IF($E73=Categories!$A$3,Categories!$B$3,IF($E73=Categories!$A$4,Categories!$B$4,IF($E73=Categories!$A$5,Categories!$B$5,IF($E73=Categories!$A$6,Categories!$B$6,IF($E73=Categories!$A$7,Categories!$B$7,IF($E73=Categories!$A$8,Categories!$B$8,IF($E73=Categories!$A$9,Categories!$B$9,IF($E73=Categories!$A$10,Categories!$B$10,IF($E73=Categories!$A$11,Categories!$B$11,IF($E73=Categories!$A$12,Categories!$B$12,IF($E73=Categories!$A$13,Categories!$B$13,IF($E73=Categories!$A$14,Categories!$B$14,IF($E73=Categories!$A$15,Categories!$B$15,IF($E73=Categories!$A$16,Categories!$B$16,IF($E73=Categories!$A$17,Categories!$B$17,IF($E73=Categories!$A$18,Categories!$B$18,IF($E73=Categories!$A$19,Categories!$B$19)))))))))))))))))))</f>
        <v>0</v>
      </c>
      <c r="G73" s="9" t="str">
        <f t="shared" si="19"/>
        <v/>
      </c>
      <c r="H73" s="1" t="str">
        <f t="shared" si="20"/>
        <v/>
      </c>
      <c r="I73" s="1" t="str">
        <f t="shared" si="21"/>
        <v/>
      </c>
      <c r="J73" s="1" t="str">
        <f t="shared" si="22"/>
        <v/>
      </c>
      <c r="K73" s="13" t="str">
        <f t="shared" si="23"/>
        <v/>
      </c>
      <c r="L73" s="9" t="str">
        <f t="shared" si="24"/>
        <v/>
      </c>
      <c r="M73" s="1" t="str">
        <f t="shared" si="25"/>
        <v/>
      </c>
      <c r="N73" s="1" t="str">
        <f t="shared" si="26"/>
        <v/>
      </c>
      <c r="O73" s="1" t="str">
        <f t="shared" si="27"/>
        <v/>
      </c>
      <c r="P73" s="1" t="str">
        <f t="shared" si="28"/>
        <v/>
      </c>
      <c r="Q73" s="1" t="str">
        <f t="shared" si="29"/>
        <v/>
      </c>
      <c r="R73" s="1" t="str">
        <f t="shared" si="30"/>
        <v/>
      </c>
      <c r="S73" s="1" t="str">
        <f t="shared" si="31"/>
        <v/>
      </c>
      <c r="T73" s="1" t="str">
        <f t="shared" si="32"/>
        <v/>
      </c>
      <c r="U73" s="1" t="str">
        <f t="shared" si="33"/>
        <v/>
      </c>
      <c r="V73" s="1" t="str">
        <f t="shared" si="34"/>
        <v/>
      </c>
      <c r="W73" s="26" t="str">
        <f t="shared" si="35"/>
        <v/>
      </c>
      <c r="X73" s="13" t="str">
        <f t="shared" si="36"/>
        <v/>
      </c>
      <c r="Y73" s="9">
        <f t="shared" si="37"/>
        <v>0</v>
      </c>
    </row>
    <row r="74" spans="1:25" x14ac:dyDescent="0.25">
      <c r="A74" s="28"/>
      <c r="B74" s="29"/>
      <c r="C74" s="30"/>
      <c r="D74" s="31"/>
      <c r="E74" s="29" t="s">
        <v>16</v>
      </c>
      <c r="F74" s="13" t="b">
        <f>IF($E74=Categories!$A$1,"",IF($E74=Categories!$A$2,Categories!$B$2,IF($E74=Categories!$A$3,Categories!$B$3,IF($E74=Categories!$A$4,Categories!$B$4,IF($E74=Categories!$A$5,Categories!$B$5,IF($E74=Categories!$A$6,Categories!$B$6,IF($E74=Categories!$A$7,Categories!$B$7,IF($E74=Categories!$A$8,Categories!$B$8,IF($E74=Categories!$A$9,Categories!$B$9,IF($E74=Categories!$A$10,Categories!$B$10,IF($E74=Categories!$A$11,Categories!$B$11,IF($E74=Categories!$A$12,Categories!$B$12,IF($E74=Categories!$A$13,Categories!$B$13,IF($E74=Categories!$A$14,Categories!$B$14,IF($E74=Categories!$A$15,Categories!$B$15,IF($E74=Categories!$A$16,Categories!$B$16,IF($E74=Categories!$A$17,Categories!$B$17,IF($E74=Categories!$A$18,Categories!$B$18,IF($E74=Categories!$A$19,Categories!$B$19)))))))))))))))))))</f>
        <v>0</v>
      </c>
      <c r="G74" s="9" t="str">
        <f t="shared" si="19"/>
        <v/>
      </c>
      <c r="H74" s="1" t="str">
        <f t="shared" si="20"/>
        <v/>
      </c>
      <c r="I74" s="1" t="str">
        <f t="shared" si="21"/>
        <v/>
      </c>
      <c r="J74" s="1" t="str">
        <f t="shared" si="22"/>
        <v/>
      </c>
      <c r="K74" s="13" t="str">
        <f t="shared" si="23"/>
        <v/>
      </c>
      <c r="L74" s="9" t="str">
        <f t="shared" si="24"/>
        <v/>
      </c>
      <c r="M74" s="1" t="str">
        <f t="shared" si="25"/>
        <v/>
      </c>
      <c r="N74" s="1" t="str">
        <f t="shared" si="26"/>
        <v/>
      </c>
      <c r="O74" s="1" t="str">
        <f t="shared" si="27"/>
        <v/>
      </c>
      <c r="P74" s="1" t="str">
        <f t="shared" si="28"/>
        <v/>
      </c>
      <c r="Q74" s="1" t="str">
        <f t="shared" si="29"/>
        <v/>
      </c>
      <c r="R74" s="1" t="str">
        <f t="shared" si="30"/>
        <v/>
      </c>
      <c r="S74" s="1" t="str">
        <f t="shared" si="31"/>
        <v/>
      </c>
      <c r="T74" s="1" t="str">
        <f t="shared" si="32"/>
        <v/>
      </c>
      <c r="U74" s="1" t="str">
        <f t="shared" si="33"/>
        <v/>
      </c>
      <c r="V74" s="1" t="str">
        <f t="shared" si="34"/>
        <v/>
      </c>
      <c r="W74" s="26" t="str">
        <f t="shared" si="35"/>
        <v/>
      </c>
      <c r="X74" s="13" t="str">
        <f t="shared" si="36"/>
        <v/>
      </c>
      <c r="Y74" s="9">
        <f t="shared" si="37"/>
        <v>0</v>
      </c>
    </row>
    <row r="75" spans="1:25" x14ac:dyDescent="0.25">
      <c r="A75" s="28"/>
      <c r="B75" s="29"/>
      <c r="C75" s="30"/>
      <c r="D75" s="31"/>
      <c r="E75" s="29" t="s">
        <v>16</v>
      </c>
      <c r="F75" s="13" t="b">
        <f>IF($E75=Categories!$A$1,"",IF($E75=Categories!$A$2,Categories!$B$2,IF($E75=Categories!$A$3,Categories!$B$3,IF($E75=Categories!$A$4,Categories!$B$4,IF($E75=Categories!$A$5,Categories!$B$5,IF($E75=Categories!$A$6,Categories!$B$6,IF($E75=Categories!$A$7,Categories!$B$7,IF($E75=Categories!$A$8,Categories!$B$8,IF($E75=Categories!$A$9,Categories!$B$9,IF($E75=Categories!$A$10,Categories!$B$10,IF($E75=Categories!$A$11,Categories!$B$11,IF($E75=Categories!$A$12,Categories!$B$12,IF($E75=Categories!$A$13,Categories!$B$13,IF($E75=Categories!$A$14,Categories!$B$14,IF($E75=Categories!$A$15,Categories!$B$15,IF($E75=Categories!$A$16,Categories!$B$16,IF($E75=Categories!$A$17,Categories!$B$17,IF($E75=Categories!$A$18,Categories!$B$18,IF($E75=Categories!$A$19,Categories!$B$19)))))))))))))))))))</f>
        <v>0</v>
      </c>
      <c r="G75" s="9" t="str">
        <f t="shared" si="19"/>
        <v/>
      </c>
      <c r="H75" s="1" t="str">
        <f t="shared" si="20"/>
        <v/>
      </c>
      <c r="I75" s="1" t="str">
        <f t="shared" si="21"/>
        <v/>
      </c>
      <c r="J75" s="1" t="str">
        <f t="shared" si="22"/>
        <v/>
      </c>
      <c r="K75" s="13" t="str">
        <f t="shared" si="23"/>
        <v/>
      </c>
      <c r="L75" s="9" t="str">
        <f t="shared" si="24"/>
        <v/>
      </c>
      <c r="M75" s="1" t="str">
        <f t="shared" si="25"/>
        <v/>
      </c>
      <c r="N75" s="1" t="str">
        <f t="shared" si="26"/>
        <v/>
      </c>
      <c r="O75" s="1" t="str">
        <f t="shared" si="27"/>
        <v/>
      </c>
      <c r="P75" s="1" t="str">
        <f t="shared" si="28"/>
        <v/>
      </c>
      <c r="Q75" s="1" t="str">
        <f t="shared" si="29"/>
        <v/>
      </c>
      <c r="R75" s="1" t="str">
        <f t="shared" si="30"/>
        <v/>
      </c>
      <c r="S75" s="1" t="str">
        <f t="shared" si="31"/>
        <v/>
      </c>
      <c r="T75" s="1" t="str">
        <f t="shared" si="32"/>
        <v/>
      </c>
      <c r="U75" s="1" t="str">
        <f t="shared" si="33"/>
        <v/>
      </c>
      <c r="V75" s="1" t="str">
        <f t="shared" si="34"/>
        <v/>
      </c>
      <c r="W75" s="26" t="str">
        <f t="shared" si="35"/>
        <v/>
      </c>
      <c r="X75" s="13" t="str">
        <f t="shared" si="36"/>
        <v/>
      </c>
      <c r="Y75" s="9">
        <f t="shared" si="37"/>
        <v>0</v>
      </c>
    </row>
    <row r="76" spans="1:25" x14ac:dyDescent="0.25">
      <c r="A76" s="28"/>
      <c r="B76" s="29"/>
      <c r="C76" s="30"/>
      <c r="D76" s="31"/>
      <c r="E76" s="29" t="s">
        <v>16</v>
      </c>
      <c r="F76" s="13" t="b">
        <f>IF($E76=Categories!$A$1,"",IF($E76=Categories!$A$2,Categories!$B$2,IF($E76=Categories!$A$3,Categories!$B$3,IF($E76=Categories!$A$4,Categories!$B$4,IF($E76=Categories!$A$5,Categories!$B$5,IF($E76=Categories!$A$6,Categories!$B$6,IF($E76=Categories!$A$7,Categories!$B$7,IF($E76=Categories!$A$8,Categories!$B$8,IF($E76=Categories!$A$9,Categories!$B$9,IF($E76=Categories!$A$10,Categories!$B$10,IF($E76=Categories!$A$11,Categories!$B$11,IF($E76=Categories!$A$12,Categories!$B$12,IF($E76=Categories!$A$13,Categories!$B$13,IF($E76=Categories!$A$14,Categories!$B$14,IF($E76=Categories!$A$15,Categories!$B$15,IF($E76=Categories!$A$16,Categories!$B$16,IF($E76=Categories!$A$17,Categories!$B$17,IF($E76=Categories!$A$18,Categories!$B$18,IF($E76=Categories!$A$19,Categories!$B$19)))))))))))))))))))</f>
        <v>0</v>
      </c>
      <c r="G76" s="9" t="str">
        <f t="shared" si="19"/>
        <v/>
      </c>
      <c r="H76" s="1" t="str">
        <f t="shared" si="20"/>
        <v/>
      </c>
      <c r="I76" s="1" t="str">
        <f t="shared" si="21"/>
        <v/>
      </c>
      <c r="J76" s="1" t="str">
        <f t="shared" si="22"/>
        <v/>
      </c>
      <c r="K76" s="13" t="str">
        <f t="shared" si="23"/>
        <v/>
      </c>
      <c r="L76" s="9" t="str">
        <f t="shared" si="24"/>
        <v/>
      </c>
      <c r="M76" s="1" t="str">
        <f t="shared" si="25"/>
        <v/>
      </c>
      <c r="N76" s="1" t="str">
        <f t="shared" si="26"/>
        <v/>
      </c>
      <c r="O76" s="1" t="str">
        <f t="shared" si="27"/>
        <v/>
      </c>
      <c r="P76" s="1" t="str">
        <f t="shared" si="28"/>
        <v/>
      </c>
      <c r="Q76" s="1" t="str">
        <f t="shared" si="29"/>
        <v/>
      </c>
      <c r="R76" s="1" t="str">
        <f t="shared" si="30"/>
        <v/>
      </c>
      <c r="S76" s="1" t="str">
        <f t="shared" si="31"/>
        <v/>
      </c>
      <c r="T76" s="1" t="str">
        <f t="shared" si="32"/>
        <v/>
      </c>
      <c r="U76" s="1" t="str">
        <f t="shared" si="33"/>
        <v/>
      </c>
      <c r="V76" s="1" t="str">
        <f t="shared" si="34"/>
        <v/>
      </c>
      <c r="W76" s="26" t="str">
        <f t="shared" si="35"/>
        <v/>
      </c>
      <c r="X76" s="13" t="str">
        <f t="shared" si="36"/>
        <v/>
      </c>
      <c r="Y76" s="9">
        <f t="shared" si="37"/>
        <v>0</v>
      </c>
    </row>
    <row r="77" spans="1:25" x14ac:dyDescent="0.25">
      <c r="A77" s="28"/>
      <c r="B77" s="29"/>
      <c r="C77" s="30"/>
      <c r="D77" s="31"/>
      <c r="E77" s="29" t="s">
        <v>16</v>
      </c>
      <c r="F77" s="13" t="b">
        <f>IF($E77=Categories!$A$1,"",IF($E77=Categories!$A$2,Categories!$B$2,IF($E77=Categories!$A$3,Categories!$B$3,IF($E77=Categories!$A$4,Categories!$B$4,IF($E77=Categories!$A$5,Categories!$B$5,IF($E77=Categories!$A$6,Categories!$B$6,IF($E77=Categories!$A$7,Categories!$B$7,IF($E77=Categories!$A$8,Categories!$B$8,IF($E77=Categories!$A$9,Categories!$B$9,IF($E77=Categories!$A$10,Categories!$B$10,IF($E77=Categories!$A$11,Categories!$B$11,IF($E77=Categories!$A$12,Categories!$B$12,IF($E77=Categories!$A$13,Categories!$B$13,IF($E77=Categories!$A$14,Categories!$B$14,IF($E77=Categories!$A$15,Categories!$B$15,IF($E77=Categories!$A$16,Categories!$B$16,IF($E77=Categories!$A$17,Categories!$B$17,IF($E77=Categories!$A$18,Categories!$B$18,IF($E77=Categories!$A$19,Categories!$B$19)))))))))))))))))))</f>
        <v>0</v>
      </c>
      <c r="G77" s="9" t="str">
        <f t="shared" si="19"/>
        <v/>
      </c>
      <c r="H77" s="1" t="str">
        <f t="shared" si="20"/>
        <v/>
      </c>
      <c r="I77" s="1" t="str">
        <f t="shared" si="21"/>
        <v/>
      </c>
      <c r="J77" s="1" t="str">
        <f t="shared" si="22"/>
        <v/>
      </c>
      <c r="K77" s="13" t="str">
        <f t="shared" si="23"/>
        <v/>
      </c>
      <c r="L77" s="9" t="str">
        <f t="shared" si="24"/>
        <v/>
      </c>
      <c r="M77" s="1" t="str">
        <f t="shared" si="25"/>
        <v/>
      </c>
      <c r="N77" s="1" t="str">
        <f t="shared" si="26"/>
        <v/>
      </c>
      <c r="O77" s="1" t="str">
        <f t="shared" si="27"/>
        <v/>
      </c>
      <c r="P77" s="1" t="str">
        <f t="shared" si="28"/>
        <v/>
      </c>
      <c r="Q77" s="1" t="str">
        <f t="shared" si="29"/>
        <v/>
      </c>
      <c r="R77" s="1" t="str">
        <f t="shared" si="30"/>
        <v/>
      </c>
      <c r="S77" s="1" t="str">
        <f t="shared" si="31"/>
        <v/>
      </c>
      <c r="T77" s="1" t="str">
        <f t="shared" si="32"/>
        <v/>
      </c>
      <c r="U77" s="1" t="str">
        <f t="shared" si="33"/>
        <v/>
      </c>
      <c r="V77" s="1" t="str">
        <f t="shared" si="34"/>
        <v/>
      </c>
      <c r="W77" s="26" t="str">
        <f t="shared" si="35"/>
        <v/>
      </c>
      <c r="X77" s="13" t="str">
        <f t="shared" si="36"/>
        <v/>
      </c>
      <c r="Y77" s="9">
        <f t="shared" si="37"/>
        <v>0</v>
      </c>
    </row>
    <row r="78" spans="1:25" x14ac:dyDescent="0.25">
      <c r="A78" s="28"/>
      <c r="B78" s="29"/>
      <c r="C78" s="30"/>
      <c r="D78" s="31"/>
      <c r="E78" s="29" t="s">
        <v>16</v>
      </c>
      <c r="F78" s="13" t="b">
        <f>IF($E78=Categories!$A$1,"",IF($E78=Categories!$A$2,Categories!$B$2,IF($E78=Categories!$A$3,Categories!$B$3,IF($E78=Categories!$A$4,Categories!$B$4,IF($E78=Categories!$A$5,Categories!$B$5,IF($E78=Categories!$A$6,Categories!$B$6,IF($E78=Categories!$A$7,Categories!$B$7,IF($E78=Categories!$A$8,Categories!$B$8,IF($E78=Categories!$A$9,Categories!$B$9,IF($E78=Categories!$A$10,Categories!$B$10,IF($E78=Categories!$A$11,Categories!$B$11,IF($E78=Categories!$A$12,Categories!$B$12,IF($E78=Categories!$A$13,Categories!$B$13,IF($E78=Categories!$A$14,Categories!$B$14,IF($E78=Categories!$A$15,Categories!$B$15,IF($E78=Categories!$A$16,Categories!$B$16,IF($E78=Categories!$A$17,Categories!$B$17,IF($E78=Categories!$A$18,Categories!$B$18,IF($E78=Categories!$A$19,Categories!$B$19)))))))))))))))))))</f>
        <v>0</v>
      </c>
      <c r="G78" s="9" t="str">
        <f t="shared" si="19"/>
        <v/>
      </c>
      <c r="H78" s="1" t="str">
        <f t="shared" si="20"/>
        <v/>
      </c>
      <c r="I78" s="1" t="str">
        <f t="shared" si="21"/>
        <v/>
      </c>
      <c r="J78" s="1" t="str">
        <f t="shared" si="22"/>
        <v/>
      </c>
      <c r="K78" s="13" t="str">
        <f t="shared" si="23"/>
        <v/>
      </c>
      <c r="L78" s="9" t="str">
        <f t="shared" si="24"/>
        <v/>
      </c>
      <c r="M78" s="1" t="str">
        <f t="shared" si="25"/>
        <v/>
      </c>
      <c r="N78" s="1" t="str">
        <f t="shared" si="26"/>
        <v/>
      </c>
      <c r="O78" s="1" t="str">
        <f t="shared" si="27"/>
        <v/>
      </c>
      <c r="P78" s="1" t="str">
        <f t="shared" si="28"/>
        <v/>
      </c>
      <c r="Q78" s="1" t="str">
        <f t="shared" si="29"/>
        <v/>
      </c>
      <c r="R78" s="1" t="str">
        <f t="shared" si="30"/>
        <v/>
      </c>
      <c r="S78" s="1" t="str">
        <f t="shared" si="31"/>
        <v/>
      </c>
      <c r="T78" s="1" t="str">
        <f t="shared" si="32"/>
        <v/>
      </c>
      <c r="U78" s="1" t="str">
        <f t="shared" si="33"/>
        <v/>
      </c>
      <c r="V78" s="1" t="str">
        <f t="shared" si="34"/>
        <v/>
      </c>
      <c r="W78" s="26" t="str">
        <f t="shared" si="35"/>
        <v/>
      </c>
      <c r="X78" s="13" t="str">
        <f t="shared" si="36"/>
        <v/>
      </c>
      <c r="Y78" s="9">
        <f t="shared" si="37"/>
        <v>0</v>
      </c>
    </row>
    <row r="79" spans="1:25" x14ac:dyDescent="0.25">
      <c r="A79" s="28"/>
      <c r="B79" s="29"/>
      <c r="C79" s="30"/>
      <c r="D79" s="31"/>
      <c r="E79" s="29" t="s">
        <v>16</v>
      </c>
      <c r="F79" s="13" t="b">
        <f>IF($E79=Categories!$A$1,"",IF($E79=Categories!$A$2,Categories!$B$2,IF($E79=Categories!$A$3,Categories!$B$3,IF($E79=Categories!$A$4,Categories!$B$4,IF($E79=Categories!$A$5,Categories!$B$5,IF($E79=Categories!$A$6,Categories!$B$6,IF($E79=Categories!$A$7,Categories!$B$7,IF($E79=Categories!$A$8,Categories!$B$8,IF($E79=Categories!$A$9,Categories!$B$9,IF($E79=Categories!$A$10,Categories!$B$10,IF($E79=Categories!$A$11,Categories!$B$11,IF($E79=Categories!$A$12,Categories!$B$12,IF($E79=Categories!$A$13,Categories!$B$13,IF($E79=Categories!$A$14,Categories!$B$14,IF($E79=Categories!$A$15,Categories!$B$15,IF($E79=Categories!$A$16,Categories!$B$16,IF($E79=Categories!$A$17,Categories!$B$17,IF($E79=Categories!$A$18,Categories!$B$18,IF($E79=Categories!$A$19,Categories!$B$19)))))))))))))))))))</f>
        <v>0</v>
      </c>
      <c r="G79" s="9" t="str">
        <f t="shared" si="19"/>
        <v/>
      </c>
      <c r="H79" s="1" t="str">
        <f t="shared" si="20"/>
        <v/>
      </c>
      <c r="I79" s="1" t="str">
        <f t="shared" si="21"/>
        <v/>
      </c>
      <c r="J79" s="1" t="str">
        <f t="shared" si="22"/>
        <v/>
      </c>
      <c r="K79" s="13" t="str">
        <f t="shared" si="23"/>
        <v/>
      </c>
      <c r="L79" s="9" t="str">
        <f t="shared" si="24"/>
        <v/>
      </c>
      <c r="M79" s="1" t="str">
        <f t="shared" si="25"/>
        <v/>
      </c>
      <c r="N79" s="1" t="str">
        <f t="shared" si="26"/>
        <v/>
      </c>
      <c r="O79" s="1" t="str">
        <f t="shared" si="27"/>
        <v/>
      </c>
      <c r="P79" s="1" t="str">
        <f t="shared" si="28"/>
        <v/>
      </c>
      <c r="Q79" s="1" t="str">
        <f t="shared" si="29"/>
        <v/>
      </c>
      <c r="R79" s="1" t="str">
        <f t="shared" si="30"/>
        <v/>
      </c>
      <c r="S79" s="1" t="str">
        <f t="shared" si="31"/>
        <v/>
      </c>
      <c r="T79" s="1" t="str">
        <f t="shared" si="32"/>
        <v/>
      </c>
      <c r="U79" s="1" t="str">
        <f t="shared" si="33"/>
        <v/>
      </c>
      <c r="V79" s="1" t="str">
        <f t="shared" si="34"/>
        <v/>
      </c>
      <c r="W79" s="26" t="str">
        <f t="shared" si="35"/>
        <v/>
      </c>
      <c r="X79" s="13" t="str">
        <f t="shared" si="36"/>
        <v/>
      </c>
      <c r="Y79" s="9">
        <f t="shared" si="37"/>
        <v>0</v>
      </c>
    </row>
    <row r="80" spans="1:25" x14ac:dyDescent="0.25">
      <c r="A80" s="28"/>
      <c r="B80" s="29"/>
      <c r="C80" s="30"/>
      <c r="D80" s="31"/>
      <c r="E80" s="29" t="s">
        <v>16</v>
      </c>
      <c r="F80" s="13" t="b">
        <f>IF($E80=Categories!$A$1,"",IF($E80=Categories!$A$2,Categories!$B$2,IF($E80=Categories!$A$3,Categories!$B$3,IF($E80=Categories!$A$4,Categories!$B$4,IF($E80=Categories!$A$5,Categories!$B$5,IF($E80=Categories!$A$6,Categories!$B$6,IF($E80=Categories!$A$7,Categories!$B$7,IF($E80=Categories!$A$8,Categories!$B$8,IF($E80=Categories!$A$9,Categories!$B$9,IF($E80=Categories!$A$10,Categories!$B$10,IF($E80=Categories!$A$11,Categories!$B$11,IF($E80=Categories!$A$12,Categories!$B$12,IF($E80=Categories!$A$13,Categories!$B$13,IF($E80=Categories!$A$14,Categories!$B$14,IF($E80=Categories!$A$15,Categories!$B$15,IF($E80=Categories!$A$16,Categories!$B$16,IF($E80=Categories!$A$17,Categories!$B$17,IF($E80=Categories!$A$18,Categories!$B$18,IF($E80=Categories!$A$19,Categories!$B$19)))))))))))))))))))</f>
        <v>0</v>
      </c>
      <c r="G80" s="9" t="str">
        <f t="shared" si="19"/>
        <v/>
      </c>
      <c r="H80" s="1" t="str">
        <f t="shared" si="20"/>
        <v/>
      </c>
      <c r="I80" s="1" t="str">
        <f t="shared" si="21"/>
        <v/>
      </c>
      <c r="J80" s="1" t="str">
        <f t="shared" si="22"/>
        <v/>
      </c>
      <c r="K80" s="13" t="str">
        <f t="shared" si="23"/>
        <v/>
      </c>
      <c r="L80" s="9" t="str">
        <f t="shared" si="24"/>
        <v/>
      </c>
      <c r="M80" s="1" t="str">
        <f t="shared" si="25"/>
        <v/>
      </c>
      <c r="N80" s="1" t="str">
        <f t="shared" si="26"/>
        <v/>
      </c>
      <c r="O80" s="1" t="str">
        <f t="shared" si="27"/>
        <v/>
      </c>
      <c r="P80" s="1" t="str">
        <f t="shared" si="28"/>
        <v/>
      </c>
      <c r="Q80" s="1" t="str">
        <f t="shared" si="29"/>
        <v/>
      </c>
      <c r="R80" s="1" t="str">
        <f t="shared" si="30"/>
        <v/>
      </c>
      <c r="S80" s="1" t="str">
        <f t="shared" si="31"/>
        <v/>
      </c>
      <c r="T80" s="1" t="str">
        <f t="shared" si="32"/>
        <v/>
      </c>
      <c r="U80" s="1" t="str">
        <f t="shared" si="33"/>
        <v/>
      </c>
      <c r="V80" s="1" t="str">
        <f t="shared" si="34"/>
        <v/>
      </c>
      <c r="W80" s="26" t="str">
        <f t="shared" si="35"/>
        <v/>
      </c>
      <c r="X80" s="13" t="str">
        <f t="shared" si="36"/>
        <v/>
      </c>
      <c r="Y80" s="9">
        <f t="shared" si="37"/>
        <v>0</v>
      </c>
    </row>
    <row r="81" spans="1:25" x14ac:dyDescent="0.25">
      <c r="A81" s="28"/>
      <c r="B81" s="29"/>
      <c r="C81" s="30"/>
      <c r="D81" s="31"/>
      <c r="E81" s="29" t="s">
        <v>16</v>
      </c>
      <c r="F81" s="13" t="b">
        <f>IF($E81=Categories!$A$1,"",IF($E81=Categories!$A$2,Categories!$B$2,IF($E81=Categories!$A$3,Categories!$B$3,IF($E81=Categories!$A$4,Categories!$B$4,IF($E81=Categories!$A$5,Categories!$B$5,IF($E81=Categories!$A$6,Categories!$B$6,IF($E81=Categories!$A$7,Categories!$B$7,IF($E81=Categories!$A$8,Categories!$B$8,IF($E81=Categories!$A$9,Categories!$B$9,IF($E81=Categories!$A$10,Categories!$B$10,IF($E81=Categories!$A$11,Categories!$B$11,IF($E81=Categories!$A$12,Categories!$B$12,IF($E81=Categories!$A$13,Categories!$B$13,IF($E81=Categories!$A$14,Categories!$B$14,IF($E81=Categories!$A$15,Categories!$B$15,IF($E81=Categories!$A$16,Categories!$B$16,IF($E81=Categories!$A$17,Categories!$B$17,IF($E81=Categories!$A$18,Categories!$B$18,IF($E81=Categories!$A$19,Categories!$B$19)))))))))))))))))))</f>
        <v>0</v>
      </c>
      <c r="G81" s="9" t="str">
        <f t="shared" si="19"/>
        <v/>
      </c>
      <c r="H81" s="1" t="str">
        <f t="shared" si="20"/>
        <v/>
      </c>
      <c r="I81" s="1" t="str">
        <f t="shared" si="21"/>
        <v/>
      </c>
      <c r="J81" s="1" t="str">
        <f t="shared" si="22"/>
        <v/>
      </c>
      <c r="K81" s="13" t="str">
        <f t="shared" si="23"/>
        <v/>
      </c>
      <c r="L81" s="9" t="str">
        <f t="shared" si="24"/>
        <v/>
      </c>
      <c r="M81" s="1" t="str">
        <f t="shared" si="25"/>
        <v/>
      </c>
      <c r="N81" s="1" t="str">
        <f t="shared" si="26"/>
        <v/>
      </c>
      <c r="O81" s="1" t="str">
        <f t="shared" si="27"/>
        <v/>
      </c>
      <c r="P81" s="1" t="str">
        <f t="shared" si="28"/>
        <v/>
      </c>
      <c r="Q81" s="1" t="str">
        <f t="shared" si="29"/>
        <v/>
      </c>
      <c r="R81" s="1" t="str">
        <f t="shared" si="30"/>
        <v/>
      </c>
      <c r="S81" s="1" t="str">
        <f t="shared" si="31"/>
        <v/>
      </c>
      <c r="T81" s="1" t="str">
        <f t="shared" si="32"/>
        <v/>
      </c>
      <c r="U81" s="1" t="str">
        <f t="shared" si="33"/>
        <v/>
      </c>
      <c r="V81" s="1" t="str">
        <f t="shared" si="34"/>
        <v/>
      </c>
      <c r="W81" s="26" t="str">
        <f t="shared" si="35"/>
        <v/>
      </c>
      <c r="X81" s="13" t="str">
        <f t="shared" si="36"/>
        <v/>
      </c>
      <c r="Y81" s="9">
        <f t="shared" si="37"/>
        <v>0</v>
      </c>
    </row>
    <row r="82" spans="1:25" x14ac:dyDescent="0.25">
      <c r="A82" s="28"/>
      <c r="B82" s="29"/>
      <c r="C82" s="30"/>
      <c r="D82" s="31"/>
      <c r="E82" s="29" t="s">
        <v>16</v>
      </c>
      <c r="F82" s="13" t="b">
        <f>IF($E82=Categories!$A$1,"",IF($E82=Categories!$A$2,Categories!$B$2,IF($E82=Categories!$A$3,Categories!$B$3,IF($E82=Categories!$A$4,Categories!$B$4,IF($E82=Categories!$A$5,Categories!$B$5,IF($E82=Categories!$A$6,Categories!$B$6,IF($E82=Categories!$A$7,Categories!$B$7,IF($E82=Categories!$A$8,Categories!$B$8,IF($E82=Categories!$A$9,Categories!$B$9,IF($E82=Categories!$A$10,Categories!$B$10,IF($E82=Categories!$A$11,Categories!$B$11,IF($E82=Categories!$A$12,Categories!$B$12,IF($E82=Categories!$A$13,Categories!$B$13,IF($E82=Categories!$A$14,Categories!$B$14,IF($E82=Categories!$A$15,Categories!$B$15,IF($E82=Categories!$A$16,Categories!$B$16,IF($E82=Categories!$A$17,Categories!$B$17,IF($E82=Categories!$A$18,Categories!$B$18,IF($E82=Categories!$A$19,Categories!$B$19)))))))))))))))))))</f>
        <v>0</v>
      </c>
      <c r="G82" s="9" t="str">
        <f t="shared" si="19"/>
        <v/>
      </c>
      <c r="H82" s="1" t="str">
        <f t="shared" si="20"/>
        <v/>
      </c>
      <c r="I82" s="1" t="str">
        <f t="shared" si="21"/>
        <v/>
      </c>
      <c r="J82" s="1" t="str">
        <f t="shared" si="22"/>
        <v/>
      </c>
      <c r="K82" s="13" t="str">
        <f t="shared" si="23"/>
        <v/>
      </c>
      <c r="L82" s="9" t="str">
        <f t="shared" si="24"/>
        <v/>
      </c>
      <c r="M82" s="1" t="str">
        <f t="shared" si="25"/>
        <v/>
      </c>
      <c r="N82" s="1" t="str">
        <f t="shared" si="26"/>
        <v/>
      </c>
      <c r="O82" s="1" t="str">
        <f t="shared" si="27"/>
        <v/>
      </c>
      <c r="P82" s="1" t="str">
        <f t="shared" si="28"/>
        <v/>
      </c>
      <c r="Q82" s="1" t="str">
        <f t="shared" si="29"/>
        <v/>
      </c>
      <c r="R82" s="1" t="str">
        <f t="shared" si="30"/>
        <v/>
      </c>
      <c r="S82" s="1" t="str">
        <f t="shared" si="31"/>
        <v/>
      </c>
      <c r="T82" s="1" t="str">
        <f t="shared" si="32"/>
        <v/>
      </c>
      <c r="U82" s="1" t="str">
        <f t="shared" si="33"/>
        <v/>
      </c>
      <c r="V82" s="1" t="str">
        <f t="shared" si="34"/>
        <v/>
      </c>
      <c r="W82" s="26" t="str">
        <f t="shared" si="35"/>
        <v/>
      </c>
      <c r="X82" s="13" t="str">
        <f t="shared" si="36"/>
        <v/>
      </c>
      <c r="Y82" s="9">
        <f t="shared" si="37"/>
        <v>0</v>
      </c>
    </row>
    <row r="83" spans="1:25" x14ac:dyDescent="0.25">
      <c r="A83" s="28"/>
      <c r="B83" s="29"/>
      <c r="C83" s="30"/>
      <c r="D83" s="31"/>
      <c r="E83" s="29" t="s">
        <v>16</v>
      </c>
      <c r="F83" s="13" t="b">
        <f>IF($E83=Categories!$A$1,"",IF($E83=Categories!$A$2,Categories!$B$2,IF($E83=Categories!$A$3,Categories!$B$3,IF($E83=Categories!$A$4,Categories!$B$4,IF($E83=Categories!$A$5,Categories!$B$5,IF($E83=Categories!$A$6,Categories!$B$6,IF($E83=Categories!$A$7,Categories!$B$7,IF($E83=Categories!$A$8,Categories!$B$8,IF($E83=Categories!$A$9,Categories!$B$9,IF($E83=Categories!$A$10,Categories!$B$10,IF($E83=Categories!$A$11,Categories!$B$11,IF($E83=Categories!$A$12,Categories!$B$12,IF($E83=Categories!$A$13,Categories!$B$13,IF($E83=Categories!$A$14,Categories!$B$14,IF($E83=Categories!$A$15,Categories!$B$15,IF($E83=Categories!$A$16,Categories!$B$16,IF($E83=Categories!$A$17,Categories!$B$17,IF($E83=Categories!$A$18,Categories!$B$18,IF($E83=Categories!$A$19,Categories!$B$19)))))))))))))))))))</f>
        <v>0</v>
      </c>
      <c r="G83" s="9" t="str">
        <f t="shared" si="19"/>
        <v/>
      </c>
      <c r="H83" s="1" t="str">
        <f t="shared" si="20"/>
        <v/>
      </c>
      <c r="I83" s="1" t="str">
        <f t="shared" si="21"/>
        <v/>
      </c>
      <c r="J83" s="1" t="str">
        <f t="shared" si="22"/>
        <v/>
      </c>
      <c r="K83" s="13" t="str">
        <f t="shared" si="23"/>
        <v/>
      </c>
      <c r="L83" s="9" t="str">
        <f t="shared" si="24"/>
        <v/>
      </c>
      <c r="M83" s="1" t="str">
        <f t="shared" si="25"/>
        <v/>
      </c>
      <c r="N83" s="1" t="str">
        <f t="shared" si="26"/>
        <v/>
      </c>
      <c r="O83" s="1" t="str">
        <f t="shared" si="27"/>
        <v/>
      </c>
      <c r="P83" s="1" t="str">
        <f t="shared" si="28"/>
        <v/>
      </c>
      <c r="Q83" s="1" t="str">
        <f t="shared" si="29"/>
        <v/>
      </c>
      <c r="R83" s="1" t="str">
        <f t="shared" si="30"/>
        <v/>
      </c>
      <c r="S83" s="1" t="str">
        <f t="shared" si="31"/>
        <v/>
      </c>
      <c r="T83" s="1" t="str">
        <f t="shared" si="32"/>
        <v/>
      </c>
      <c r="U83" s="1" t="str">
        <f t="shared" si="33"/>
        <v/>
      </c>
      <c r="V83" s="1" t="str">
        <f t="shared" si="34"/>
        <v/>
      </c>
      <c r="W83" s="26" t="str">
        <f t="shared" si="35"/>
        <v/>
      </c>
      <c r="X83" s="13" t="str">
        <f t="shared" si="36"/>
        <v/>
      </c>
      <c r="Y83" s="9">
        <f t="shared" si="37"/>
        <v>0</v>
      </c>
    </row>
    <row r="84" spans="1:25" x14ac:dyDescent="0.25">
      <c r="A84" s="28"/>
      <c r="B84" s="29"/>
      <c r="C84" s="30"/>
      <c r="D84" s="31"/>
      <c r="E84" s="29" t="s">
        <v>16</v>
      </c>
      <c r="F84" s="13" t="b">
        <f>IF($E84=Categories!$A$1,"",IF($E84=Categories!$A$2,Categories!$B$2,IF($E84=Categories!$A$3,Categories!$B$3,IF($E84=Categories!$A$4,Categories!$B$4,IF($E84=Categories!$A$5,Categories!$B$5,IF($E84=Categories!$A$6,Categories!$B$6,IF($E84=Categories!$A$7,Categories!$B$7,IF($E84=Categories!$A$8,Categories!$B$8,IF($E84=Categories!$A$9,Categories!$B$9,IF($E84=Categories!$A$10,Categories!$B$10,IF($E84=Categories!$A$11,Categories!$B$11,IF($E84=Categories!$A$12,Categories!$B$12,IF($E84=Categories!$A$13,Categories!$B$13,IF($E84=Categories!$A$14,Categories!$B$14,IF($E84=Categories!$A$15,Categories!$B$15,IF($E84=Categories!$A$16,Categories!$B$16,IF($E84=Categories!$A$17,Categories!$B$17,IF($E84=Categories!$A$18,Categories!$B$18,IF($E84=Categories!$A$19,Categories!$B$19)))))))))))))))))))</f>
        <v>0</v>
      </c>
      <c r="G84" s="9" t="str">
        <f t="shared" si="19"/>
        <v/>
      </c>
      <c r="H84" s="1" t="str">
        <f t="shared" si="20"/>
        <v/>
      </c>
      <c r="I84" s="1" t="str">
        <f t="shared" si="21"/>
        <v/>
      </c>
      <c r="J84" s="1" t="str">
        <f t="shared" si="22"/>
        <v/>
      </c>
      <c r="K84" s="13" t="str">
        <f t="shared" si="23"/>
        <v/>
      </c>
      <c r="L84" s="9" t="str">
        <f t="shared" si="24"/>
        <v/>
      </c>
      <c r="M84" s="1" t="str">
        <f t="shared" si="25"/>
        <v/>
      </c>
      <c r="N84" s="1" t="str">
        <f t="shared" si="26"/>
        <v/>
      </c>
      <c r="O84" s="1" t="str">
        <f t="shared" si="27"/>
        <v/>
      </c>
      <c r="P84" s="1" t="str">
        <f t="shared" si="28"/>
        <v/>
      </c>
      <c r="Q84" s="1" t="str">
        <f t="shared" si="29"/>
        <v/>
      </c>
      <c r="R84" s="1" t="str">
        <f t="shared" si="30"/>
        <v/>
      </c>
      <c r="S84" s="1" t="str">
        <f t="shared" si="31"/>
        <v/>
      </c>
      <c r="T84" s="1" t="str">
        <f t="shared" si="32"/>
        <v/>
      </c>
      <c r="U84" s="1" t="str">
        <f t="shared" si="33"/>
        <v/>
      </c>
      <c r="V84" s="1" t="str">
        <f t="shared" si="34"/>
        <v/>
      </c>
      <c r="W84" s="26" t="str">
        <f t="shared" si="35"/>
        <v/>
      </c>
      <c r="X84" s="13" t="str">
        <f t="shared" si="36"/>
        <v/>
      </c>
      <c r="Y84" s="9">
        <f t="shared" si="37"/>
        <v>0</v>
      </c>
    </row>
    <row r="85" spans="1:25" x14ac:dyDescent="0.25">
      <c r="A85" s="28"/>
      <c r="B85" s="29"/>
      <c r="C85" s="30"/>
      <c r="D85" s="31"/>
      <c r="E85" s="29" t="s">
        <v>16</v>
      </c>
      <c r="F85" s="13" t="b">
        <f>IF($E85=Categories!$A$1,"",IF($E85=Categories!$A$2,Categories!$B$2,IF($E85=Categories!$A$3,Categories!$B$3,IF($E85=Categories!$A$4,Categories!$B$4,IF($E85=Categories!$A$5,Categories!$B$5,IF($E85=Categories!$A$6,Categories!$B$6,IF($E85=Categories!$A$7,Categories!$B$7,IF($E85=Categories!$A$8,Categories!$B$8,IF($E85=Categories!$A$9,Categories!$B$9,IF($E85=Categories!$A$10,Categories!$B$10,IF($E85=Categories!$A$11,Categories!$B$11,IF($E85=Categories!$A$12,Categories!$B$12,IF($E85=Categories!$A$13,Categories!$B$13,IF($E85=Categories!$A$14,Categories!$B$14,IF($E85=Categories!$A$15,Categories!$B$15,IF($E85=Categories!$A$16,Categories!$B$16,IF($E85=Categories!$A$17,Categories!$B$17,IF($E85=Categories!$A$18,Categories!$B$18,IF($E85=Categories!$A$19,Categories!$B$19)))))))))))))))))))</f>
        <v>0</v>
      </c>
      <c r="G85" s="9" t="str">
        <f t="shared" si="19"/>
        <v/>
      </c>
      <c r="H85" s="1" t="str">
        <f t="shared" si="20"/>
        <v/>
      </c>
      <c r="I85" s="1" t="str">
        <f t="shared" si="21"/>
        <v/>
      </c>
      <c r="J85" s="1" t="str">
        <f t="shared" si="22"/>
        <v/>
      </c>
      <c r="K85" s="13" t="str">
        <f t="shared" si="23"/>
        <v/>
      </c>
      <c r="L85" s="9" t="str">
        <f t="shared" si="24"/>
        <v/>
      </c>
      <c r="M85" s="1" t="str">
        <f t="shared" si="25"/>
        <v/>
      </c>
      <c r="N85" s="1" t="str">
        <f t="shared" si="26"/>
        <v/>
      </c>
      <c r="O85" s="1" t="str">
        <f t="shared" si="27"/>
        <v/>
      </c>
      <c r="P85" s="1" t="str">
        <f t="shared" si="28"/>
        <v/>
      </c>
      <c r="Q85" s="1" t="str">
        <f t="shared" si="29"/>
        <v/>
      </c>
      <c r="R85" s="1" t="str">
        <f t="shared" si="30"/>
        <v/>
      </c>
      <c r="S85" s="1" t="str">
        <f t="shared" si="31"/>
        <v/>
      </c>
      <c r="T85" s="1" t="str">
        <f t="shared" si="32"/>
        <v/>
      </c>
      <c r="U85" s="1" t="str">
        <f t="shared" si="33"/>
        <v/>
      </c>
      <c r="V85" s="1" t="str">
        <f t="shared" si="34"/>
        <v/>
      </c>
      <c r="W85" s="26" t="str">
        <f t="shared" si="35"/>
        <v/>
      </c>
      <c r="X85" s="13" t="str">
        <f t="shared" si="36"/>
        <v/>
      </c>
      <c r="Y85" s="9">
        <f t="shared" si="37"/>
        <v>0</v>
      </c>
    </row>
    <row r="86" spans="1:25" x14ac:dyDescent="0.25">
      <c r="A86" s="28"/>
      <c r="B86" s="29"/>
      <c r="C86" s="30"/>
      <c r="D86" s="31"/>
      <c r="E86" s="29" t="s">
        <v>16</v>
      </c>
      <c r="F86" s="13" t="b">
        <f>IF($E86=Categories!$A$1,"",IF($E86=Categories!$A$2,Categories!$B$2,IF($E86=Categories!$A$3,Categories!$B$3,IF($E86=Categories!$A$4,Categories!$B$4,IF($E86=Categories!$A$5,Categories!$B$5,IF($E86=Categories!$A$6,Categories!$B$6,IF($E86=Categories!$A$7,Categories!$B$7,IF($E86=Categories!$A$8,Categories!$B$8,IF($E86=Categories!$A$9,Categories!$B$9,IF($E86=Categories!$A$10,Categories!$B$10,IF($E86=Categories!$A$11,Categories!$B$11,IF($E86=Categories!$A$12,Categories!$B$12,IF($E86=Categories!$A$13,Categories!$B$13,IF($E86=Categories!$A$14,Categories!$B$14,IF($E86=Categories!$A$15,Categories!$B$15,IF($E86=Categories!$A$16,Categories!$B$16,IF($E86=Categories!$A$17,Categories!$B$17,IF($E86=Categories!$A$18,Categories!$B$18,IF($E86=Categories!$A$19,Categories!$B$19)))))))))))))))))))</f>
        <v>0</v>
      </c>
      <c r="G86" s="9" t="str">
        <f t="shared" si="19"/>
        <v/>
      </c>
      <c r="H86" s="1" t="str">
        <f t="shared" si="20"/>
        <v/>
      </c>
      <c r="I86" s="1" t="str">
        <f t="shared" si="21"/>
        <v/>
      </c>
      <c r="J86" s="1" t="str">
        <f t="shared" si="22"/>
        <v/>
      </c>
      <c r="K86" s="13" t="str">
        <f t="shared" si="23"/>
        <v/>
      </c>
      <c r="L86" s="9" t="str">
        <f t="shared" si="24"/>
        <v/>
      </c>
      <c r="M86" s="1" t="str">
        <f t="shared" si="25"/>
        <v/>
      </c>
      <c r="N86" s="1" t="str">
        <f t="shared" si="26"/>
        <v/>
      </c>
      <c r="O86" s="1" t="str">
        <f t="shared" si="27"/>
        <v/>
      </c>
      <c r="P86" s="1" t="str">
        <f t="shared" si="28"/>
        <v/>
      </c>
      <c r="Q86" s="1" t="str">
        <f t="shared" si="29"/>
        <v/>
      </c>
      <c r="R86" s="1" t="str">
        <f t="shared" si="30"/>
        <v/>
      </c>
      <c r="S86" s="1" t="str">
        <f t="shared" si="31"/>
        <v/>
      </c>
      <c r="T86" s="1" t="str">
        <f t="shared" si="32"/>
        <v/>
      </c>
      <c r="U86" s="1" t="str">
        <f t="shared" si="33"/>
        <v/>
      </c>
      <c r="V86" s="1" t="str">
        <f t="shared" si="34"/>
        <v/>
      </c>
      <c r="W86" s="26" t="str">
        <f t="shared" si="35"/>
        <v/>
      </c>
      <c r="X86" s="13" t="str">
        <f t="shared" si="36"/>
        <v/>
      </c>
      <c r="Y86" s="9">
        <f t="shared" si="37"/>
        <v>0</v>
      </c>
    </row>
    <row r="87" spans="1:25" x14ac:dyDescent="0.25">
      <c r="A87" s="28"/>
      <c r="B87" s="29"/>
      <c r="C87" s="30"/>
      <c r="D87" s="31"/>
      <c r="E87" s="29" t="s">
        <v>16</v>
      </c>
      <c r="F87" s="13" t="b">
        <f>IF($E87=Categories!$A$1,"",IF($E87=Categories!$A$2,Categories!$B$2,IF($E87=Categories!$A$3,Categories!$B$3,IF($E87=Categories!$A$4,Categories!$B$4,IF($E87=Categories!$A$5,Categories!$B$5,IF($E87=Categories!$A$6,Categories!$B$6,IF($E87=Categories!$A$7,Categories!$B$7,IF($E87=Categories!$A$8,Categories!$B$8,IF($E87=Categories!$A$9,Categories!$B$9,IF($E87=Categories!$A$10,Categories!$B$10,IF($E87=Categories!$A$11,Categories!$B$11,IF($E87=Categories!$A$12,Categories!$B$12,IF($E87=Categories!$A$13,Categories!$B$13,IF($E87=Categories!$A$14,Categories!$B$14,IF($E87=Categories!$A$15,Categories!$B$15,IF($E87=Categories!$A$16,Categories!$B$16,IF($E87=Categories!$A$17,Categories!$B$17,IF($E87=Categories!$A$18,Categories!$B$18,IF($E87=Categories!$A$19,Categories!$B$19)))))))))))))))))))</f>
        <v>0</v>
      </c>
      <c r="G87" s="9" t="str">
        <f t="shared" si="19"/>
        <v/>
      </c>
      <c r="H87" s="1" t="str">
        <f t="shared" si="20"/>
        <v/>
      </c>
      <c r="I87" s="1" t="str">
        <f t="shared" si="21"/>
        <v/>
      </c>
      <c r="J87" s="1" t="str">
        <f t="shared" si="22"/>
        <v/>
      </c>
      <c r="K87" s="13" t="str">
        <f t="shared" si="23"/>
        <v/>
      </c>
      <c r="L87" s="9" t="str">
        <f t="shared" si="24"/>
        <v/>
      </c>
      <c r="M87" s="1" t="str">
        <f t="shared" si="25"/>
        <v/>
      </c>
      <c r="N87" s="1" t="str">
        <f t="shared" si="26"/>
        <v/>
      </c>
      <c r="O87" s="1" t="str">
        <f t="shared" si="27"/>
        <v/>
      </c>
      <c r="P87" s="1" t="str">
        <f t="shared" si="28"/>
        <v/>
      </c>
      <c r="Q87" s="1" t="str">
        <f t="shared" si="29"/>
        <v/>
      </c>
      <c r="R87" s="1" t="str">
        <f t="shared" si="30"/>
        <v/>
      </c>
      <c r="S87" s="1" t="str">
        <f t="shared" si="31"/>
        <v/>
      </c>
      <c r="T87" s="1" t="str">
        <f t="shared" si="32"/>
        <v/>
      </c>
      <c r="U87" s="1" t="str">
        <f t="shared" si="33"/>
        <v/>
      </c>
      <c r="V87" s="1" t="str">
        <f t="shared" si="34"/>
        <v/>
      </c>
      <c r="W87" s="26" t="str">
        <f t="shared" si="35"/>
        <v/>
      </c>
      <c r="X87" s="13" t="str">
        <f t="shared" si="36"/>
        <v/>
      </c>
      <c r="Y87" s="9">
        <f t="shared" si="37"/>
        <v>0</v>
      </c>
    </row>
    <row r="88" spans="1:25" x14ac:dyDescent="0.25">
      <c r="A88" s="28"/>
      <c r="B88" s="29"/>
      <c r="C88" s="30"/>
      <c r="D88" s="31"/>
      <c r="E88" s="29" t="s">
        <v>16</v>
      </c>
      <c r="F88" s="13" t="b">
        <f>IF($E88=Categories!$A$1,"",IF($E88=Categories!$A$2,Categories!$B$2,IF($E88=Categories!$A$3,Categories!$B$3,IF($E88=Categories!$A$4,Categories!$B$4,IF($E88=Categories!$A$5,Categories!$B$5,IF($E88=Categories!$A$6,Categories!$B$6,IF($E88=Categories!$A$7,Categories!$B$7,IF($E88=Categories!$A$8,Categories!$B$8,IF($E88=Categories!$A$9,Categories!$B$9,IF($E88=Categories!$A$10,Categories!$B$10,IF($E88=Categories!$A$11,Categories!$B$11,IF($E88=Categories!$A$12,Categories!$B$12,IF($E88=Categories!$A$13,Categories!$B$13,IF($E88=Categories!$A$14,Categories!$B$14,IF($E88=Categories!$A$15,Categories!$B$15,IF($E88=Categories!$A$16,Categories!$B$16,IF($E88=Categories!$A$17,Categories!$B$17,IF($E88=Categories!$A$18,Categories!$B$18,IF($E88=Categories!$A$19,Categories!$B$19)))))))))))))))))))</f>
        <v>0</v>
      </c>
      <c r="G88" s="9" t="str">
        <f t="shared" si="19"/>
        <v/>
      </c>
      <c r="H88" s="1" t="str">
        <f t="shared" si="20"/>
        <v/>
      </c>
      <c r="I88" s="1" t="str">
        <f t="shared" si="21"/>
        <v/>
      </c>
      <c r="J88" s="1" t="str">
        <f t="shared" si="22"/>
        <v/>
      </c>
      <c r="K88" s="13" t="str">
        <f t="shared" si="23"/>
        <v/>
      </c>
      <c r="L88" s="9" t="str">
        <f t="shared" si="24"/>
        <v/>
      </c>
      <c r="M88" s="1" t="str">
        <f t="shared" si="25"/>
        <v/>
      </c>
      <c r="N88" s="1" t="str">
        <f t="shared" si="26"/>
        <v/>
      </c>
      <c r="O88" s="1" t="str">
        <f t="shared" si="27"/>
        <v/>
      </c>
      <c r="P88" s="1" t="str">
        <f t="shared" si="28"/>
        <v/>
      </c>
      <c r="Q88" s="1" t="str">
        <f t="shared" si="29"/>
        <v/>
      </c>
      <c r="R88" s="1" t="str">
        <f t="shared" si="30"/>
        <v/>
      </c>
      <c r="S88" s="1" t="str">
        <f t="shared" si="31"/>
        <v/>
      </c>
      <c r="T88" s="1" t="str">
        <f t="shared" si="32"/>
        <v/>
      </c>
      <c r="U88" s="1" t="str">
        <f t="shared" si="33"/>
        <v/>
      </c>
      <c r="V88" s="1" t="str">
        <f t="shared" si="34"/>
        <v/>
      </c>
      <c r="W88" s="26" t="str">
        <f t="shared" si="35"/>
        <v/>
      </c>
      <c r="X88" s="13" t="str">
        <f t="shared" si="36"/>
        <v/>
      </c>
      <c r="Y88" s="9">
        <f t="shared" si="37"/>
        <v>0</v>
      </c>
    </row>
    <row r="89" spans="1:25" x14ac:dyDescent="0.25">
      <c r="A89" s="28"/>
      <c r="B89" s="29"/>
      <c r="C89" s="30"/>
      <c r="D89" s="31"/>
      <c r="E89" s="29" t="s">
        <v>16</v>
      </c>
      <c r="F89" s="13" t="b">
        <f>IF($E89=Categories!$A$1,"",IF($E89=Categories!$A$2,Categories!$B$2,IF($E89=Categories!$A$3,Categories!$B$3,IF($E89=Categories!$A$4,Categories!$B$4,IF($E89=Categories!$A$5,Categories!$B$5,IF($E89=Categories!$A$6,Categories!$B$6,IF($E89=Categories!$A$7,Categories!$B$7,IF($E89=Categories!$A$8,Categories!$B$8,IF($E89=Categories!$A$9,Categories!$B$9,IF($E89=Categories!$A$10,Categories!$B$10,IF($E89=Categories!$A$11,Categories!$B$11,IF($E89=Categories!$A$12,Categories!$B$12,IF($E89=Categories!$A$13,Categories!$B$13,IF($E89=Categories!$A$14,Categories!$B$14,IF($E89=Categories!$A$15,Categories!$B$15,IF($E89=Categories!$A$16,Categories!$B$16,IF($E89=Categories!$A$17,Categories!$B$17,IF($E89=Categories!$A$18,Categories!$B$18,IF($E89=Categories!$A$19,Categories!$B$19)))))))))))))))))))</f>
        <v>0</v>
      </c>
      <c r="G89" s="9" t="str">
        <f t="shared" si="19"/>
        <v/>
      </c>
      <c r="H89" s="1" t="str">
        <f t="shared" si="20"/>
        <v/>
      </c>
      <c r="I89" s="1" t="str">
        <f t="shared" si="21"/>
        <v/>
      </c>
      <c r="J89" s="1" t="str">
        <f t="shared" si="22"/>
        <v/>
      </c>
      <c r="K89" s="13" t="str">
        <f t="shared" si="23"/>
        <v/>
      </c>
      <c r="L89" s="9" t="str">
        <f t="shared" si="24"/>
        <v/>
      </c>
      <c r="M89" s="1" t="str">
        <f t="shared" si="25"/>
        <v/>
      </c>
      <c r="N89" s="1" t="str">
        <f t="shared" si="26"/>
        <v/>
      </c>
      <c r="O89" s="1" t="str">
        <f t="shared" si="27"/>
        <v/>
      </c>
      <c r="P89" s="1" t="str">
        <f t="shared" si="28"/>
        <v/>
      </c>
      <c r="Q89" s="1" t="str">
        <f t="shared" si="29"/>
        <v/>
      </c>
      <c r="R89" s="1" t="str">
        <f t="shared" si="30"/>
        <v/>
      </c>
      <c r="S89" s="1" t="str">
        <f t="shared" si="31"/>
        <v/>
      </c>
      <c r="T89" s="1" t="str">
        <f t="shared" si="32"/>
        <v/>
      </c>
      <c r="U89" s="1" t="str">
        <f t="shared" si="33"/>
        <v/>
      </c>
      <c r="V89" s="1" t="str">
        <f t="shared" si="34"/>
        <v/>
      </c>
      <c r="W89" s="26" t="str">
        <f t="shared" si="35"/>
        <v/>
      </c>
      <c r="X89" s="13" t="str">
        <f t="shared" si="36"/>
        <v/>
      </c>
      <c r="Y89" s="9">
        <f t="shared" si="37"/>
        <v>0</v>
      </c>
    </row>
    <row r="90" spans="1:25" x14ac:dyDescent="0.25">
      <c r="A90" s="28"/>
      <c r="B90" s="29"/>
      <c r="C90" s="30"/>
      <c r="D90" s="31"/>
      <c r="E90" s="29" t="s">
        <v>16</v>
      </c>
      <c r="F90" s="13" t="b">
        <f>IF($E90=Categories!$A$1,"",IF($E90=Categories!$A$2,Categories!$B$2,IF($E90=Categories!$A$3,Categories!$B$3,IF($E90=Categories!$A$4,Categories!$B$4,IF($E90=Categories!$A$5,Categories!$B$5,IF($E90=Categories!$A$6,Categories!$B$6,IF($E90=Categories!$A$7,Categories!$B$7,IF($E90=Categories!$A$8,Categories!$B$8,IF($E90=Categories!$A$9,Categories!$B$9,IF($E90=Categories!$A$10,Categories!$B$10,IF($E90=Categories!$A$11,Categories!$B$11,IF($E90=Categories!$A$12,Categories!$B$12,IF($E90=Categories!$A$13,Categories!$B$13,IF($E90=Categories!$A$14,Categories!$B$14,IF($E90=Categories!$A$15,Categories!$B$15,IF($E90=Categories!$A$16,Categories!$B$16,IF($E90=Categories!$A$17,Categories!$B$17,IF($E90=Categories!$A$18,Categories!$B$18,IF($E90=Categories!$A$19,Categories!$B$19)))))))))))))))))))</f>
        <v>0</v>
      </c>
      <c r="G90" s="9" t="str">
        <f t="shared" si="19"/>
        <v/>
      </c>
      <c r="H90" s="1" t="str">
        <f t="shared" si="20"/>
        <v/>
      </c>
      <c r="I90" s="1" t="str">
        <f t="shared" si="21"/>
        <v/>
      </c>
      <c r="J90" s="1" t="str">
        <f t="shared" si="22"/>
        <v/>
      </c>
      <c r="K90" s="13" t="str">
        <f t="shared" si="23"/>
        <v/>
      </c>
      <c r="L90" s="9" t="str">
        <f t="shared" si="24"/>
        <v/>
      </c>
      <c r="M90" s="1" t="str">
        <f t="shared" si="25"/>
        <v/>
      </c>
      <c r="N90" s="1" t="str">
        <f t="shared" si="26"/>
        <v/>
      </c>
      <c r="O90" s="1" t="str">
        <f t="shared" si="27"/>
        <v/>
      </c>
      <c r="P90" s="1" t="str">
        <f t="shared" si="28"/>
        <v/>
      </c>
      <c r="Q90" s="1" t="str">
        <f t="shared" si="29"/>
        <v/>
      </c>
      <c r="R90" s="1" t="str">
        <f t="shared" si="30"/>
        <v/>
      </c>
      <c r="S90" s="1" t="str">
        <f t="shared" si="31"/>
        <v/>
      </c>
      <c r="T90" s="1" t="str">
        <f t="shared" si="32"/>
        <v/>
      </c>
      <c r="U90" s="1" t="str">
        <f t="shared" si="33"/>
        <v/>
      </c>
      <c r="V90" s="1" t="str">
        <f t="shared" si="34"/>
        <v/>
      </c>
      <c r="W90" s="26" t="str">
        <f t="shared" si="35"/>
        <v/>
      </c>
      <c r="X90" s="13" t="str">
        <f t="shared" si="36"/>
        <v/>
      </c>
      <c r="Y90" s="9">
        <f t="shared" si="37"/>
        <v>0</v>
      </c>
    </row>
    <row r="91" spans="1:25" x14ac:dyDescent="0.25">
      <c r="A91" s="28"/>
      <c r="B91" s="29"/>
      <c r="C91" s="30"/>
      <c r="D91" s="31"/>
      <c r="E91" s="29" t="s">
        <v>16</v>
      </c>
      <c r="F91" s="13" t="b">
        <f>IF($E91=Categories!$A$1,"",IF($E91=Categories!$A$2,Categories!$B$2,IF($E91=Categories!$A$3,Categories!$B$3,IF($E91=Categories!$A$4,Categories!$B$4,IF($E91=Categories!$A$5,Categories!$B$5,IF($E91=Categories!$A$6,Categories!$B$6,IF($E91=Categories!$A$7,Categories!$B$7,IF($E91=Categories!$A$8,Categories!$B$8,IF($E91=Categories!$A$9,Categories!$B$9,IF($E91=Categories!$A$10,Categories!$B$10,IF($E91=Categories!$A$11,Categories!$B$11,IF($E91=Categories!$A$12,Categories!$B$12,IF($E91=Categories!$A$13,Categories!$B$13,IF($E91=Categories!$A$14,Categories!$B$14,IF($E91=Categories!$A$15,Categories!$B$15,IF($E91=Categories!$A$16,Categories!$B$16,IF($E91=Categories!$A$17,Categories!$B$17,IF($E91=Categories!$A$18,Categories!$B$18,IF($E91=Categories!$A$19,Categories!$B$19)))))))))))))))))))</f>
        <v>0</v>
      </c>
      <c r="G91" s="9" t="str">
        <f t="shared" si="19"/>
        <v/>
      </c>
      <c r="H91" s="1" t="str">
        <f t="shared" si="20"/>
        <v/>
      </c>
      <c r="I91" s="1" t="str">
        <f t="shared" si="21"/>
        <v/>
      </c>
      <c r="J91" s="1" t="str">
        <f t="shared" si="22"/>
        <v/>
      </c>
      <c r="K91" s="13" t="str">
        <f t="shared" si="23"/>
        <v/>
      </c>
      <c r="L91" s="9" t="str">
        <f t="shared" si="24"/>
        <v/>
      </c>
      <c r="M91" s="1" t="str">
        <f t="shared" si="25"/>
        <v/>
      </c>
      <c r="N91" s="1" t="str">
        <f t="shared" si="26"/>
        <v/>
      </c>
      <c r="O91" s="1" t="str">
        <f t="shared" si="27"/>
        <v/>
      </c>
      <c r="P91" s="1" t="str">
        <f t="shared" si="28"/>
        <v/>
      </c>
      <c r="Q91" s="1" t="str">
        <f t="shared" si="29"/>
        <v/>
      </c>
      <c r="R91" s="1" t="str">
        <f t="shared" si="30"/>
        <v/>
      </c>
      <c r="S91" s="1" t="str">
        <f t="shared" si="31"/>
        <v/>
      </c>
      <c r="T91" s="1" t="str">
        <f t="shared" si="32"/>
        <v/>
      </c>
      <c r="U91" s="1" t="str">
        <f t="shared" si="33"/>
        <v/>
      </c>
      <c r="V91" s="1" t="str">
        <f t="shared" si="34"/>
        <v/>
      </c>
      <c r="W91" s="26" t="str">
        <f t="shared" si="35"/>
        <v/>
      </c>
      <c r="X91" s="13" t="str">
        <f t="shared" si="36"/>
        <v/>
      </c>
      <c r="Y91" s="9">
        <f t="shared" si="37"/>
        <v>0</v>
      </c>
    </row>
    <row r="92" spans="1:25" x14ac:dyDescent="0.25">
      <c r="A92" s="28"/>
      <c r="B92" s="29"/>
      <c r="C92" s="30"/>
      <c r="D92" s="31"/>
      <c r="E92" s="29" t="s">
        <v>16</v>
      </c>
      <c r="F92" s="13" t="b">
        <f>IF($E92=Categories!$A$1,"",IF($E92=Categories!$A$2,Categories!$B$2,IF($E92=Categories!$A$3,Categories!$B$3,IF($E92=Categories!$A$4,Categories!$B$4,IF($E92=Categories!$A$5,Categories!$B$5,IF($E92=Categories!$A$6,Categories!$B$6,IF($E92=Categories!$A$7,Categories!$B$7,IF($E92=Categories!$A$8,Categories!$B$8,IF($E92=Categories!$A$9,Categories!$B$9,IF($E92=Categories!$A$10,Categories!$B$10,IF($E92=Categories!$A$11,Categories!$B$11,IF($E92=Categories!$A$12,Categories!$B$12,IF($E92=Categories!$A$13,Categories!$B$13,IF($E92=Categories!$A$14,Categories!$B$14,IF($E92=Categories!$A$15,Categories!$B$15,IF($E92=Categories!$A$16,Categories!$B$16,IF($E92=Categories!$A$17,Categories!$B$17,IF($E92=Categories!$A$18,Categories!$B$18,IF($E92=Categories!$A$19,Categories!$B$19)))))))))))))))))))</f>
        <v>0</v>
      </c>
      <c r="G92" s="9" t="str">
        <f t="shared" si="19"/>
        <v/>
      </c>
      <c r="H92" s="1" t="str">
        <f t="shared" si="20"/>
        <v/>
      </c>
      <c r="I92" s="1" t="str">
        <f t="shared" si="21"/>
        <v/>
      </c>
      <c r="J92" s="1" t="str">
        <f t="shared" si="22"/>
        <v/>
      </c>
      <c r="K92" s="13" t="str">
        <f t="shared" si="23"/>
        <v/>
      </c>
      <c r="L92" s="9" t="str">
        <f t="shared" si="24"/>
        <v/>
      </c>
      <c r="M92" s="1" t="str">
        <f t="shared" si="25"/>
        <v/>
      </c>
      <c r="N92" s="1" t="str">
        <f t="shared" si="26"/>
        <v/>
      </c>
      <c r="O92" s="1" t="str">
        <f t="shared" si="27"/>
        <v/>
      </c>
      <c r="P92" s="1" t="str">
        <f t="shared" si="28"/>
        <v/>
      </c>
      <c r="Q92" s="1" t="str">
        <f t="shared" si="29"/>
        <v/>
      </c>
      <c r="R92" s="1" t="str">
        <f t="shared" si="30"/>
        <v/>
      </c>
      <c r="S92" s="1" t="str">
        <f t="shared" si="31"/>
        <v/>
      </c>
      <c r="T92" s="1" t="str">
        <f t="shared" si="32"/>
        <v/>
      </c>
      <c r="U92" s="1" t="str">
        <f t="shared" si="33"/>
        <v/>
      </c>
      <c r="V92" s="1" t="str">
        <f t="shared" si="34"/>
        <v/>
      </c>
      <c r="W92" s="26" t="str">
        <f t="shared" si="35"/>
        <v/>
      </c>
      <c r="X92" s="13" t="str">
        <f t="shared" si="36"/>
        <v/>
      </c>
      <c r="Y92" s="9">
        <f t="shared" si="37"/>
        <v>0</v>
      </c>
    </row>
    <row r="93" spans="1:25" x14ac:dyDescent="0.25">
      <c r="A93" s="28"/>
      <c r="B93" s="29"/>
      <c r="C93" s="30"/>
      <c r="D93" s="31"/>
      <c r="E93" s="29" t="s">
        <v>16</v>
      </c>
      <c r="F93" s="13" t="b">
        <f>IF($E93=Categories!$A$1,"",IF($E93=Categories!$A$2,Categories!$B$2,IF($E93=Categories!$A$3,Categories!$B$3,IF($E93=Categories!$A$4,Categories!$B$4,IF($E93=Categories!$A$5,Categories!$B$5,IF($E93=Categories!$A$6,Categories!$B$6,IF($E93=Categories!$A$7,Categories!$B$7,IF($E93=Categories!$A$8,Categories!$B$8,IF($E93=Categories!$A$9,Categories!$B$9,IF($E93=Categories!$A$10,Categories!$B$10,IF($E93=Categories!$A$11,Categories!$B$11,IF($E93=Categories!$A$12,Categories!$B$12,IF($E93=Categories!$A$13,Categories!$B$13,IF($E93=Categories!$A$14,Categories!$B$14,IF($E93=Categories!$A$15,Categories!$B$15,IF($E93=Categories!$A$16,Categories!$B$16,IF($E93=Categories!$A$17,Categories!$B$17,IF($E93=Categories!$A$18,Categories!$B$18,IF($E93=Categories!$A$19,Categories!$B$19)))))))))))))))))))</f>
        <v>0</v>
      </c>
      <c r="G93" s="9" t="str">
        <f t="shared" si="19"/>
        <v/>
      </c>
      <c r="H93" s="1" t="str">
        <f t="shared" si="20"/>
        <v/>
      </c>
      <c r="I93" s="1" t="str">
        <f t="shared" si="21"/>
        <v/>
      </c>
      <c r="J93" s="1" t="str">
        <f t="shared" si="22"/>
        <v/>
      </c>
      <c r="K93" s="13" t="str">
        <f t="shared" si="23"/>
        <v/>
      </c>
      <c r="L93" s="9" t="str">
        <f t="shared" si="24"/>
        <v/>
      </c>
      <c r="M93" s="1" t="str">
        <f t="shared" si="25"/>
        <v/>
      </c>
      <c r="N93" s="1" t="str">
        <f t="shared" si="26"/>
        <v/>
      </c>
      <c r="O93" s="1" t="str">
        <f t="shared" si="27"/>
        <v/>
      </c>
      <c r="P93" s="1" t="str">
        <f t="shared" si="28"/>
        <v/>
      </c>
      <c r="Q93" s="1" t="str">
        <f t="shared" si="29"/>
        <v/>
      </c>
      <c r="R93" s="1" t="str">
        <f t="shared" si="30"/>
        <v/>
      </c>
      <c r="S93" s="1" t="str">
        <f t="shared" si="31"/>
        <v/>
      </c>
      <c r="T93" s="1" t="str">
        <f t="shared" si="32"/>
        <v/>
      </c>
      <c r="U93" s="1" t="str">
        <f t="shared" si="33"/>
        <v/>
      </c>
      <c r="V93" s="1" t="str">
        <f t="shared" si="34"/>
        <v/>
      </c>
      <c r="W93" s="26" t="str">
        <f t="shared" si="35"/>
        <v/>
      </c>
      <c r="X93" s="13" t="str">
        <f t="shared" si="36"/>
        <v/>
      </c>
      <c r="Y93" s="9">
        <f t="shared" si="37"/>
        <v>0</v>
      </c>
    </row>
    <row r="94" spans="1:25" x14ac:dyDescent="0.25">
      <c r="A94" s="28"/>
      <c r="B94" s="29"/>
      <c r="C94" s="30"/>
      <c r="D94" s="31"/>
      <c r="E94" s="29" t="s">
        <v>16</v>
      </c>
      <c r="F94" s="13" t="b">
        <f>IF($E94=Categories!$A$1,"",IF($E94=Categories!$A$2,Categories!$B$2,IF($E94=Categories!$A$3,Categories!$B$3,IF($E94=Categories!$A$4,Categories!$B$4,IF($E94=Categories!$A$5,Categories!$B$5,IF($E94=Categories!$A$6,Categories!$B$6,IF($E94=Categories!$A$7,Categories!$B$7,IF($E94=Categories!$A$8,Categories!$B$8,IF($E94=Categories!$A$9,Categories!$B$9,IF($E94=Categories!$A$10,Categories!$B$10,IF($E94=Categories!$A$11,Categories!$B$11,IF($E94=Categories!$A$12,Categories!$B$12,IF($E94=Categories!$A$13,Categories!$B$13,IF($E94=Categories!$A$14,Categories!$B$14,IF($E94=Categories!$A$15,Categories!$B$15,IF($E94=Categories!$A$16,Categories!$B$16,IF($E94=Categories!$A$17,Categories!$B$17,IF($E94=Categories!$A$18,Categories!$B$18,IF($E94=Categories!$A$19,Categories!$B$19)))))))))))))))))))</f>
        <v>0</v>
      </c>
      <c r="G94" s="9" t="str">
        <f t="shared" si="19"/>
        <v/>
      </c>
      <c r="H94" s="1" t="str">
        <f t="shared" si="20"/>
        <v/>
      </c>
      <c r="I94" s="1" t="str">
        <f t="shared" si="21"/>
        <v/>
      </c>
      <c r="J94" s="1" t="str">
        <f t="shared" si="22"/>
        <v/>
      </c>
      <c r="K94" s="13" t="str">
        <f t="shared" si="23"/>
        <v/>
      </c>
      <c r="L94" s="9" t="str">
        <f t="shared" si="24"/>
        <v/>
      </c>
      <c r="M94" s="1" t="str">
        <f t="shared" si="25"/>
        <v/>
      </c>
      <c r="N94" s="1" t="str">
        <f t="shared" si="26"/>
        <v/>
      </c>
      <c r="O94" s="1" t="str">
        <f t="shared" si="27"/>
        <v/>
      </c>
      <c r="P94" s="1" t="str">
        <f t="shared" si="28"/>
        <v/>
      </c>
      <c r="Q94" s="1" t="str">
        <f t="shared" si="29"/>
        <v/>
      </c>
      <c r="R94" s="1" t="str">
        <f t="shared" si="30"/>
        <v/>
      </c>
      <c r="S94" s="1" t="str">
        <f t="shared" si="31"/>
        <v/>
      </c>
      <c r="T94" s="1" t="str">
        <f t="shared" si="32"/>
        <v/>
      </c>
      <c r="U94" s="1" t="str">
        <f t="shared" si="33"/>
        <v/>
      </c>
      <c r="V94" s="1" t="str">
        <f t="shared" si="34"/>
        <v/>
      </c>
      <c r="W94" s="26" t="str">
        <f t="shared" si="35"/>
        <v/>
      </c>
      <c r="X94" s="13" t="str">
        <f t="shared" si="36"/>
        <v/>
      </c>
      <c r="Y94" s="9">
        <f t="shared" si="37"/>
        <v>0</v>
      </c>
    </row>
    <row r="95" spans="1:25" x14ac:dyDescent="0.25">
      <c r="A95" s="28"/>
      <c r="B95" s="29"/>
      <c r="C95" s="30"/>
      <c r="D95" s="31"/>
      <c r="E95" s="29" t="s">
        <v>16</v>
      </c>
      <c r="F95" s="13" t="b">
        <f>IF($E95=Categories!$A$1,"",IF($E95=Categories!$A$2,Categories!$B$2,IF($E95=Categories!$A$3,Categories!$B$3,IF($E95=Categories!$A$4,Categories!$B$4,IF($E95=Categories!$A$5,Categories!$B$5,IF($E95=Categories!$A$6,Categories!$B$6,IF($E95=Categories!$A$7,Categories!$B$7,IF($E95=Categories!$A$8,Categories!$B$8,IF($E95=Categories!$A$9,Categories!$B$9,IF($E95=Categories!$A$10,Categories!$B$10,IF($E95=Categories!$A$11,Categories!$B$11,IF($E95=Categories!$A$12,Categories!$B$12,IF($E95=Categories!$A$13,Categories!$B$13,IF($E95=Categories!$A$14,Categories!$B$14,IF($E95=Categories!$A$15,Categories!$B$15,IF($E95=Categories!$A$16,Categories!$B$16,IF($E95=Categories!$A$17,Categories!$B$17,IF($E95=Categories!$A$18,Categories!$B$18,IF($E95=Categories!$A$19,Categories!$B$19)))))))))))))))))))</f>
        <v>0</v>
      </c>
      <c r="G95" s="9" t="str">
        <f t="shared" si="19"/>
        <v/>
      </c>
      <c r="H95" s="1" t="str">
        <f t="shared" si="20"/>
        <v/>
      </c>
      <c r="I95" s="1" t="str">
        <f t="shared" si="21"/>
        <v/>
      </c>
      <c r="J95" s="1" t="str">
        <f t="shared" si="22"/>
        <v/>
      </c>
      <c r="K95" s="13" t="str">
        <f t="shared" si="23"/>
        <v/>
      </c>
      <c r="L95" s="9" t="str">
        <f t="shared" si="24"/>
        <v/>
      </c>
      <c r="M95" s="1" t="str">
        <f t="shared" si="25"/>
        <v/>
      </c>
      <c r="N95" s="1" t="str">
        <f t="shared" si="26"/>
        <v/>
      </c>
      <c r="O95" s="1" t="str">
        <f t="shared" si="27"/>
        <v/>
      </c>
      <c r="P95" s="1" t="str">
        <f t="shared" si="28"/>
        <v/>
      </c>
      <c r="Q95" s="1" t="str">
        <f t="shared" si="29"/>
        <v/>
      </c>
      <c r="R95" s="1" t="str">
        <f t="shared" si="30"/>
        <v/>
      </c>
      <c r="S95" s="1" t="str">
        <f t="shared" si="31"/>
        <v/>
      </c>
      <c r="T95" s="1" t="str">
        <f t="shared" si="32"/>
        <v/>
      </c>
      <c r="U95" s="1" t="str">
        <f t="shared" si="33"/>
        <v/>
      </c>
      <c r="V95" s="1" t="str">
        <f t="shared" si="34"/>
        <v/>
      </c>
      <c r="W95" s="26" t="str">
        <f t="shared" si="35"/>
        <v/>
      </c>
      <c r="X95" s="13" t="str">
        <f t="shared" si="36"/>
        <v/>
      </c>
      <c r="Y95" s="9">
        <f t="shared" si="37"/>
        <v>0</v>
      </c>
    </row>
    <row r="96" spans="1:25" x14ac:dyDescent="0.25">
      <c r="A96" s="11"/>
      <c r="B96" s="16" t="s">
        <v>30</v>
      </c>
      <c r="C96" s="11"/>
      <c r="D96" s="11"/>
      <c r="E96" s="11"/>
      <c r="F96" s="21"/>
      <c r="G96" s="18">
        <f>SUM(G6:G95)</f>
        <v>0</v>
      </c>
      <c r="H96" s="18">
        <f t="shared" ref="H96:X96" si="38">SUM(H6:H95)</f>
        <v>0</v>
      </c>
      <c r="I96" s="18">
        <f t="shared" si="38"/>
        <v>0</v>
      </c>
      <c r="J96" s="18">
        <f t="shared" si="38"/>
        <v>0</v>
      </c>
      <c r="K96" s="19">
        <f t="shared" si="38"/>
        <v>0</v>
      </c>
      <c r="L96" s="20">
        <f t="shared" si="38"/>
        <v>0</v>
      </c>
      <c r="M96" s="18">
        <f t="shared" si="38"/>
        <v>0</v>
      </c>
      <c r="N96" s="18">
        <f t="shared" si="38"/>
        <v>0</v>
      </c>
      <c r="O96" s="18">
        <f t="shared" si="38"/>
        <v>0</v>
      </c>
      <c r="P96" s="18">
        <f t="shared" si="38"/>
        <v>0</v>
      </c>
      <c r="Q96" s="18">
        <f t="shared" si="38"/>
        <v>0</v>
      </c>
      <c r="R96" s="18">
        <f t="shared" si="38"/>
        <v>0</v>
      </c>
      <c r="S96" s="18">
        <f t="shared" si="38"/>
        <v>0</v>
      </c>
      <c r="T96" s="18">
        <f t="shared" si="38"/>
        <v>0</v>
      </c>
      <c r="U96" s="18">
        <f t="shared" si="38"/>
        <v>0</v>
      </c>
      <c r="V96" s="18">
        <f t="shared" si="38"/>
        <v>0</v>
      </c>
      <c r="W96" s="18">
        <f t="shared" si="38"/>
        <v>0</v>
      </c>
      <c r="X96" s="18">
        <f t="shared" si="38"/>
        <v>0</v>
      </c>
      <c r="Y96" s="18"/>
    </row>
  </sheetData>
  <mergeCells count="1">
    <mergeCell ref="A4:E4"/>
  </mergeCells>
  <printOptions gridLines="1"/>
  <pageMargins left="0.23622047244094491" right="0.23622047244094491" top="0.74803149606299213" bottom="0.74803149606299213" header="0.31496062992125984" footer="0.31496062992125984"/>
  <pageSetup paperSize="9" scale="50" fitToHeight="2" orientation="landscape" r:id="rId1"/>
  <extLst>
    <ext xmlns:x14="http://schemas.microsoft.com/office/spreadsheetml/2009/9/main" uri="{CCE6A557-97BC-4b89-ADB6-D9C93CAAB3DF}">
      <x14:dataValidations xmlns:xm="http://schemas.microsoft.com/office/excel/2006/main" count="1">
        <x14:dataValidation type="list" allowBlank="1" showErrorMessage="1" xr:uid="{00000000-0002-0000-0900-000000000000}">
          <x14:formula1>
            <xm:f>Categories!$A$1:$A$19</xm:f>
          </x14:formula1>
          <xm:sqref>E6:E95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Y96"/>
  <sheetViews>
    <sheetView workbookViewId="0">
      <pane xSplit="6" ySplit="5" topLeftCell="G6" activePane="bottomRight" state="frozen"/>
      <selection activeCell="B78" sqref="B78"/>
      <selection pane="topRight" activeCell="B78" sqref="B78"/>
      <selection pane="bottomLeft" activeCell="B78" sqref="B78"/>
      <selection pane="bottomRight" activeCell="B78" sqref="B78"/>
    </sheetView>
  </sheetViews>
  <sheetFormatPr defaultRowHeight="15" x14ac:dyDescent="0.25"/>
  <cols>
    <col min="1" max="1" width="10.7109375" bestFit="1" customWidth="1"/>
    <col min="2" max="2" width="13.7109375" customWidth="1"/>
    <col min="3" max="3" width="12" customWidth="1"/>
    <col min="5" max="5" width="15.28515625" customWidth="1"/>
    <col min="6" max="6" width="12.7109375" hidden="1" customWidth="1"/>
    <col min="7" max="25" width="11.7109375" customWidth="1"/>
  </cols>
  <sheetData>
    <row r="1" spans="1:25" ht="23.25" x14ac:dyDescent="0.35">
      <c r="A1" s="3" t="s">
        <v>48</v>
      </c>
      <c r="D1" s="8" t="str">
        <f>Instructions!C3</f>
        <v>Lucy's Tailored Tails</v>
      </c>
      <c r="Y1" s="9"/>
    </row>
    <row r="2" spans="1:25" ht="15" customHeight="1" x14ac:dyDescent="0.35">
      <c r="A2" s="3"/>
      <c r="D2" s="8"/>
      <c r="Y2" s="9"/>
    </row>
    <row r="3" spans="1:25" x14ac:dyDescent="0.25">
      <c r="R3" t="s">
        <v>0</v>
      </c>
      <c r="Y3" s="9">
        <f>IF(Instructions!C7="September",Instructions!C6,Aug!Y95)</f>
        <v>0</v>
      </c>
    </row>
    <row r="4" spans="1:25" x14ac:dyDescent="0.25">
      <c r="A4" s="39" t="s">
        <v>111</v>
      </c>
      <c r="B4" s="40"/>
      <c r="C4" s="40"/>
      <c r="D4" s="40"/>
      <c r="E4" s="41"/>
      <c r="F4" s="12"/>
      <c r="G4" s="17" t="s">
        <v>31</v>
      </c>
      <c r="H4" s="11"/>
      <c r="I4" s="11"/>
      <c r="J4" s="11"/>
      <c r="K4" s="12"/>
      <c r="L4" s="17" t="s">
        <v>33</v>
      </c>
      <c r="M4" s="11"/>
      <c r="N4" s="11"/>
      <c r="O4" s="11"/>
      <c r="P4" s="11"/>
      <c r="Q4" s="11"/>
      <c r="R4" s="11"/>
      <c r="S4" s="11"/>
      <c r="T4" s="11"/>
      <c r="U4" s="11"/>
      <c r="V4" s="11"/>
      <c r="W4" s="21"/>
      <c r="X4" s="12"/>
      <c r="Y4" s="10"/>
    </row>
    <row r="5" spans="1:25" ht="30" x14ac:dyDescent="0.25">
      <c r="A5" s="34" t="s">
        <v>1</v>
      </c>
      <c r="B5" s="35" t="s">
        <v>39</v>
      </c>
      <c r="C5" s="34" t="s">
        <v>2</v>
      </c>
      <c r="D5" s="34" t="s">
        <v>3</v>
      </c>
      <c r="E5" s="34" t="s">
        <v>105</v>
      </c>
      <c r="F5" s="12"/>
      <c r="G5" s="10" t="str">
        <f>Categories!A2</f>
        <v>Shop Sales</v>
      </c>
      <c r="H5" s="11" t="str">
        <f>Categories!A3</f>
        <v>Income 2</v>
      </c>
      <c r="I5" s="11" t="str">
        <f>Categories!A4</f>
        <v>Income 3</v>
      </c>
      <c r="J5" s="11" t="str">
        <f>Categories!A5</f>
        <v>Income 4</v>
      </c>
      <c r="K5" s="12" t="str">
        <f>Categories!A6</f>
        <v>Income 5</v>
      </c>
      <c r="L5" s="10" t="str">
        <f>Categories!A7</f>
        <v>Website Fees</v>
      </c>
      <c r="M5" s="11" t="str">
        <f>Categories!A8</f>
        <v>Exp 2</v>
      </c>
      <c r="N5" s="11" t="str">
        <f>Categories!A9</f>
        <v>Exp 3</v>
      </c>
      <c r="O5" s="11" t="str">
        <f>Categories!A10</f>
        <v>Exp 4</v>
      </c>
      <c r="P5" s="11" t="str">
        <f>Categories!A11</f>
        <v>Exp 5</v>
      </c>
      <c r="Q5" s="11" t="str">
        <f>Categories!A12</f>
        <v>Exp 6</v>
      </c>
      <c r="R5" s="11" t="str">
        <f>Categories!A13</f>
        <v>Exp 7</v>
      </c>
      <c r="S5" s="11" t="str">
        <f>Categories!A14</f>
        <v>Exp 8</v>
      </c>
      <c r="T5" s="11" t="str">
        <f>Categories!A15</f>
        <v>Exp 9</v>
      </c>
      <c r="U5" s="11" t="str">
        <f>Categories!A16</f>
        <v>Exp 10</v>
      </c>
      <c r="V5" s="11" t="str">
        <f>Categories!A17</f>
        <v>Exp 11</v>
      </c>
      <c r="W5" s="21" t="str">
        <f>Categories!A18</f>
        <v>Exp 12</v>
      </c>
      <c r="X5" s="12" t="str">
        <f>Categories!A19</f>
        <v>Exp 13</v>
      </c>
      <c r="Y5" s="10" t="s">
        <v>4</v>
      </c>
    </row>
    <row r="6" spans="1:25" x14ac:dyDescent="0.25">
      <c r="A6" s="28"/>
      <c r="B6" s="29"/>
      <c r="C6" s="30"/>
      <c r="D6" s="31"/>
      <c r="E6" s="29" t="s">
        <v>16</v>
      </c>
      <c r="F6" s="13" t="b">
        <f>IF($E6=Categories!$A$1,"",IF($E6=Categories!$A$2,Categories!$B$2,IF($E6=Categories!$A$3,Categories!$B$3,IF($E6=Categories!$A$4,Categories!$B$4,IF($E6=Categories!$A$5,Categories!$B$5,IF($E6=Categories!$A$6,Categories!$B$6,IF($E6=Categories!$A$7,Categories!$B$7,IF($E6=Categories!$A$8,Categories!$B$8,IF($E6=Categories!$A$9,Categories!$B$9,IF($E6=Categories!$A$10,Categories!$B$10,IF($E6=Categories!$A$11,Categories!$B$11,IF($E6=Categories!$A$12,Categories!$B$12,IF($E6=Categories!$A$13,Categories!$B$13,IF($E6=Categories!$A$14,Categories!$B$14,IF($E6=Categories!$A$15,Categories!$B$15,IF($E6=Categories!$A$16,Categories!$B$16,IF($E6=Categories!$A$17,Categories!$B$17,IF($E6=Categories!$A$18,Categories!$B$18,IF($E6=Categories!$A$19,Categories!$B$19)))))))))))))))))))</f>
        <v>0</v>
      </c>
      <c r="G6" s="9" t="str">
        <f>IF($F6="Inc1",$D6,"")</f>
        <v/>
      </c>
      <c r="H6" s="1" t="str">
        <f>IF($F6="Inc2",$D6,"")</f>
        <v/>
      </c>
      <c r="I6" s="1" t="str">
        <f>IF($F6="Int",$D6,"")</f>
        <v/>
      </c>
      <c r="J6" s="1" t="str">
        <f>IF($F6="Inc4",$D6,"")</f>
        <v/>
      </c>
      <c r="K6" s="13" t="str">
        <f>IF($F6="Inc5",$D6,"")</f>
        <v/>
      </c>
      <c r="L6" s="9" t="str">
        <f>IF($F6="ExpA",$D6,"")</f>
        <v/>
      </c>
      <c r="M6" s="1" t="str">
        <f>IF($F6="ExpB",$D6,"")</f>
        <v/>
      </c>
      <c r="N6" s="1" t="str">
        <f>IF($F6="ExpC",$D6,"")</f>
        <v/>
      </c>
      <c r="O6" s="1" t="str">
        <f>IF($F6="ExpD",$D6,"")</f>
        <v/>
      </c>
      <c r="P6" s="1" t="str">
        <f>IF($F6="ExpE",$D6,"")</f>
        <v/>
      </c>
      <c r="Q6" s="1" t="str">
        <f>IF($F6="ExpF",$D6,"")</f>
        <v/>
      </c>
      <c r="R6" s="1" t="str">
        <f>IF($F6="ExpG",$D6,"")</f>
        <v/>
      </c>
      <c r="S6" s="1" t="str">
        <f>IF($F6="ExpH",$D6,"")</f>
        <v/>
      </c>
      <c r="T6" s="1" t="str">
        <f>IF($F6="ExpI",$D6,"")</f>
        <v/>
      </c>
      <c r="U6" s="1" t="str">
        <f>IF($F6="ExpJ",$D6,"")</f>
        <v/>
      </c>
      <c r="V6" s="1" t="str">
        <f>IF($F6="ExpK",$D6,"")</f>
        <v/>
      </c>
      <c r="W6" s="26" t="str">
        <f>IF($F6="ExpL",$D6,"")</f>
        <v/>
      </c>
      <c r="X6" s="13" t="str">
        <f>IF($F6="Expm",$D6,"")</f>
        <v/>
      </c>
      <c r="Y6" s="9">
        <f>$Y$3+SUM(G6:K6)-SUM(L6:X6)</f>
        <v>0</v>
      </c>
    </row>
    <row r="7" spans="1:25" x14ac:dyDescent="0.25">
      <c r="A7" s="28"/>
      <c r="B7" s="29"/>
      <c r="C7" s="30"/>
      <c r="D7" s="31"/>
      <c r="E7" s="29" t="s">
        <v>16</v>
      </c>
      <c r="F7" s="13" t="b">
        <f>IF($E7=Categories!$A$1,"",IF($E7=Categories!$A$2,Categories!$B$2,IF($E7=Categories!$A$3,Categories!$B$3,IF($E7=Categories!$A$4,Categories!$B$4,IF($E7=Categories!$A$5,Categories!$B$5,IF($E7=Categories!$A$6,Categories!$B$6,IF($E7=Categories!$A$7,Categories!$B$7,IF($E7=Categories!$A$8,Categories!$B$8,IF($E7=Categories!$A$9,Categories!$B$9,IF($E7=Categories!$A$10,Categories!$B$10,IF($E7=Categories!$A$11,Categories!$B$11,IF($E7=Categories!$A$12,Categories!$B$12,IF($E7=Categories!$A$13,Categories!$B$13,IF($E7=Categories!$A$14,Categories!$B$14,IF($E7=Categories!$A$15,Categories!$B$15,IF($E7=Categories!$A$16,Categories!$B$16,IF($E7=Categories!$A$17,Categories!$B$17,IF($E7=Categories!$A$18,Categories!$B$18,IF($E7=Categories!$A$19,Categories!$B$19)))))))))))))))))))</f>
        <v>0</v>
      </c>
      <c r="G7" s="9" t="str">
        <f t="shared" ref="G7:G70" si="0">IF($F7="Inc1",$D7,"")</f>
        <v/>
      </c>
      <c r="H7" s="1" t="str">
        <f t="shared" ref="H7:H70" si="1">IF($F7="Inc2",$D7,"")</f>
        <v/>
      </c>
      <c r="I7" s="1" t="str">
        <f t="shared" ref="I7:I70" si="2">IF($F7="Int",$D7,"")</f>
        <v/>
      </c>
      <c r="J7" s="1" t="str">
        <f t="shared" ref="J7:J70" si="3">IF($F7="Inc4",$D7,"")</f>
        <v/>
      </c>
      <c r="K7" s="13" t="str">
        <f t="shared" ref="K7:K70" si="4">IF($F7="Inc5",$D7,"")</f>
        <v/>
      </c>
      <c r="L7" s="9" t="str">
        <f t="shared" ref="L7:L70" si="5">IF($F7="ExpA",$D7,"")</f>
        <v/>
      </c>
      <c r="M7" s="1" t="str">
        <f t="shared" ref="M7:M70" si="6">IF($F7="ExpB",$D7,"")</f>
        <v/>
      </c>
      <c r="N7" s="1" t="str">
        <f t="shared" ref="N7:N70" si="7">IF($F7="ExpC",$D7,"")</f>
        <v/>
      </c>
      <c r="O7" s="1" t="str">
        <f t="shared" ref="O7:O70" si="8">IF($F7="ExpD",$D7,"")</f>
        <v/>
      </c>
      <c r="P7" s="1" t="str">
        <f t="shared" ref="P7:P70" si="9">IF($F7="ExpE",$D7,"")</f>
        <v/>
      </c>
      <c r="Q7" s="1" t="str">
        <f t="shared" ref="Q7:Q70" si="10">IF($F7="ExpF",$D7,"")</f>
        <v/>
      </c>
      <c r="R7" s="1" t="str">
        <f t="shared" ref="R7:R70" si="11">IF($F7="ExpG",$D7,"")</f>
        <v/>
      </c>
      <c r="S7" s="1" t="str">
        <f t="shared" ref="S7:S70" si="12">IF($F7="ExpH",$D7,"")</f>
        <v/>
      </c>
      <c r="T7" s="1" t="str">
        <f t="shared" ref="T7:T70" si="13">IF($F7="ExpI",$D7,"")</f>
        <v/>
      </c>
      <c r="U7" s="1" t="str">
        <f t="shared" ref="U7:U70" si="14">IF($F7="ExpJ",$D7,"")</f>
        <v/>
      </c>
      <c r="V7" s="1" t="str">
        <f t="shared" ref="V7:V70" si="15">IF($F7="ExpK",$D7,"")</f>
        <v/>
      </c>
      <c r="W7" s="26" t="str">
        <f t="shared" ref="W7:W70" si="16">IF($F7="ExpL",$D7,"")</f>
        <v/>
      </c>
      <c r="X7" s="13" t="str">
        <f t="shared" ref="X7:X70" si="17">IF($F7="Expm",$D7,"")</f>
        <v/>
      </c>
      <c r="Y7" s="9">
        <f>Y6+SUM(G7:K7)-SUM(L7:X7)</f>
        <v>0</v>
      </c>
    </row>
    <row r="8" spans="1:25" x14ac:dyDescent="0.25">
      <c r="A8" s="28"/>
      <c r="B8" s="29"/>
      <c r="C8" s="30"/>
      <c r="D8" s="31"/>
      <c r="E8" s="29" t="s">
        <v>16</v>
      </c>
      <c r="F8" s="13" t="b">
        <f>IF($E8=Categories!$A$1,"",IF($E8=Categories!$A$2,Categories!$B$2,IF($E8=Categories!$A$3,Categories!$B$3,IF($E8=Categories!$A$4,Categories!$B$4,IF($E8=Categories!$A$5,Categories!$B$5,IF($E8=Categories!$A$6,Categories!$B$6,IF($E8=Categories!$A$7,Categories!$B$7,IF($E8=Categories!$A$8,Categories!$B$8,IF($E8=Categories!$A$9,Categories!$B$9,IF($E8=Categories!$A$10,Categories!$B$10,IF($E8=Categories!$A$11,Categories!$B$11,IF($E8=Categories!$A$12,Categories!$B$12,IF($E8=Categories!$A$13,Categories!$B$13,IF($E8=Categories!$A$14,Categories!$B$14,IF($E8=Categories!$A$15,Categories!$B$15,IF($E8=Categories!$A$16,Categories!$B$16,IF($E8=Categories!$A$17,Categories!$B$17,IF($E8=Categories!$A$18,Categories!$B$18,IF($E8=Categories!$A$19,Categories!$B$19)))))))))))))))))))</f>
        <v>0</v>
      </c>
      <c r="G8" s="9" t="str">
        <f t="shared" si="0"/>
        <v/>
      </c>
      <c r="H8" s="1" t="str">
        <f t="shared" si="1"/>
        <v/>
      </c>
      <c r="I8" s="1" t="str">
        <f t="shared" si="2"/>
        <v/>
      </c>
      <c r="J8" s="1" t="str">
        <f t="shared" si="3"/>
        <v/>
      </c>
      <c r="K8" s="13" t="str">
        <f t="shared" si="4"/>
        <v/>
      </c>
      <c r="L8" s="9" t="str">
        <f t="shared" si="5"/>
        <v/>
      </c>
      <c r="M8" s="1" t="str">
        <f t="shared" si="6"/>
        <v/>
      </c>
      <c r="N8" s="1" t="str">
        <f t="shared" si="7"/>
        <v/>
      </c>
      <c r="O8" s="1" t="str">
        <f t="shared" si="8"/>
        <v/>
      </c>
      <c r="P8" s="1" t="str">
        <f t="shared" si="9"/>
        <v/>
      </c>
      <c r="Q8" s="1" t="str">
        <f t="shared" si="10"/>
        <v/>
      </c>
      <c r="R8" s="1" t="str">
        <f t="shared" si="11"/>
        <v/>
      </c>
      <c r="S8" s="1" t="str">
        <f t="shared" si="12"/>
        <v/>
      </c>
      <c r="T8" s="1" t="str">
        <f t="shared" si="13"/>
        <v/>
      </c>
      <c r="U8" s="1" t="str">
        <f t="shared" si="14"/>
        <v/>
      </c>
      <c r="V8" s="1" t="str">
        <f t="shared" si="15"/>
        <v/>
      </c>
      <c r="W8" s="26" t="str">
        <f t="shared" si="16"/>
        <v/>
      </c>
      <c r="X8" s="13" t="str">
        <f t="shared" si="17"/>
        <v/>
      </c>
      <c r="Y8" s="9">
        <f t="shared" ref="Y8:Y71" si="18">Y7+SUM(G8:K8)-SUM(L8:X8)</f>
        <v>0</v>
      </c>
    </row>
    <row r="9" spans="1:25" x14ac:dyDescent="0.25">
      <c r="A9" s="28"/>
      <c r="B9" s="29"/>
      <c r="C9" s="30"/>
      <c r="D9" s="31"/>
      <c r="E9" s="29" t="s">
        <v>16</v>
      </c>
      <c r="F9" s="13" t="b">
        <f>IF($E9=Categories!$A$1,"",IF($E9=Categories!$A$2,Categories!$B$2,IF($E9=Categories!$A$3,Categories!$B$3,IF($E9=Categories!$A$4,Categories!$B$4,IF($E9=Categories!$A$5,Categories!$B$5,IF($E9=Categories!$A$6,Categories!$B$6,IF($E9=Categories!$A$7,Categories!$B$7,IF($E9=Categories!$A$8,Categories!$B$8,IF($E9=Categories!$A$9,Categories!$B$9,IF($E9=Categories!$A$10,Categories!$B$10,IF($E9=Categories!$A$11,Categories!$B$11,IF($E9=Categories!$A$12,Categories!$B$12,IF($E9=Categories!$A$13,Categories!$B$13,IF($E9=Categories!$A$14,Categories!$B$14,IF($E9=Categories!$A$15,Categories!$B$15,IF($E9=Categories!$A$16,Categories!$B$16,IF($E9=Categories!$A$17,Categories!$B$17,IF($E9=Categories!$A$18,Categories!$B$18,IF($E9=Categories!$A$19,Categories!$B$19)))))))))))))))))))</f>
        <v>0</v>
      </c>
      <c r="G9" s="9" t="str">
        <f t="shared" si="0"/>
        <v/>
      </c>
      <c r="H9" s="1" t="str">
        <f t="shared" si="1"/>
        <v/>
      </c>
      <c r="I9" s="1" t="str">
        <f t="shared" si="2"/>
        <v/>
      </c>
      <c r="J9" s="1" t="str">
        <f t="shared" si="3"/>
        <v/>
      </c>
      <c r="K9" s="13" t="str">
        <f t="shared" si="4"/>
        <v/>
      </c>
      <c r="L9" s="9" t="str">
        <f t="shared" si="5"/>
        <v/>
      </c>
      <c r="M9" s="1" t="str">
        <f t="shared" si="6"/>
        <v/>
      </c>
      <c r="N9" s="1" t="str">
        <f t="shared" si="7"/>
        <v/>
      </c>
      <c r="O9" s="1" t="str">
        <f t="shared" si="8"/>
        <v/>
      </c>
      <c r="P9" s="1" t="str">
        <f t="shared" si="9"/>
        <v/>
      </c>
      <c r="Q9" s="1" t="str">
        <f t="shared" si="10"/>
        <v/>
      </c>
      <c r="R9" s="1" t="str">
        <f t="shared" si="11"/>
        <v/>
      </c>
      <c r="S9" s="1" t="str">
        <f t="shared" si="12"/>
        <v/>
      </c>
      <c r="T9" s="1" t="str">
        <f t="shared" si="13"/>
        <v/>
      </c>
      <c r="U9" s="1" t="str">
        <f t="shared" si="14"/>
        <v/>
      </c>
      <c r="V9" s="1" t="str">
        <f t="shared" si="15"/>
        <v/>
      </c>
      <c r="W9" s="26" t="str">
        <f t="shared" si="16"/>
        <v/>
      </c>
      <c r="X9" s="13" t="str">
        <f t="shared" si="17"/>
        <v/>
      </c>
      <c r="Y9" s="9">
        <f t="shared" si="18"/>
        <v>0</v>
      </c>
    </row>
    <row r="10" spans="1:25" x14ac:dyDescent="0.25">
      <c r="A10" s="28"/>
      <c r="B10" s="29"/>
      <c r="C10" s="30"/>
      <c r="D10" s="31"/>
      <c r="E10" s="29" t="s">
        <v>16</v>
      </c>
      <c r="F10" s="13" t="b">
        <f>IF($E10=Categories!$A$1,"",IF($E10=Categories!$A$2,Categories!$B$2,IF($E10=Categories!$A$3,Categories!$B$3,IF($E10=Categories!$A$4,Categories!$B$4,IF($E10=Categories!$A$5,Categories!$B$5,IF($E10=Categories!$A$6,Categories!$B$6,IF($E10=Categories!$A$7,Categories!$B$7,IF($E10=Categories!$A$8,Categories!$B$8,IF($E10=Categories!$A$9,Categories!$B$9,IF($E10=Categories!$A$10,Categories!$B$10,IF($E10=Categories!$A$11,Categories!$B$11,IF($E10=Categories!$A$12,Categories!$B$12,IF($E10=Categories!$A$13,Categories!$B$13,IF($E10=Categories!$A$14,Categories!$B$14,IF($E10=Categories!$A$15,Categories!$B$15,IF($E10=Categories!$A$16,Categories!$B$16,IF($E10=Categories!$A$17,Categories!$B$17,IF($E10=Categories!$A$18,Categories!$B$18,IF($E10=Categories!$A$19,Categories!$B$19)))))))))))))))))))</f>
        <v>0</v>
      </c>
      <c r="G10" s="9" t="str">
        <f t="shared" si="0"/>
        <v/>
      </c>
      <c r="H10" s="1" t="str">
        <f t="shared" si="1"/>
        <v/>
      </c>
      <c r="I10" s="1" t="str">
        <f t="shared" si="2"/>
        <v/>
      </c>
      <c r="J10" s="1" t="str">
        <f t="shared" si="3"/>
        <v/>
      </c>
      <c r="K10" s="13" t="str">
        <f t="shared" si="4"/>
        <v/>
      </c>
      <c r="L10" s="9" t="str">
        <f t="shared" si="5"/>
        <v/>
      </c>
      <c r="M10" s="1" t="str">
        <f t="shared" si="6"/>
        <v/>
      </c>
      <c r="N10" s="1" t="str">
        <f t="shared" si="7"/>
        <v/>
      </c>
      <c r="O10" s="1" t="str">
        <f t="shared" si="8"/>
        <v/>
      </c>
      <c r="P10" s="1" t="str">
        <f t="shared" si="9"/>
        <v/>
      </c>
      <c r="Q10" s="1" t="str">
        <f t="shared" si="10"/>
        <v/>
      </c>
      <c r="R10" s="1" t="str">
        <f t="shared" si="11"/>
        <v/>
      </c>
      <c r="S10" s="1" t="str">
        <f t="shared" si="12"/>
        <v/>
      </c>
      <c r="T10" s="1" t="str">
        <f t="shared" si="13"/>
        <v/>
      </c>
      <c r="U10" s="1" t="str">
        <f t="shared" si="14"/>
        <v/>
      </c>
      <c r="V10" s="1" t="str">
        <f t="shared" si="15"/>
        <v/>
      </c>
      <c r="W10" s="26" t="str">
        <f t="shared" si="16"/>
        <v/>
      </c>
      <c r="X10" s="13" t="str">
        <f t="shared" si="17"/>
        <v/>
      </c>
      <c r="Y10" s="9">
        <f t="shared" si="18"/>
        <v>0</v>
      </c>
    </row>
    <row r="11" spans="1:25" x14ac:dyDescent="0.25">
      <c r="A11" s="28"/>
      <c r="B11" s="29"/>
      <c r="C11" s="30"/>
      <c r="D11" s="31"/>
      <c r="E11" s="29" t="s">
        <v>16</v>
      </c>
      <c r="F11" s="13" t="b">
        <f>IF($E11=Categories!$A$1,"",IF($E11=Categories!$A$2,Categories!$B$2,IF($E11=Categories!$A$3,Categories!$B$3,IF($E11=Categories!$A$4,Categories!$B$4,IF($E11=Categories!$A$5,Categories!$B$5,IF($E11=Categories!$A$6,Categories!$B$6,IF($E11=Categories!$A$7,Categories!$B$7,IF($E11=Categories!$A$8,Categories!$B$8,IF($E11=Categories!$A$9,Categories!$B$9,IF($E11=Categories!$A$10,Categories!$B$10,IF($E11=Categories!$A$11,Categories!$B$11,IF($E11=Categories!$A$12,Categories!$B$12,IF($E11=Categories!$A$13,Categories!$B$13,IF($E11=Categories!$A$14,Categories!$B$14,IF($E11=Categories!$A$15,Categories!$B$15,IF($E11=Categories!$A$16,Categories!$B$16,IF($E11=Categories!$A$17,Categories!$B$17,IF($E11=Categories!$A$18,Categories!$B$18,IF($E11=Categories!$A$19,Categories!$B$19)))))))))))))))))))</f>
        <v>0</v>
      </c>
      <c r="G11" s="9" t="str">
        <f t="shared" si="0"/>
        <v/>
      </c>
      <c r="H11" s="1" t="str">
        <f t="shared" si="1"/>
        <v/>
      </c>
      <c r="I11" s="1" t="str">
        <f t="shared" si="2"/>
        <v/>
      </c>
      <c r="J11" s="1" t="str">
        <f t="shared" si="3"/>
        <v/>
      </c>
      <c r="K11" s="13" t="str">
        <f t="shared" si="4"/>
        <v/>
      </c>
      <c r="L11" s="9" t="str">
        <f t="shared" si="5"/>
        <v/>
      </c>
      <c r="M11" s="1" t="str">
        <f t="shared" si="6"/>
        <v/>
      </c>
      <c r="N11" s="1" t="str">
        <f t="shared" si="7"/>
        <v/>
      </c>
      <c r="O11" s="1" t="str">
        <f t="shared" si="8"/>
        <v/>
      </c>
      <c r="P11" s="1" t="str">
        <f t="shared" si="9"/>
        <v/>
      </c>
      <c r="Q11" s="1" t="str">
        <f t="shared" si="10"/>
        <v/>
      </c>
      <c r="R11" s="1" t="str">
        <f t="shared" si="11"/>
        <v/>
      </c>
      <c r="S11" s="1" t="str">
        <f t="shared" si="12"/>
        <v/>
      </c>
      <c r="T11" s="1" t="str">
        <f t="shared" si="13"/>
        <v/>
      </c>
      <c r="U11" s="1" t="str">
        <f t="shared" si="14"/>
        <v/>
      </c>
      <c r="V11" s="1" t="str">
        <f t="shared" si="15"/>
        <v/>
      </c>
      <c r="W11" s="26" t="str">
        <f t="shared" si="16"/>
        <v/>
      </c>
      <c r="X11" s="13" t="str">
        <f t="shared" si="17"/>
        <v/>
      </c>
      <c r="Y11" s="9">
        <f t="shared" si="18"/>
        <v>0</v>
      </c>
    </row>
    <row r="12" spans="1:25" x14ac:dyDescent="0.25">
      <c r="A12" s="28"/>
      <c r="B12" s="29"/>
      <c r="C12" s="30"/>
      <c r="D12" s="31"/>
      <c r="E12" s="29" t="s">
        <v>16</v>
      </c>
      <c r="F12" s="13" t="b">
        <f>IF($E12=Categories!$A$1,"",IF($E12=Categories!$A$2,Categories!$B$2,IF($E12=Categories!$A$3,Categories!$B$3,IF($E12=Categories!$A$4,Categories!$B$4,IF($E12=Categories!$A$5,Categories!$B$5,IF($E12=Categories!$A$6,Categories!$B$6,IF($E12=Categories!$A$7,Categories!$B$7,IF($E12=Categories!$A$8,Categories!$B$8,IF($E12=Categories!$A$9,Categories!$B$9,IF($E12=Categories!$A$10,Categories!$B$10,IF($E12=Categories!$A$11,Categories!$B$11,IF($E12=Categories!$A$12,Categories!$B$12,IF($E12=Categories!$A$13,Categories!$B$13,IF($E12=Categories!$A$14,Categories!$B$14,IF($E12=Categories!$A$15,Categories!$B$15,IF($E12=Categories!$A$16,Categories!$B$16,IF($E12=Categories!$A$17,Categories!$B$17,IF($E12=Categories!$A$18,Categories!$B$18,IF($E12=Categories!$A$19,Categories!$B$19)))))))))))))))))))</f>
        <v>0</v>
      </c>
      <c r="G12" s="9" t="str">
        <f t="shared" si="0"/>
        <v/>
      </c>
      <c r="H12" s="1" t="str">
        <f t="shared" si="1"/>
        <v/>
      </c>
      <c r="I12" s="1" t="str">
        <f t="shared" si="2"/>
        <v/>
      </c>
      <c r="J12" s="1" t="str">
        <f t="shared" si="3"/>
        <v/>
      </c>
      <c r="K12" s="13" t="str">
        <f t="shared" si="4"/>
        <v/>
      </c>
      <c r="L12" s="9" t="str">
        <f t="shared" si="5"/>
        <v/>
      </c>
      <c r="M12" s="1" t="str">
        <f t="shared" si="6"/>
        <v/>
      </c>
      <c r="N12" s="1" t="str">
        <f t="shared" si="7"/>
        <v/>
      </c>
      <c r="O12" s="1" t="str">
        <f t="shared" si="8"/>
        <v/>
      </c>
      <c r="P12" s="1" t="str">
        <f t="shared" si="9"/>
        <v/>
      </c>
      <c r="Q12" s="1" t="str">
        <f t="shared" si="10"/>
        <v/>
      </c>
      <c r="R12" s="1" t="str">
        <f t="shared" si="11"/>
        <v/>
      </c>
      <c r="S12" s="1" t="str">
        <f t="shared" si="12"/>
        <v/>
      </c>
      <c r="T12" s="1" t="str">
        <f t="shared" si="13"/>
        <v/>
      </c>
      <c r="U12" s="1" t="str">
        <f t="shared" si="14"/>
        <v/>
      </c>
      <c r="V12" s="1" t="str">
        <f t="shared" si="15"/>
        <v/>
      </c>
      <c r="W12" s="26" t="str">
        <f t="shared" si="16"/>
        <v/>
      </c>
      <c r="X12" s="13" t="str">
        <f t="shared" si="17"/>
        <v/>
      </c>
      <c r="Y12" s="9">
        <f t="shared" si="18"/>
        <v>0</v>
      </c>
    </row>
    <row r="13" spans="1:25" x14ac:dyDescent="0.25">
      <c r="A13" s="28"/>
      <c r="B13" s="29"/>
      <c r="C13" s="30"/>
      <c r="D13" s="31"/>
      <c r="E13" s="29" t="s">
        <v>16</v>
      </c>
      <c r="F13" s="13" t="b">
        <f>IF($E13=Categories!$A$1,"",IF($E13=Categories!$A$2,Categories!$B$2,IF($E13=Categories!$A$3,Categories!$B$3,IF($E13=Categories!$A$4,Categories!$B$4,IF($E13=Categories!$A$5,Categories!$B$5,IF($E13=Categories!$A$6,Categories!$B$6,IF($E13=Categories!$A$7,Categories!$B$7,IF($E13=Categories!$A$8,Categories!$B$8,IF($E13=Categories!$A$9,Categories!$B$9,IF($E13=Categories!$A$10,Categories!$B$10,IF($E13=Categories!$A$11,Categories!$B$11,IF($E13=Categories!$A$12,Categories!$B$12,IF($E13=Categories!$A$13,Categories!$B$13,IF($E13=Categories!$A$14,Categories!$B$14,IF($E13=Categories!$A$15,Categories!$B$15,IF($E13=Categories!$A$16,Categories!$B$16,IF($E13=Categories!$A$17,Categories!$B$17,IF($E13=Categories!$A$18,Categories!$B$18,IF($E13=Categories!$A$19,Categories!$B$19)))))))))))))))))))</f>
        <v>0</v>
      </c>
      <c r="G13" s="9" t="str">
        <f t="shared" si="0"/>
        <v/>
      </c>
      <c r="H13" s="1" t="str">
        <f t="shared" si="1"/>
        <v/>
      </c>
      <c r="I13" s="1" t="str">
        <f t="shared" si="2"/>
        <v/>
      </c>
      <c r="J13" s="1" t="str">
        <f t="shared" si="3"/>
        <v/>
      </c>
      <c r="K13" s="13" t="str">
        <f t="shared" si="4"/>
        <v/>
      </c>
      <c r="L13" s="9" t="str">
        <f t="shared" si="5"/>
        <v/>
      </c>
      <c r="M13" s="1" t="str">
        <f t="shared" si="6"/>
        <v/>
      </c>
      <c r="N13" s="1" t="str">
        <f t="shared" si="7"/>
        <v/>
      </c>
      <c r="O13" s="1" t="str">
        <f t="shared" si="8"/>
        <v/>
      </c>
      <c r="P13" s="1" t="str">
        <f t="shared" si="9"/>
        <v/>
      </c>
      <c r="Q13" s="1" t="str">
        <f t="shared" si="10"/>
        <v/>
      </c>
      <c r="R13" s="1" t="str">
        <f t="shared" si="11"/>
        <v/>
      </c>
      <c r="S13" s="1" t="str">
        <f t="shared" si="12"/>
        <v/>
      </c>
      <c r="T13" s="1" t="str">
        <f t="shared" si="13"/>
        <v/>
      </c>
      <c r="U13" s="1" t="str">
        <f t="shared" si="14"/>
        <v/>
      </c>
      <c r="V13" s="1" t="str">
        <f t="shared" si="15"/>
        <v/>
      </c>
      <c r="W13" s="26" t="str">
        <f t="shared" si="16"/>
        <v/>
      </c>
      <c r="X13" s="13" t="str">
        <f t="shared" si="17"/>
        <v/>
      </c>
      <c r="Y13" s="9">
        <f t="shared" si="18"/>
        <v>0</v>
      </c>
    </row>
    <row r="14" spans="1:25" x14ac:dyDescent="0.25">
      <c r="A14" s="28"/>
      <c r="B14" s="29"/>
      <c r="C14" s="30"/>
      <c r="D14" s="31"/>
      <c r="E14" s="29" t="s">
        <v>16</v>
      </c>
      <c r="F14" s="13" t="b">
        <f>IF($E14=Categories!$A$1,"",IF($E14=Categories!$A$2,Categories!$B$2,IF($E14=Categories!$A$3,Categories!$B$3,IF($E14=Categories!$A$4,Categories!$B$4,IF($E14=Categories!$A$5,Categories!$B$5,IF($E14=Categories!$A$6,Categories!$B$6,IF($E14=Categories!$A$7,Categories!$B$7,IF($E14=Categories!$A$8,Categories!$B$8,IF($E14=Categories!$A$9,Categories!$B$9,IF($E14=Categories!$A$10,Categories!$B$10,IF($E14=Categories!$A$11,Categories!$B$11,IF($E14=Categories!$A$12,Categories!$B$12,IF($E14=Categories!$A$13,Categories!$B$13,IF($E14=Categories!$A$14,Categories!$B$14,IF($E14=Categories!$A$15,Categories!$B$15,IF($E14=Categories!$A$16,Categories!$B$16,IF($E14=Categories!$A$17,Categories!$B$17,IF($E14=Categories!$A$18,Categories!$B$18,IF($E14=Categories!$A$19,Categories!$B$19)))))))))))))))))))</f>
        <v>0</v>
      </c>
      <c r="G14" s="9" t="str">
        <f t="shared" si="0"/>
        <v/>
      </c>
      <c r="H14" s="1" t="str">
        <f t="shared" si="1"/>
        <v/>
      </c>
      <c r="I14" s="1" t="str">
        <f t="shared" si="2"/>
        <v/>
      </c>
      <c r="J14" s="1" t="str">
        <f t="shared" si="3"/>
        <v/>
      </c>
      <c r="K14" s="13" t="str">
        <f t="shared" si="4"/>
        <v/>
      </c>
      <c r="L14" s="9" t="str">
        <f t="shared" si="5"/>
        <v/>
      </c>
      <c r="M14" s="1" t="str">
        <f t="shared" si="6"/>
        <v/>
      </c>
      <c r="N14" s="1" t="str">
        <f t="shared" si="7"/>
        <v/>
      </c>
      <c r="O14" s="1" t="str">
        <f t="shared" si="8"/>
        <v/>
      </c>
      <c r="P14" s="1" t="str">
        <f t="shared" si="9"/>
        <v/>
      </c>
      <c r="Q14" s="1" t="str">
        <f t="shared" si="10"/>
        <v/>
      </c>
      <c r="R14" s="1" t="str">
        <f t="shared" si="11"/>
        <v/>
      </c>
      <c r="S14" s="1" t="str">
        <f t="shared" si="12"/>
        <v/>
      </c>
      <c r="T14" s="1" t="str">
        <f t="shared" si="13"/>
        <v/>
      </c>
      <c r="U14" s="1" t="str">
        <f t="shared" si="14"/>
        <v/>
      </c>
      <c r="V14" s="1" t="str">
        <f t="shared" si="15"/>
        <v/>
      </c>
      <c r="W14" s="26" t="str">
        <f t="shared" si="16"/>
        <v/>
      </c>
      <c r="X14" s="13" t="str">
        <f t="shared" si="17"/>
        <v/>
      </c>
      <c r="Y14" s="9">
        <f t="shared" si="18"/>
        <v>0</v>
      </c>
    </row>
    <row r="15" spans="1:25" x14ac:dyDescent="0.25">
      <c r="A15" s="28"/>
      <c r="B15" s="29"/>
      <c r="C15" s="30"/>
      <c r="D15" s="31"/>
      <c r="E15" s="29" t="s">
        <v>16</v>
      </c>
      <c r="F15" s="13" t="b">
        <f>IF($E15=Categories!$A$1,"",IF($E15=Categories!$A$2,Categories!$B$2,IF($E15=Categories!$A$3,Categories!$B$3,IF($E15=Categories!$A$4,Categories!$B$4,IF($E15=Categories!$A$5,Categories!$B$5,IF($E15=Categories!$A$6,Categories!$B$6,IF($E15=Categories!$A$7,Categories!$B$7,IF($E15=Categories!$A$8,Categories!$B$8,IF($E15=Categories!$A$9,Categories!$B$9,IF($E15=Categories!$A$10,Categories!$B$10,IF($E15=Categories!$A$11,Categories!$B$11,IF($E15=Categories!$A$12,Categories!$B$12,IF($E15=Categories!$A$13,Categories!$B$13,IF($E15=Categories!$A$14,Categories!$B$14,IF($E15=Categories!$A$15,Categories!$B$15,IF($E15=Categories!$A$16,Categories!$B$16,IF($E15=Categories!$A$17,Categories!$B$17,IF($E15=Categories!$A$18,Categories!$B$18,IF($E15=Categories!$A$19,Categories!$B$19)))))))))))))))))))</f>
        <v>0</v>
      </c>
      <c r="G15" s="9" t="str">
        <f t="shared" si="0"/>
        <v/>
      </c>
      <c r="H15" s="1" t="str">
        <f t="shared" si="1"/>
        <v/>
      </c>
      <c r="I15" s="1" t="str">
        <f t="shared" si="2"/>
        <v/>
      </c>
      <c r="J15" s="1" t="str">
        <f t="shared" si="3"/>
        <v/>
      </c>
      <c r="K15" s="13" t="str">
        <f t="shared" si="4"/>
        <v/>
      </c>
      <c r="L15" s="9" t="str">
        <f t="shared" si="5"/>
        <v/>
      </c>
      <c r="M15" s="1" t="str">
        <f t="shared" si="6"/>
        <v/>
      </c>
      <c r="N15" s="1" t="str">
        <f t="shared" si="7"/>
        <v/>
      </c>
      <c r="O15" s="1" t="str">
        <f t="shared" si="8"/>
        <v/>
      </c>
      <c r="P15" s="1" t="str">
        <f t="shared" si="9"/>
        <v/>
      </c>
      <c r="Q15" s="1" t="str">
        <f t="shared" si="10"/>
        <v/>
      </c>
      <c r="R15" s="1" t="str">
        <f t="shared" si="11"/>
        <v/>
      </c>
      <c r="S15" s="1" t="str">
        <f t="shared" si="12"/>
        <v/>
      </c>
      <c r="T15" s="1" t="str">
        <f t="shared" si="13"/>
        <v/>
      </c>
      <c r="U15" s="1" t="str">
        <f t="shared" si="14"/>
        <v/>
      </c>
      <c r="V15" s="1" t="str">
        <f t="shared" si="15"/>
        <v/>
      </c>
      <c r="W15" s="26" t="str">
        <f t="shared" si="16"/>
        <v/>
      </c>
      <c r="X15" s="13" t="str">
        <f t="shared" si="17"/>
        <v/>
      </c>
      <c r="Y15" s="9">
        <f t="shared" si="18"/>
        <v>0</v>
      </c>
    </row>
    <row r="16" spans="1:25" x14ac:dyDescent="0.25">
      <c r="A16" s="28"/>
      <c r="B16" s="29"/>
      <c r="C16" s="30"/>
      <c r="D16" s="31"/>
      <c r="E16" s="29" t="s">
        <v>16</v>
      </c>
      <c r="F16" s="13" t="b">
        <f>IF($E16=Categories!$A$1,"",IF($E16=Categories!$A$2,Categories!$B$2,IF($E16=Categories!$A$3,Categories!$B$3,IF($E16=Categories!$A$4,Categories!$B$4,IF($E16=Categories!$A$5,Categories!$B$5,IF($E16=Categories!$A$6,Categories!$B$6,IF($E16=Categories!$A$7,Categories!$B$7,IF($E16=Categories!$A$8,Categories!$B$8,IF($E16=Categories!$A$9,Categories!$B$9,IF($E16=Categories!$A$10,Categories!$B$10,IF($E16=Categories!$A$11,Categories!$B$11,IF($E16=Categories!$A$12,Categories!$B$12,IF($E16=Categories!$A$13,Categories!$B$13,IF($E16=Categories!$A$14,Categories!$B$14,IF($E16=Categories!$A$15,Categories!$B$15,IF($E16=Categories!$A$16,Categories!$B$16,IF($E16=Categories!$A$17,Categories!$B$17,IF($E16=Categories!$A$18,Categories!$B$18,IF($E16=Categories!$A$19,Categories!$B$19)))))))))))))))))))</f>
        <v>0</v>
      </c>
      <c r="G16" s="9" t="str">
        <f t="shared" si="0"/>
        <v/>
      </c>
      <c r="H16" s="1" t="str">
        <f t="shared" si="1"/>
        <v/>
      </c>
      <c r="I16" s="1" t="str">
        <f t="shared" si="2"/>
        <v/>
      </c>
      <c r="J16" s="1" t="str">
        <f t="shared" si="3"/>
        <v/>
      </c>
      <c r="K16" s="13" t="str">
        <f t="shared" si="4"/>
        <v/>
      </c>
      <c r="L16" s="9" t="str">
        <f t="shared" si="5"/>
        <v/>
      </c>
      <c r="M16" s="1" t="str">
        <f t="shared" si="6"/>
        <v/>
      </c>
      <c r="N16" s="1" t="str">
        <f t="shared" si="7"/>
        <v/>
      </c>
      <c r="O16" s="1" t="str">
        <f t="shared" si="8"/>
        <v/>
      </c>
      <c r="P16" s="1" t="str">
        <f t="shared" si="9"/>
        <v/>
      </c>
      <c r="Q16" s="1" t="str">
        <f t="shared" si="10"/>
        <v/>
      </c>
      <c r="R16" s="1" t="str">
        <f t="shared" si="11"/>
        <v/>
      </c>
      <c r="S16" s="1" t="str">
        <f t="shared" si="12"/>
        <v/>
      </c>
      <c r="T16" s="1" t="str">
        <f t="shared" si="13"/>
        <v/>
      </c>
      <c r="U16" s="1" t="str">
        <f t="shared" si="14"/>
        <v/>
      </c>
      <c r="V16" s="1" t="str">
        <f t="shared" si="15"/>
        <v/>
      </c>
      <c r="W16" s="26" t="str">
        <f t="shared" si="16"/>
        <v/>
      </c>
      <c r="X16" s="13" t="str">
        <f t="shared" si="17"/>
        <v/>
      </c>
      <c r="Y16" s="9">
        <f t="shared" si="18"/>
        <v>0</v>
      </c>
    </row>
    <row r="17" spans="1:25" x14ac:dyDescent="0.25">
      <c r="A17" s="28"/>
      <c r="B17" s="29"/>
      <c r="C17" s="30"/>
      <c r="D17" s="31"/>
      <c r="E17" s="29" t="s">
        <v>16</v>
      </c>
      <c r="F17" s="13" t="b">
        <f>IF($E17=Categories!$A$1,"",IF($E17=Categories!$A$2,Categories!$B$2,IF($E17=Categories!$A$3,Categories!$B$3,IF($E17=Categories!$A$4,Categories!$B$4,IF($E17=Categories!$A$5,Categories!$B$5,IF($E17=Categories!$A$6,Categories!$B$6,IF($E17=Categories!$A$7,Categories!$B$7,IF($E17=Categories!$A$8,Categories!$B$8,IF($E17=Categories!$A$9,Categories!$B$9,IF($E17=Categories!$A$10,Categories!$B$10,IF($E17=Categories!$A$11,Categories!$B$11,IF($E17=Categories!$A$12,Categories!$B$12,IF($E17=Categories!$A$13,Categories!$B$13,IF($E17=Categories!$A$14,Categories!$B$14,IF($E17=Categories!$A$15,Categories!$B$15,IF($E17=Categories!$A$16,Categories!$B$16,IF($E17=Categories!$A$17,Categories!$B$17,IF($E17=Categories!$A$18,Categories!$B$18,IF($E17=Categories!$A$19,Categories!$B$19)))))))))))))))))))</f>
        <v>0</v>
      </c>
      <c r="G17" s="9" t="str">
        <f t="shared" si="0"/>
        <v/>
      </c>
      <c r="H17" s="1" t="str">
        <f t="shared" si="1"/>
        <v/>
      </c>
      <c r="I17" s="1" t="str">
        <f t="shared" si="2"/>
        <v/>
      </c>
      <c r="J17" s="1" t="str">
        <f t="shared" si="3"/>
        <v/>
      </c>
      <c r="K17" s="13" t="str">
        <f t="shared" si="4"/>
        <v/>
      </c>
      <c r="L17" s="9" t="str">
        <f t="shared" si="5"/>
        <v/>
      </c>
      <c r="M17" s="1" t="str">
        <f t="shared" si="6"/>
        <v/>
      </c>
      <c r="N17" s="1" t="str">
        <f t="shared" si="7"/>
        <v/>
      </c>
      <c r="O17" s="1" t="str">
        <f t="shared" si="8"/>
        <v/>
      </c>
      <c r="P17" s="1" t="str">
        <f t="shared" si="9"/>
        <v/>
      </c>
      <c r="Q17" s="1" t="str">
        <f t="shared" si="10"/>
        <v/>
      </c>
      <c r="R17" s="1" t="str">
        <f t="shared" si="11"/>
        <v/>
      </c>
      <c r="S17" s="1" t="str">
        <f t="shared" si="12"/>
        <v/>
      </c>
      <c r="T17" s="1" t="str">
        <f t="shared" si="13"/>
        <v/>
      </c>
      <c r="U17" s="1" t="str">
        <f t="shared" si="14"/>
        <v/>
      </c>
      <c r="V17" s="1" t="str">
        <f t="shared" si="15"/>
        <v/>
      </c>
      <c r="W17" s="26" t="str">
        <f t="shared" si="16"/>
        <v/>
      </c>
      <c r="X17" s="13" t="str">
        <f t="shared" si="17"/>
        <v/>
      </c>
      <c r="Y17" s="9">
        <f t="shared" si="18"/>
        <v>0</v>
      </c>
    </row>
    <row r="18" spans="1:25" x14ac:dyDescent="0.25">
      <c r="A18" s="28"/>
      <c r="B18" s="29"/>
      <c r="C18" s="30"/>
      <c r="D18" s="31"/>
      <c r="E18" s="29" t="s">
        <v>16</v>
      </c>
      <c r="F18" s="13" t="b">
        <f>IF($E18=Categories!$A$1,"",IF($E18=Categories!$A$2,Categories!$B$2,IF($E18=Categories!$A$3,Categories!$B$3,IF($E18=Categories!$A$4,Categories!$B$4,IF($E18=Categories!$A$5,Categories!$B$5,IF($E18=Categories!$A$6,Categories!$B$6,IF($E18=Categories!$A$7,Categories!$B$7,IF($E18=Categories!$A$8,Categories!$B$8,IF($E18=Categories!$A$9,Categories!$B$9,IF($E18=Categories!$A$10,Categories!$B$10,IF($E18=Categories!$A$11,Categories!$B$11,IF($E18=Categories!$A$12,Categories!$B$12,IF($E18=Categories!$A$13,Categories!$B$13,IF($E18=Categories!$A$14,Categories!$B$14,IF($E18=Categories!$A$15,Categories!$B$15,IF($E18=Categories!$A$16,Categories!$B$16,IF($E18=Categories!$A$17,Categories!$B$17,IF($E18=Categories!$A$18,Categories!$B$18,IF($E18=Categories!$A$19,Categories!$B$19)))))))))))))))))))</f>
        <v>0</v>
      </c>
      <c r="G18" s="9" t="str">
        <f t="shared" si="0"/>
        <v/>
      </c>
      <c r="H18" s="1" t="str">
        <f t="shared" si="1"/>
        <v/>
      </c>
      <c r="I18" s="1" t="str">
        <f t="shared" si="2"/>
        <v/>
      </c>
      <c r="J18" s="1" t="str">
        <f t="shared" si="3"/>
        <v/>
      </c>
      <c r="K18" s="13" t="str">
        <f t="shared" si="4"/>
        <v/>
      </c>
      <c r="L18" s="9" t="str">
        <f t="shared" si="5"/>
        <v/>
      </c>
      <c r="M18" s="1" t="str">
        <f t="shared" si="6"/>
        <v/>
      </c>
      <c r="N18" s="1" t="str">
        <f t="shared" si="7"/>
        <v/>
      </c>
      <c r="O18" s="1" t="str">
        <f t="shared" si="8"/>
        <v/>
      </c>
      <c r="P18" s="1" t="str">
        <f t="shared" si="9"/>
        <v/>
      </c>
      <c r="Q18" s="1" t="str">
        <f t="shared" si="10"/>
        <v/>
      </c>
      <c r="R18" s="1" t="str">
        <f t="shared" si="11"/>
        <v/>
      </c>
      <c r="S18" s="1" t="str">
        <f t="shared" si="12"/>
        <v/>
      </c>
      <c r="T18" s="1" t="str">
        <f t="shared" si="13"/>
        <v/>
      </c>
      <c r="U18" s="1" t="str">
        <f t="shared" si="14"/>
        <v/>
      </c>
      <c r="V18" s="1" t="str">
        <f t="shared" si="15"/>
        <v/>
      </c>
      <c r="W18" s="26" t="str">
        <f t="shared" si="16"/>
        <v/>
      </c>
      <c r="X18" s="13" t="str">
        <f t="shared" si="17"/>
        <v/>
      </c>
      <c r="Y18" s="9">
        <f t="shared" si="18"/>
        <v>0</v>
      </c>
    </row>
    <row r="19" spans="1:25" x14ac:dyDescent="0.25">
      <c r="A19" s="28"/>
      <c r="B19" s="29"/>
      <c r="C19" s="30"/>
      <c r="D19" s="31"/>
      <c r="E19" s="29" t="s">
        <v>16</v>
      </c>
      <c r="F19" s="13" t="b">
        <f>IF($E19=Categories!$A$1,"",IF($E19=Categories!$A$2,Categories!$B$2,IF($E19=Categories!$A$3,Categories!$B$3,IF($E19=Categories!$A$4,Categories!$B$4,IF($E19=Categories!$A$5,Categories!$B$5,IF($E19=Categories!$A$6,Categories!$B$6,IF($E19=Categories!$A$7,Categories!$B$7,IF($E19=Categories!$A$8,Categories!$B$8,IF($E19=Categories!$A$9,Categories!$B$9,IF($E19=Categories!$A$10,Categories!$B$10,IF($E19=Categories!$A$11,Categories!$B$11,IF($E19=Categories!$A$12,Categories!$B$12,IF($E19=Categories!$A$13,Categories!$B$13,IF($E19=Categories!$A$14,Categories!$B$14,IF($E19=Categories!$A$15,Categories!$B$15,IF($E19=Categories!$A$16,Categories!$B$16,IF($E19=Categories!$A$17,Categories!$B$17,IF($E19=Categories!$A$18,Categories!$B$18,IF($E19=Categories!$A$19,Categories!$B$19)))))))))))))))))))</f>
        <v>0</v>
      </c>
      <c r="G19" s="9" t="str">
        <f t="shared" si="0"/>
        <v/>
      </c>
      <c r="H19" s="1" t="str">
        <f t="shared" si="1"/>
        <v/>
      </c>
      <c r="I19" s="1" t="str">
        <f t="shared" si="2"/>
        <v/>
      </c>
      <c r="J19" s="1" t="str">
        <f t="shared" si="3"/>
        <v/>
      </c>
      <c r="K19" s="13" t="str">
        <f t="shared" si="4"/>
        <v/>
      </c>
      <c r="L19" s="9" t="str">
        <f t="shared" si="5"/>
        <v/>
      </c>
      <c r="M19" s="1" t="str">
        <f t="shared" si="6"/>
        <v/>
      </c>
      <c r="N19" s="1" t="str">
        <f t="shared" si="7"/>
        <v/>
      </c>
      <c r="O19" s="1" t="str">
        <f t="shared" si="8"/>
        <v/>
      </c>
      <c r="P19" s="1" t="str">
        <f t="shared" si="9"/>
        <v/>
      </c>
      <c r="Q19" s="1" t="str">
        <f t="shared" si="10"/>
        <v/>
      </c>
      <c r="R19" s="1" t="str">
        <f t="shared" si="11"/>
        <v/>
      </c>
      <c r="S19" s="1" t="str">
        <f t="shared" si="12"/>
        <v/>
      </c>
      <c r="T19" s="1" t="str">
        <f t="shared" si="13"/>
        <v/>
      </c>
      <c r="U19" s="1" t="str">
        <f t="shared" si="14"/>
        <v/>
      </c>
      <c r="V19" s="1" t="str">
        <f t="shared" si="15"/>
        <v/>
      </c>
      <c r="W19" s="26" t="str">
        <f t="shared" si="16"/>
        <v/>
      </c>
      <c r="X19" s="13" t="str">
        <f t="shared" si="17"/>
        <v/>
      </c>
      <c r="Y19" s="9">
        <f t="shared" si="18"/>
        <v>0</v>
      </c>
    </row>
    <row r="20" spans="1:25" x14ac:dyDescent="0.25">
      <c r="A20" s="28"/>
      <c r="B20" s="29"/>
      <c r="C20" s="30"/>
      <c r="D20" s="31"/>
      <c r="E20" s="29" t="s">
        <v>16</v>
      </c>
      <c r="F20" s="13" t="b">
        <f>IF($E20=Categories!$A$1,"",IF($E20=Categories!$A$2,Categories!$B$2,IF($E20=Categories!$A$3,Categories!$B$3,IF($E20=Categories!$A$4,Categories!$B$4,IF($E20=Categories!$A$5,Categories!$B$5,IF($E20=Categories!$A$6,Categories!$B$6,IF($E20=Categories!$A$7,Categories!$B$7,IF($E20=Categories!$A$8,Categories!$B$8,IF($E20=Categories!$A$9,Categories!$B$9,IF($E20=Categories!$A$10,Categories!$B$10,IF($E20=Categories!$A$11,Categories!$B$11,IF($E20=Categories!$A$12,Categories!$B$12,IF($E20=Categories!$A$13,Categories!$B$13,IF($E20=Categories!$A$14,Categories!$B$14,IF($E20=Categories!$A$15,Categories!$B$15,IF($E20=Categories!$A$16,Categories!$B$16,IF($E20=Categories!$A$17,Categories!$B$17,IF($E20=Categories!$A$18,Categories!$B$18,IF($E20=Categories!$A$19,Categories!$B$19)))))))))))))))))))</f>
        <v>0</v>
      </c>
      <c r="G20" s="9" t="str">
        <f t="shared" si="0"/>
        <v/>
      </c>
      <c r="H20" s="1" t="str">
        <f t="shared" si="1"/>
        <v/>
      </c>
      <c r="I20" s="1" t="str">
        <f t="shared" si="2"/>
        <v/>
      </c>
      <c r="J20" s="1" t="str">
        <f t="shared" si="3"/>
        <v/>
      </c>
      <c r="K20" s="13" t="str">
        <f t="shared" si="4"/>
        <v/>
      </c>
      <c r="L20" s="9" t="str">
        <f t="shared" si="5"/>
        <v/>
      </c>
      <c r="M20" s="1" t="str">
        <f t="shared" si="6"/>
        <v/>
      </c>
      <c r="N20" s="1" t="str">
        <f t="shared" si="7"/>
        <v/>
      </c>
      <c r="O20" s="1" t="str">
        <f t="shared" si="8"/>
        <v/>
      </c>
      <c r="P20" s="1" t="str">
        <f t="shared" si="9"/>
        <v/>
      </c>
      <c r="Q20" s="1" t="str">
        <f t="shared" si="10"/>
        <v/>
      </c>
      <c r="R20" s="1" t="str">
        <f t="shared" si="11"/>
        <v/>
      </c>
      <c r="S20" s="1" t="str">
        <f t="shared" si="12"/>
        <v/>
      </c>
      <c r="T20" s="1" t="str">
        <f t="shared" si="13"/>
        <v/>
      </c>
      <c r="U20" s="1" t="str">
        <f t="shared" si="14"/>
        <v/>
      </c>
      <c r="V20" s="1" t="str">
        <f t="shared" si="15"/>
        <v/>
      </c>
      <c r="W20" s="26" t="str">
        <f t="shared" si="16"/>
        <v/>
      </c>
      <c r="X20" s="13" t="str">
        <f t="shared" si="17"/>
        <v/>
      </c>
      <c r="Y20" s="9">
        <f t="shared" si="18"/>
        <v>0</v>
      </c>
    </row>
    <row r="21" spans="1:25" x14ac:dyDescent="0.25">
      <c r="A21" s="28"/>
      <c r="B21" s="29"/>
      <c r="C21" s="30"/>
      <c r="D21" s="31"/>
      <c r="E21" s="29" t="s">
        <v>16</v>
      </c>
      <c r="F21" s="13" t="b">
        <f>IF($E21=Categories!$A$1,"",IF($E21=Categories!$A$2,Categories!$B$2,IF($E21=Categories!$A$3,Categories!$B$3,IF($E21=Categories!$A$4,Categories!$B$4,IF($E21=Categories!$A$5,Categories!$B$5,IF($E21=Categories!$A$6,Categories!$B$6,IF($E21=Categories!$A$7,Categories!$B$7,IF($E21=Categories!$A$8,Categories!$B$8,IF($E21=Categories!$A$9,Categories!$B$9,IF($E21=Categories!$A$10,Categories!$B$10,IF($E21=Categories!$A$11,Categories!$B$11,IF($E21=Categories!$A$12,Categories!$B$12,IF($E21=Categories!$A$13,Categories!$B$13,IF($E21=Categories!$A$14,Categories!$B$14,IF($E21=Categories!$A$15,Categories!$B$15,IF($E21=Categories!$A$16,Categories!$B$16,IF($E21=Categories!$A$17,Categories!$B$17,IF($E21=Categories!$A$18,Categories!$B$18,IF($E21=Categories!$A$19,Categories!$B$19)))))))))))))))))))</f>
        <v>0</v>
      </c>
      <c r="G21" s="9" t="str">
        <f t="shared" si="0"/>
        <v/>
      </c>
      <c r="H21" s="1" t="str">
        <f t="shared" si="1"/>
        <v/>
      </c>
      <c r="I21" s="1" t="str">
        <f t="shared" si="2"/>
        <v/>
      </c>
      <c r="J21" s="1" t="str">
        <f t="shared" si="3"/>
        <v/>
      </c>
      <c r="K21" s="13" t="str">
        <f t="shared" si="4"/>
        <v/>
      </c>
      <c r="L21" s="9" t="str">
        <f t="shared" si="5"/>
        <v/>
      </c>
      <c r="M21" s="1" t="str">
        <f t="shared" si="6"/>
        <v/>
      </c>
      <c r="N21" s="1" t="str">
        <f t="shared" si="7"/>
        <v/>
      </c>
      <c r="O21" s="1" t="str">
        <f t="shared" si="8"/>
        <v/>
      </c>
      <c r="P21" s="1" t="str">
        <f t="shared" si="9"/>
        <v/>
      </c>
      <c r="Q21" s="1" t="str">
        <f t="shared" si="10"/>
        <v/>
      </c>
      <c r="R21" s="1" t="str">
        <f t="shared" si="11"/>
        <v/>
      </c>
      <c r="S21" s="1" t="str">
        <f t="shared" si="12"/>
        <v/>
      </c>
      <c r="T21" s="1" t="str">
        <f t="shared" si="13"/>
        <v/>
      </c>
      <c r="U21" s="1" t="str">
        <f t="shared" si="14"/>
        <v/>
      </c>
      <c r="V21" s="1" t="str">
        <f t="shared" si="15"/>
        <v/>
      </c>
      <c r="W21" s="26" t="str">
        <f t="shared" si="16"/>
        <v/>
      </c>
      <c r="X21" s="13" t="str">
        <f t="shared" si="17"/>
        <v/>
      </c>
      <c r="Y21" s="9">
        <f t="shared" si="18"/>
        <v>0</v>
      </c>
    </row>
    <row r="22" spans="1:25" x14ac:dyDescent="0.25">
      <c r="A22" s="28"/>
      <c r="B22" s="29"/>
      <c r="C22" s="30"/>
      <c r="D22" s="31"/>
      <c r="E22" s="29" t="s">
        <v>16</v>
      </c>
      <c r="F22" s="13" t="b">
        <f>IF($E22=Categories!$A$1,"",IF($E22=Categories!$A$2,Categories!$B$2,IF($E22=Categories!$A$3,Categories!$B$3,IF($E22=Categories!$A$4,Categories!$B$4,IF($E22=Categories!$A$5,Categories!$B$5,IF($E22=Categories!$A$6,Categories!$B$6,IF($E22=Categories!$A$7,Categories!$B$7,IF($E22=Categories!$A$8,Categories!$B$8,IF($E22=Categories!$A$9,Categories!$B$9,IF($E22=Categories!$A$10,Categories!$B$10,IF($E22=Categories!$A$11,Categories!$B$11,IF($E22=Categories!$A$12,Categories!$B$12,IF($E22=Categories!$A$13,Categories!$B$13,IF($E22=Categories!$A$14,Categories!$B$14,IF($E22=Categories!$A$15,Categories!$B$15,IF($E22=Categories!$A$16,Categories!$B$16,IF($E22=Categories!$A$17,Categories!$B$17,IF($E22=Categories!$A$18,Categories!$B$18,IF($E22=Categories!$A$19,Categories!$B$19)))))))))))))))))))</f>
        <v>0</v>
      </c>
      <c r="G22" s="9" t="str">
        <f t="shared" si="0"/>
        <v/>
      </c>
      <c r="H22" s="1" t="str">
        <f t="shared" si="1"/>
        <v/>
      </c>
      <c r="I22" s="1" t="str">
        <f t="shared" si="2"/>
        <v/>
      </c>
      <c r="J22" s="1" t="str">
        <f t="shared" si="3"/>
        <v/>
      </c>
      <c r="K22" s="13" t="str">
        <f t="shared" si="4"/>
        <v/>
      </c>
      <c r="L22" s="9" t="str">
        <f t="shared" si="5"/>
        <v/>
      </c>
      <c r="M22" s="1" t="str">
        <f t="shared" si="6"/>
        <v/>
      </c>
      <c r="N22" s="1" t="str">
        <f t="shared" si="7"/>
        <v/>
      </c>
      <c r="O22" s="1" t="str">
        <f t="shared" si="8"/>
        <v/>
      </c>
      <c r="P22" s="1" t="str">
        <f t="shared" si="9"/>
        <v/>
      </c>
      <c r="Q22" s="1" t="str">
        <f t="shared" si="10"/>
        <v/>
      </c>
      <c r="R22" s="1" t="str">
        <f t="shared" si="11"/>
        <v/>
      </c>
      <c r="S22" s="1" t="str">
        <f t="shared" si="12"/>
        <v/>
      </c>
      <c r="T22" s="1" t="str">
        <f t="shared" si="13"/>
        <v/>
      </c>
      <c r="U22" s="1" t="str">
        <f t="shared" si="14"/>
        <v/>
      </c>
      <c r="V22" s="1" t="str">
        <f t="shared" si="15"/>
        <v/>
      </c>
      <c r="W22" s="26" t="str">
        <f t="shared" si="16"/>
        <v/>
      </c>
      <c r="X22" s="13" t="str">
        <f t="shared" si="17"/>
        <v/>
      </c>
      <c r="Y22" s="9">
        <f t="shared" si="18"/>
        <v>0</v>
      </c>
    </row>
    <row r="23" spans="1:25" x14ac:dyDescent="0.25">
      <c r="A23" s="28"/>
      <c r="B23" s="29"/>
      <c r="C23" s="30"/>
      <c r="D23" s="31"/>
      <c r="E23" s="29" t="s">
        <v>16</v>
      </c>
      <c r="F23" s="13" t="b">
        <f>IF($E23=Categories!$A$1,"",IF($E23=Categories!$A$2,Categories!$B$2,IF($E23=Categories!$A$3,Categories!$B$3,IF($E23=Categories!$A$4,Categories!$B$4,IF($E23=Categories!$A$5,Categories!$B$5,IF($E23=Categories!$A$6,Categories!$B$6,IF($E23=Categories!$A$7,Categories!$B$7,IF($E23=Categories!$A$8,Categories!$B$8,IF($E23=Categories!$A$9,Categories!$B$9,IF($E23=Categories!$A$10,Categories!$B$10,IF($E23=Categories!$A$11,Categories!$B$11,IF($E23=Categories!$A$12,Categories!$B$12,IF($E23=Categories!$A$13,Categories!$B$13,IF($E23=Categories!$A$14,Categories!$B$14,IF($E23=Categories!$A$15,Categories!$B$15,IF($E23=Categories!$A$16,Categories!$B$16,IF($E23=Categories!$A$17,Categories!$B$17,IF($E23=Categories!$A$18,Categories!$B$18,IF($E23=Categories!$A$19,Categories!$B$19)))))))))))))))))))</f>
        <v>0</v>
      </c>
      <c r="G23" s="9" t="str">
        <f t="shared" si="0"/>
        <v/>
      </c>
      <c r="H23" s="1" t="str">
        <f t="shared" si="1"/>
        <v/>
      </c>
      <c r="I23" s="1" t="str">
        <f t="shared" si="2"/>
        <v/>
      </c>
      <c r="J23" s="1" t="str">
        <f t="shared" si="3"/>
        <v/>
      </c>
      <c r="K23" s="13" t="str">
        <f t="shared" si="4"/>
        <v/>
      </c>
      <c r="L23" s="9" t="str">
        <f t="shared" si="5"/>
        <v/>
      </c>
      <c r="M23" s="1" t="str">
        <f t="shared" si="6"/>
        <v/>
      </c>
      <c r="N23" s="1" t="str">
        <f t="shared" si="7"/>
        <v/>
      </c>
      <c r="O23" s="1" t="str">
        <f t="shared" si="8"/>
        <v/>
      </c>
      <c r="P23" s="1" t="str">
        <f t="shared" si="9"/>
        <v/>
      </c>
      <c r="Q23" s="1" t="str">
        <f t="shared" si="10"/>
        <v/>
      </c>
      <c r="R23" s="1" t="str">
        <f t="shared" si="11"/>
        <v/>
      </c>
      <c r="S23" s="1" t="str">
        <f t="shared" si="12"/>
        <v/>
      </c>
      <c r="T23" s="1" t="str">
        <f t="shared" si="13"/>
        <v/>
      </c>
      <c r="U23" s="1" t="str">
        <f t="shared" si="14"/>
        <v/>
      </c>
      <c r="V23" s="1" t="str">
        <f t="shared" si="15"/>
        <v/>
      </c>
      <c r="W23" s="26" t="str">
        <f t="shared" si="16"/>
        <v/>
      </c>
      <c r="X23" s="13" t="str">
        <f t="shared" si="17"/>
        <v/>
      </c>
      <c r="Y23" s="9">
        <f t="shared" si="18"/>
        <v>0</v>
      </c>
    </row>
    <row r="24" spans="1:25" x14ac:dyDescent="0.25">
      <c r="A24" s="28"/>
      <c r="B24" s="29"/>
      <c r="C24" s="30"/>
      <c r="D24" s="31"/>
      <c r="E24" s="29" t="s">
        <v>16</v>
      </c>
      <c r="F24" s="13" t="b">
        <f>IF($E24=Categories!$A$1,"",IF($E24=Categories!$A$2,Categories!$B$2,IF($E24=Categories!$A$3,Categories!$B$3,IF($E24=Categories!$A$4,Categories!$B$4,IF($E24=Categories!$A$5,Categories!$B$5,IF($E24=Categories!$A$6,Categories!$B$6,IF($E24=Categories!$A$7,Categories!$B$7,IF($E24=Categories!$A$8,Categories!$B$8,IF($E24=Categories!$A$9,Categories!$B$9,IF($E24=Categories!$A$10,Categories!$B$10,IF($E24=Categories!$A$11,Categories!$B$11,IF($E24=Categories!$A$12,Categories!$B$12,IF($E24=Categories!$A$13,Categories!$B$13,IF($E24=Categories!$A$14,Categories!$B$14,IF($E24=Categories!$A$15,Categories!$B$15,IF($E24=Categories!$A$16,Categories!$B$16,IF($E24=Categories!$A$17,Categories!$B$17,IF($E24=Categories!$A$18,Categories!$B$18,IF($E24=Categories!$A$19,Categories!$B$19)))))))))))))))))))</f>
        <v>0</v>
      </c>
      <c r="G24" s="9" t="str">
        <f t="shared" si="0"/>
        <v/>
      </c>
      <c r="H24" s="1" t="str">
        <f t="shared" si="1"/>
        <v/>
      </c>
      <c r="I24" s="1" t="str">
        <f t="shared" si="2"/>
        <v/>
      </c>
      <c r="J24" s="1" t="str">
        <f t="shared" si="3"/>
        <v/>
      </c>
      <c r="K24" s="13" t="str">
        <f t="shared" si="4"/>
        <v/>
      </c>
      <c r="L24" s="9" t="str">
        <f t="shared" si="5"/>
        <v/>
      </c>
      <c r="M24" s="1" t="str">
        <f t="shared" si="6"/>
        <v/>
      </c>
      <c r="N24" s="1" t="str">
        <f t="shared" si="7"/>
        <v/>
      </c>
      <c r="O24" s="1" t="str">
        <f t="shared" si="8"/>
        <v/>
      </c>
      <c r="P24" s="1" t="str">
        <f t="shared" si="9"/>
        <v/>
      </c>
      <c r="Q24" s="1" t="str">
        <f t="shared" si="10"/>
        <v/>
      </c>
      <c r="R24" s="1" t="str">
        <f t="shared" si="11"/>
        <v/>
      </c>
      <c r="S24" s="1" t="str">
        <f t="shared" si="12"/>
        <v/>
      </c>
      <c r="T24" s="1" t="str">
        <f t="shared" si="13"/>
        <v/>
      </c>
      <c r="U24" s="1" t="str">
        <f t="shared" si="14"/>
        <v/>
      </c>
      <c r="V24" s="1" t="str">
        <f t="shared" si="15"/>
        <v/>
      </c>
      <c r="W24" s="26" t="str">
        <f t="shared" si="16"/>
        <v/>
      </c>
      <c r="X24" s="13" t="str">
        <f t="shared" si="17"/>
        <v/>
      </c>
      <c r="Y24" s="9">
        <f t="shared" si="18"/>
        <v>0</v>
      </c>
    </row>
    <row r="25" spans="1:25" x14ac:dyDescent="0.25">
      <c r="A25" s="28"/>
      <c r="B25" s="29"/>
      <c r="C25" s="30"/>
      <c r="D25" s="31"/>
      <c r="E25" s="29" t="s">
        <v>16</v>
      </c>
      <c r="F25" s="13" t="b">
        <f>IF($E25=Categories!$A$1,"",IF($E25=Categories!$A$2,Categories!$B$2,IF($E25=Categories!$A$3,Categories!$B$3,IF($E25=Categories!$A$4,Categories!$B$4,IF($E25=Categories!$A$5,Categories!$B$5,IF($E25=Categories!$A$6,Categories!$B$6,IF($E25=Categories!$A$7,Categories!$B$7,IF($E25=Categories!$A$8,Categories!$B$8,IF($E25=Categories!$A$9,Categories!$B$9,IF($E25=Categories!$A$10,Categories!$B$10,IF($E25=Categories!$A$11,Categories!$B$11,IF($E25=Categories!$A$12,Categories!$B$12,IF($E25=Categories!$A$13,Categories!$B$13,IF($E25=Categories!$A$14,Categories!$B$14,IF($E25=Categories!$A$15,Categories!$B$15,IF($E25=Categories!$A$16,Categories!$B$16,IF($E25=Categories!$A$17,Categories!$B$17,IF($E25=Categories!$A$18,Categories!$B$18,IF($E25=Categories!$A$19,Categories!$B$19)))))))))))))))))))</f>
        <v>0</v>
      </c>
      <c r="G25" s="9" t="str">
        <f t="shared" si="0"/>
        <v/>
      </c>
      <c r="H25" s="1" t="str">
        <f t="shared" si="1"/>
        <v/>
      </c>
      <c r="I25" s="1" t="str">
        <f t="shared" si="2"/>
        <v/>
      </c>
      <c r="J25" s="1" t="str">
        <f t="shared" si="3"/>
        <v/>
      </c>
      <c r="K25" s="13" t="str">
        <f t="shared" si="4"/>
        <v/>
      </c>
      <c r="L25" s="9" t="str">
        <f t="shared" si="5"/>
        <v/>
      </c>
      <c r="M25" s="1" t="str">
        <f t="shared" si="6"/>
        <v/>
      </c>
      <c r="N25" s="1" t="str">
        <f t="shared" si="7"/>
        <v/>
      </c>
      <c r="O25" s="1" t="str">
        <f t="shared" si="8"/>
        <v/>
      </c>
      <c r="P25" s="1" t="str">
        <f t="shared" si="9"/>
        <v/>
      </c>
      <c r="Q25" s="1" t="str">
        <f t="shared" si="10"/>
        <v/>
      </c>
      <c r="R25" s="1" t="str">
        <f t="shared" si="11"/>
        <v/>
      </c>
      <c r="S25" s="1" t="str">
        <f t="shared" si="12"/>
        <v/>
      </c>
      <c r="T25" s="1" t="str">
        <f t="shared" si="13"/>
        <v/>
      </c>
      <c r="U25" s="1" t="str">
        <f t="shared" si="14"/>
        <v/>
      </c>
      <c r="V25" s="1" t="str">
        <f t="shared" si="15"/>
        <v/>
      </c>
      <c r="W25" s="26" t="str">
        <f t="shared" si="16"/>
        <v/>
      </c>
      <c r="X25" s="13" t="str">
        <f t="shared" si="17"/>
        <v/>
      </c>
      <c r="Y25" s="9">
        <f t="shared" si="18"/>
        <v>0</v>
      </c>
    </row>
    <row r="26" spans="1:25" x14ac:dyDescent="0.25">
      <c r="A26" s="28"/>
      <c r="B26" s="29"/>
      <c r="C26" s="30"/>
      <c r="D26" s="31"/>
      <c r="E26" s="29" t="s">
        <v>16</v>
      </c>
      <c r="F26" s="13" t="b">
        <f>IF($E26=Categories!$A$1,"",IF($E26=Categories!$A$2,Categories!$B$2,IF($E26=Categories!$A$3,Categories!$B$3,IF($E26=Categories!$A$4,Categories!$B$4,IF($E26=Categories!$A$5,Categories!$B$5,IF($E26=Categories!$A$6,Categories!$B$6,IF($E26=Categories!$A$7,Categories!$B$7,IF($E26=Categories!$A$8,Categories!$B$8,IF($E26=Categories!$A$9,Categories!$B$9,IF($E26=Categories!$A$10,Categories!$B$10,IF($E26=Categories!$A$11,Categories!$B$11,IF($E26=Categories!$A$12,Categories!$B$12,IF($E26=Categories!$A$13,Categories!$B$13,IF($E26=Categories!$A$14,Categories!$B$14,IF($E26=Categories!$A$15,Categories!$B$15,IF($E26=Categories!$A$16,Categories!$B$16,IF($E26=Categories!$A$17,Categories!$B$17,IF($E26=Categories!$A$18,Categories!$B$18,IF($E26=Categories!$A$19,Categories!$B$19)))))))))))))))))))</f>
        <v>0</v>
      </c>
      <c r="G26" s="9" t="str">
        <f t="shared" si="0"/>
        <v/>
      </c>
      <c r="H26" s="1" t="str">
        <f t="shared" si="1"/>
        <v/>
      </c>
      <c r="I26" s="1" t="str">
        <f t="shared" si="2"/>
        <v/>
      </c>
      <c r="J26" s="1" t="str">
        <f t="shared" si="3"/>
        <v/>
      </c>
      <c r="K26" s="13" t="str">
        <f t="shared" si="4"/>
        <v/>
      </c>
      <c r="L26" s="9" t="str">
        <f t="shared" si="5"/>
        <v/>
      </c>
      <c r="M26" s="1" t="str">
        <f t="shared" si="6"/>
        <v/>
      </c>
      <c r="N26" s="1" t="str">
        <f t="shared" si="7"/>
        <v/>
      </c>
      <c r="O26" s="1" t="str">
        <f t="shared" si="8"/>
        <v/>
      </c>
      <c r="P26" s="1" t="str">
        <f t="shared" si="9"/>
        <v/>
      </c>
      <c r="Q26" s="1" t="str">
        <f t="shared" si="10"/>
        <v/>
      </c>
      <c r="R26" s="1" t="str">
        <f t="shared" si="11"/>
        <v/>
      </c>
      <c r="S26" s="1" t="str">
        <f t="shared" si="12"/>
        <v/>
      </c>
      <c r="T26" s="1" t="str">
        <f t="shared" si="13"/>
        <v/>
      </c>
      <c r="U26" s="1" t="str">
        <f t="shared" si="14"/>
        <v/>
      </c>
      <c r="V26" s="1" t="str">
        <f t="shared" si="15"/>
        <v/>
      </c>
      <c r="W26" s="26" t="str">
        <f t="shared" si="16"/>
        <v/>
      </c>
      <c r="X26" s="13" t="str">
        <f t="shared" si="17"/>
        <v/>
      </c>
      <c r="Y26" s="9">
        <f t="shared" si="18"/>
        <v>0</v>
      </c>
    </row>
    <row r="27" spans="1:25" x14ac:dyDescent="0.25">
      <c r="A27" s="28"/>
      <c r="B27" s="29"/>
      <c r="C27" s="30"/>
      <c r="D27" s="31"/>
      <c r="E27" s="29" t="s">
        <v>16</v>
      </c>
      <c r="F27" s="13" t="b">
        <f>IF($E27=Categories!$A$1,"",IF($E27=Categories!$A$2,Categories!$B$2,IF($E27=Categories!$A$3,Categories!$B$3,IF($E27=Categories!$A$4,Categories!$B$4,IF($E27=Categories!$A$5,Categories!$B$5,IF($E27=Categories!$A$6,Categories!$B$6,IF($E27=Categories!$A$7,Categories!$B$7,IF($E27=Categories!$A$8,Categories!$B$8,IF($E27=Categories!$A$9,Categories!$B$9,IF($E27=Categories!$A$10,Categories!$B$10,IF($E27=Categories!$A$11,Categories!$B$11,IF($E27=Categories!$A$12,Categories!$B$12,IF($E27=Categories!$A$13,Categories!$B$13,IF($E27=Categories!$A$14,Categories!$B$14,IF($E27=Categories!$A$15,Categories!$B$15,IF($E27=Categories!$A$16,Categories!$B$16,IF($E27=Categories!$A$17,Categories!$B$17,IF($E27=Categories!$A$18,Categories!$B$18,IF($E27=Categories!$A$19,Categories!$B$19)))))))))))))))))))</f>
        <v>0</v>
      </c>
      <c r="G27" s="9" t="str">
        <f t="shared" si="0"/>
        <v/>
      </c>
      <c r="H27" s="1" t="str">
        <f t="shared" si="1"/>
        <v/>
      </c>
      <c r="I27" s="1" t="str">
        <f t="shared" si="2"/>
        <v/>
      </c>
      <c r="J27" s="1" t="str">
        <f t="shared" si="3"/>
        <v/>
      </c>
      <c r="K27" s="13" t="str">
        <f t="shared" si="4"/>
        <v/>
      </c>
      <c r="L27" s="9" t="str">
        <f t="shared" si="5"/>
        <v/>
      </c>
      <c r="M27" s="1" t="str">
        <f t="shared" si="6"/>
        <v/>
      </c>
      <c r="N27" s="1" t="str">
        <f t="shared" si="7"/>
        <v/>
      </c>
      <c r="O27" s="1" t="str">
        <f t="shared" si="8"/>
        <v/>
      </c>
      <c r="P27" s="1" t="str">
        <f t="shared" si="9"/>
        <v/>
      </c>
      <c r="Q27" s="1" t="str">
        <f t="shared" si="10"/>
        <v/>
      </c>
      <c r="R27" s="1" t="str">
        <f t="shared" si="11"/>
        <v/>
      </c>
      <c r="S27" s="1" t="str">
        <f t="shared" si="12"/>
        <v/>
      </c>
      <c r="T27" s="1" t="str">
        <f t="shared" si="13"/>
        <v/>
      </c>
      <c r="U27" s="1" t="str">
        <f t="shared" si="14"/>
        <v/>
      </c>
      <c r="V27" s="1" t="str">
        <f t="shared" si="15"/>
        <v/>
      </c>
      <c r="W27" s="26" t="str">
        <f t="shared" si="16"/>
        <v/>
      </c>
      <c r="X27" s="13" t="str">
        <f t="shared" si="17"/>
        <v/>
      </c>
      <c r="Y27" s="9">
        <f t="shared" si="18"/>
        <v>0</v>
      </c>
    </row>
    <row r="28" spans="1:25" x14ac:dyDescent="0.25">
      <c r="A28" s="28"/>
      <c r="B28" s="29"/>
      <c r="C28" s="30"/>
      <c r="D28" s="31"/>
      <c r="E28" s="29" t="s">
        <v>16</v>
      </c>
      <c r="F28" s="13" t="b">
        <f>IF($E28=Categories!$A$1,"",IF($E28=Categories!$A$2,Categories!$B$2,IF($E28=Categories!$A$3,Categories!$B$3,IF($E28=Categories!$A$4,Categories!$B$4,IF($E28=Categories!$A$5,Categories!$B$5,IF($E28=Categories!$A$6,Categories!$B$6,IF($E28=Categories!$A$7,Categories!$B$7,IF($E28=Categories!$A$8,Categories!$B$8,IF($E28=Categories!$A$9,Categories!$B$9,IF($E28=Categories!$A$10,Categories!$B$10,IF($E28=Categories!$A$11,Categories!$B$11,IF($E28=Categories!$A$12,Categories!$B$12,IF($E28=Categories!$A$13,Categories!$B$13,IF($E28=Categories!$A$14,Categories!$B$14,IF($E28=Categories!$A$15,Categories!$B$15,IF($E28=Categories!$A$16,Categories!$B$16,IF($E28=Categories!$A$17,Categories!$B$17,IF($E28=Categories!$A$18,Categories!$B$18,IF($E28=Categories!$A$19,Categories!$B$19)))))))))))))))))))</f>
        <v>0</v>
      </c>
      <c r="G28" s="9" t="str">
        <f t="shared" si="0"/>
        <v/>
      </c>
      <c r="H28" s="1" t="str">
        <f t="shared" si="1"/>
        <v/>
      </c>
      <c r="I28" s="1" t="str">
        <f t="shared" si="2"/>
        <v/>
      </c>
      <c r="J28" s="1" t="str">
        <f t="shared" si="3"/>
        <v/>
      </c>
      <c r="K28" s="13" t="str">
        <f t="shared" si="4"/>
        <v/>
      </c>
      <c r="L28" s="9" t="str">
        <f t="shared" si="5"/>
        <v/>
      </c>
      <c r="M28" s="1" t="str">
        <f t="shared" si="6"/>
        <v/>
      </c>
      <c r="N28" s="1" t="str">
        <f t="shared" si="7"/>
        <v/>
      </c>
      <c r="O28" s="1" t="str">
        <f t="shared" si="8"/>
        <v/>
      </c>
      <c r="P28" s="1" t="str">
        <f t="shared" si="9"/>
        <v/>
      </c>
      <c r="Q28" s="1" t="str">
        <f t="shared" si="10"/>
        <v/>
      </c>
      <c r="R28" s="1" t="str">
        <f t="shared" si="11"/>
        <v/>
      </c>
      <c r="S28" s="1" t="str">
        <f t="shared" si="12"/>
        <v/>
      </c>
      <c r="T28" s="1" t="str">
        <f t="shared" si="13"/>
        <v/>
      </c>
      <c r="U28" s="1" t="str">
        <f t="shared" si="14"/>
        <v/>
      </c>
      <c r="V28" s="1" t="str">
        <f t="shared" si="15"/>
        <v/>
      </c>
      <c r="W28" s="26" t="str">
        <f t="shared" si="16"/>
        <v/>
      </c>
      <c r="X28" s="13" t="str">
        <f t="shared" si="17"/>
        <v/>
      </c>
      <c r="Y28" s="9">
        <f t="shared" si="18"/>
        <v>0</v>
      </c>
    </row>
    <row r="29" spans="1:25" x14ac:dyDescent="0.25">
      <c r="A29" s="28"/>
      <c r="B29" s="29"/>
      <c r="C29" s="30"/>
      <c r="D29" s="31"/>
      <c r="E29" s="29" t="s">
        <v>16</v>
      </c>
      <c r="F29" s="13" t="b">
        <f>IF($E29=Categories!$A$1,"",IF($E29=Categories!$A$2,Categories!$B$2,IF($E29=Categories!$A$3,Categories!$B$3,IF($E29=Categories!$A$4,Categories!$B$4,IF($E29=Categories!$A$5,Categories!$B$5,IF($E29=Categories!$A$6,Categories!$B$6,IF($E29=Categories!$A$7,Categories!$B$7,IF($E29=Categories!$A$8,Categories!$B$8,IF($E29=Categories!$A$9,Categories!$B$9,IF($E29=Categories!$A$10,Categories!$B$10,IF($E29=Categories!$A$11,Categories!$B$11,IF($E29=Categories!$A$12,Categories!$B$12,IF($E29=Categories!$A$13,Categories!$B$13,IF($E29=Categories!$A$14,Categories!$B$14,IF($E29=Categories!$A$15,Categories!$B$15,IF($E29=Categories!$A$16,Categories!$B$16,IF($E29=Categories!$A$17,Categories!$B$17,IF($E29=Categories!$A$18,Categories!$B$18,IF($E29=Categories!$A$19,Categories!$B$19)))))))))))))))))))</f>
        <v>0</v>
      </c>
      <c r="G29" s="9" t="str">
        <f t="shared" si="0"/>
        <v/>
      </c>
      <c r="H29" s="1" t="str">
        <f t="shared" si="1"/>
        <v/>
      </c>
      <c r="I29" s="1" t="str">
        <f t="shared" si="2"/>
        <v/>
      </c>
      <c r="J29" s="1" t="str">
        <f t="shared" si="3"/>
        <v/>
      </c>
      <c r="K29" s="13" t="str">
        <f t="shared" si="4"/>
        <v/>
      </c>
      <c r="L29" s="9" t="str">
        <f t="shared" si="5"/>
        <v/>
      </c>
      <c r="M29" s="1" t="str">
        <f t="shared" si="6"/>
        <v/>
      </c>
      <c r="N29" s="1" t="str">
        <f t="shared" si="7"/>
        <v/>
      </c>
      <c r="O29" s="1" t="str">
        <f t="shared" si="8"/>
        <v/>
      </c>
      <c r="P29" s="1" t="str">
        <f t="shared" si="9"/>
        <v/>
      </c>
      <c r="Q29" s="1" t="str">
        <f t="shared" si="10"/>
        <v/>
      </c>
      <c r="R29" s="1" t="str">
        <f t="shared" si="11"/>
        <v/>
      </c>
      <c r="S29" s="1" t="str">
        <f t="shared" si="12"/>
        <v/>
      </c>
      <c r="T29" s="1" t="str">
        <f t="shared" si="13"/>
        <v/>
      </c>
      <c r="U29" s="1" t="str">
        <f t="shared" si="14"/>
        <v/>
      </c>
      <c r="V29" s="1" t="str">
        <f t="shared" si="15"/>
        <v/>
      </c>
      <c r="W29" s="26" t="str">
        <f t="shared" si="16"/>
        <v/>
      </c>
      <c r="X29" s="13" t="str">
        <f t="shared" si="17"/>
        <v/>
      </c>
      <c r="Y29" s="9">
        <f t="shared" si="18"/>
        <v>0</v>
      </c>
    </row>
    <row r="30" spans="1:25" x14ac:dyDescent="0.25">
      <c r="A30" s="28"/>
      <c r="B30" s="29"/>
      <c r="C30" s="30"/>
      <c r="D30" s="31"/>
      <c r="E30" s="29" t="s">
        <v>16</v>
      </c>
      <c r="F30" s="13" t="b">
        <f>IF($E30=Categories!$A$1,"",IF($E30=Categories!$A$2,Categories!$B$2,IF($E30=Categories!$A$3,Categories!$B$3,IF($E30=Categories!$A$4,Categories!$B$4,IF($E30=Categories!$A$5,Categories!$B$5,IF($E30=Categories!$A$6,Categories!$B$6,IF($E30=Categories!$A$7,Categories!$B$7,IF($E30=Categories!$A$8,Categories!$B$8,IF($E30=Categories!$A$9,Categories!$B$9,IF($E30=Categories!$A$10,Categories!$B$10,IF($E30=Categories!$A$11,Categories!$B$11,IF($E30=Categories!$A$12,Categories!$B$12,IF($E30=Categories!$A$13,Categories!$B$13,IF($E30=Categories!$A$14,Categories!$B$14,IF($E30=Categories!$A$15,Categories!$B$15,IF($E30=Categories!$A$16,Categories!$B$16,IF($E30=Categories!$A$17,Categories!$B$17,IF($E30=Categories!$A$18,Categories!$B$18,IF($E30=Categories!$A$19,Categories!$B$19)))))))))))))))))))</f>
        <v>0</v>
      </c>
      <c r="G30" s="9" t="str">
        <f t="shared" si="0"/>
        <v/>
      </c>
      <c r="H30" s="1" t="str">
        <f t="shared" si="1"/>
        <v/>
      </c>
      <c r="I30" s="1" t="str">
        <f t="shared" si="2"/>
        <v/>
      </c>
      <c r="J30" s="1" t="str">
        <f t="shared" si="3"/>
        <v/>
      </c>
      <c r="K30" s="13" t="str">
        <f t="shared" si="4"/>
        <v/>
      </c>
      <c r="L30" s="9" t="str">
        <f t="shared" si="5"/>
        <v/>
      </c>
      <c r="M30" s="1" t="str">
        <f t="shared" si="6"/>
        <v/>
      </c>
      <c r="N30" s="1" t="str">
        <f t="shared" si="7"/>
        <v/>
      </c>
      <c r="O30" s="1" t="str">
        <f t="shared" si="8"/>
        <v/>
      </c>
      <c r="P30" s="1" t="str">
        <f t="shared" si="9"/>
        <v/>
      </c>
      <c r="Q30" s="1" t="str">
        <f t="shared" si="10"/>
        <v/>
      </c>
      <c r="R30" s="1" t="str">
        <f t="shared" si="11"/>
        <v/>
      </c>
      <c r="S30" s="1" t="str">
        <f t="shared" si="12"/>
        <v/>
      </c>
      <c r="T30" s="1" t="str">
        <f t="shared" si="13"/>
        <v/>
      </c>
      <c r="U30" s="1" t="str">
        <f t="shared" si="14"/>
        <v/>
      </c>
      <c r="V30" s="1" t="str">
        <f t="shared" si="15"/>
        <v/>
      </c>
      <c r="W30" s="26" t="str">
        <f t="shared" si="16"/>
        <v/>
      </c>
      <c r="X30" s="13" t="str">
        <f t="shared" si="17"/>
        <v/>
      </c>
      <c r="Y30" s="9">
        <f t="shared" si="18"/>
        <v>0</v>
      </c>
    </row>
    <row r="31" spans="1:25" x14ac:dyDescent="0.25">
      <c r="A31" s="28"/>
      <c r="B31" s="29"/>
      <c r="C31" s="30"/>
      <c r="D31" s="31"/>
      <c r="E31" s="29" t="s">
        <v>16</v>
      </c>
      <c r="F31" s="13" t="b">
        <f>IF($E31=Categories!$A$1,"",IF($E31=Categories!$A$2,Categories!$B$2,IF($E31=Categories!$A$3,Categories!$B$3,IF($E31=Categories!$A$4,Categories!$B$4,IF($E31=Categories!$A$5,Categories!$B$5,IF($E31=Categories!$A$6,Categories!$B$6,IF($E31=Categories!$A$7,Categories!$B$7,IF($E31=Categories!$A$8,Categories!$B$8,IF($E31=Categories!$A$9,Categories!$B$9,IF($E31=Categories!$A$10,Categories!$B$10,IF($E31=Categories!$A$11,Categories!$B$11,IF($E31=Categories!$A$12,Categories!$B$12,IF($E31=Categories!$A$13,Categories!$B$13,IF($E31=Categories!$A$14,Categories!$B$14,IF($E31=Categories!$A$15,Categories!$B$15,IF($E31=Categories!$A$16,Categories!$B$16,IF($E31=Categories!$A$17,Categories!$B$17,IF($E31=Categories!$A$18,Categories!$B$18,IF($E31=Categories!$A$19,Categories!$B$19)))))))))))))))))))</f>
        <v>0</v>
      </c>
      <c r="G31" s="9" t="str">
        <f t="shared" si="0"/>
        <v/>
      </c>
      <c r="H31" s="1" t="str">
        <f t="shared" si="1"/>
        <v/>
      </c>
      <c r="I31" s="1" t="str">
        <f t="shared" si="2"/>
        <v/>
      </c>
      <c r="J31" s="1" t="str">
        <f t="shared" si="3"/>
        <v/>
      </c>
      <c r="K31" s="13" t="str">
        <f t="shared" si="4"/>
        <v/>
      </c>
      <c r="L31" s="9" t="str">
        <f t="shared" si="5"/>
        <v/>
      </c>
      <c r="M31" s="1" t="str">
        <f t="shared" si="6"/>
        <v/>
      </c>
      <c r="N31" s="1" t="str">
        <f t="shared" si="7"/>
        <v/>
      </c>
      <c r="O31" s="1" t="str">
        <f t="shared" si="8"/>
        <v/>
      </c>
      <c r="P31" s="1" t="str">
        <f t="shared" si="9"/>
        <v/>
      </c>
      <c r="Q31" s="1" t="str">
        <f t="shared" si="10"/>
        <v/>
      </c>
      <c r="R31" s="1" t="str">
        <f t="shared" si="11"/>
        <v/>
      </c>
      <c r="S31" s="1" t="str">
        <f t="shared" si="12"/>
        <v/>
      </c>
      <c r="T31" s="1" t="str">
        <f t="shared" si="13"/>
        <v/>
      </c>
      <c r="U31" s="1" t="str">
        <f t="shared" si="14"/>
        <v/>
      </c>
      <c r="V31" s="1" t="str">
        <f t="shared" si="15"/>
        <v/>
      </c>
      <c r="W31" s="26" t="str">
        <f t="shared" si="16"/>
        <v/>
      </c>
      <c r="X31" s="13" t="str">
        <f t="shared" si="17"/>
        <v/>
      </c>
      <c r="Y31" s="9">
        <f t="shared" si="18"/>
        <v>0</v>
      </c>
    </row>
    <row r="32" spans="1:25" x14ac:dyDescent="0.25">
      <c r="A32" s="28"/>
      <c r="B32" s="29"/>
      <c r="C32" s="30"/>
      <c r="D32" s="31"/>
      <c r="E32" s="29" t="s">
        <v>16</v>
      </c>
      <c r="F32" s="13" t="b">
        <f>IF($E32=Categories!$A$1,"",IF($E32=Categories!$A$2,Categories!$B$2,IF($E32=Categories!$A$3,Categories!$B$3,IF($E32=Categories!$A$4,Categories!$B$4,IF($E32=Categories!$A$5,Categories!$B$5,IF($E32=Categories!$A$6,Categories!$B$6,IF($E32=Categories!$A$7,Categories!$B$7,IF($E32=Categories!$A$8,Categories!$B$8,IF($E32=Categories!$A$9,Categories!$B$9,IF($E32=Categories!$A$10,Categories!$B$10,IF($E32=Categories!$A$11,Categories!$B$11,IF($E32=Categories!$A$12,Categories!$B$12,IF($E32=Categories!$A$13,Categories!$B$13,IF($E32=Categories!$A$14,Categories!$B$14,IF($E32=Categories!$A$15,Categories!$B$15,IF($E32=Categories!$A$16,Categories!$B$16,IF($E32=Categories!$A$17,Categories!$B$17,IF($E32=Categories!$A$18,Categories!$B$18,IF($E32=Categories!$A$19,Categories!$B$19)))))))))))))))))))</f>
        <v>0</v>
      </c>
      <c r="G32" s="9" t="str">
        <f t="shared" si="0"/>
        <v/>
      </c>
      <c r="H32" s="1" t="str">
        <f t="shared" si="1"/>
        <v/>
      </c>
      <c r="I32" s="1" t="str">
        <f t="shared" si="2"/>
        <v/>
      </c>
      <c r="J32" s="1" t="str">
        <f t="shared" si="3"/>
        <v/>
      </c>
      <c r="K32" s="13" t="str">
        <f t="shared" si="4"/>
        <v/>
      </c>
      <c r="L32" s="9" t="str">
        <f t="shared" si="5"/>
        <v/>
      </c>
      <c r="M32" s="1" t="str">
        <f t="shared" si="6"/>
        <v/>
      </c>
      <c r="N32" s="1" t="str">
        <f t="shared" si="7"/>
        <v/>
      </c>
      <c r="O32" s="1" t="str">
        <f t="shared" si="8"/>
        <v/>
      </c>
      <c r="P32" s="1" t="str">
        <f t="shared" si="9"/>
        <v/>
      </c>
      <c r="Q32" s="1" t="str">
        <f t="shared" si="10"/>
        <v/>
      </c>
      <c r="R32" s="1" t="str">
        <f t="shared" si="11"/>
        <v/>
      </c>
      <c r="S32" s="1" t="str">
        <f t="shared" si="12"/>
        <v/>
      </c>
      <c r="T32" s="1" t="str">
        <f t="shared" si="13"/>
        <v/>
      </c>
      <c r="U32" s="1" t="str">
        <f t="shared" si="14"/>
        <v/>
      </c>
      <c r="V32" s="1" t="str">
        <f t="shared" si="15"/>
        <v/>
      </c>
      <c r="W32" s="26" t="str">
        <f t="shared" si="16"/>
        <v/>
      </c>
      <c r="X32" s="13" t="str">
        <f t="shared" si="17"/>
        <v/>
      </c>
      <c r="Y32" s="9">
        <f t="shared" si="18"/>
        <v>0</v>
      </c>
    </row>
    <row r="33" spans="1:25" x14ac:dyDescent="0.25">
      <c r="A33" s="28"/>
      <c r="B33" s="29"/>
      <c r="C33" s="30"/>
      <c r="D33" s="31"/>
      <c r="E33" s="29" t="s">
        <v>16</v>
      </c>
      <c r="F33" s="13" t="b">
        <f>IF($E33=Categories!$A$1,"",IF($E33=Categories!$A$2,Categories!$B$2,IF($E33=Categories!$A$3,Categories!$B$3,IF($E33=Categories!$A$4,Categories!$B$4,IF($E33=Categories!$A$5,Categories!$B$5,IF($E33=Categories!$A$6,Categories!$B$6,IF($E33=Categories!$A$7,Categories!$B$7,IF($E33=Categories!$A$8,Categories!$B$8,IF($E33=Categories!$A$9,Categories!$B$9,IF($E33=Categories!$A$10,Categories!$B$10,IF($E33=Categories!$A$11,Categories!$B$11,IF($E33=Categories!$A$12,Categories!$B$12,IF($E33=Categories!$A$13,Categories!$B$13,IF($E33=Categories!$A$14,Categories!$B$14,IF($E33=Categories!$A$15,Categories!$B$15,IF($E33=Categories!$A$16,Categories!$B$16,IF($E33=Categories!$A$17,Categories!$B$17,IF($E33=Categories!$A$18,Categories!$B$18,IF($E33=Categories!$A$19,Categories!$B$19)))))))))))))))))))</f>
        <v>0</v>
      </c>
      <c r="G33" s="9" t="str">
        <f t="shared" si="0"/>
        <v/>
      </c>
      <c r="H33" s="1" t="str">
        <f t="shared" si="1"/>
        <v/>
      </c>
      <c r="I33" s="1" t="str">
        <f t="shared" si="2"/>
        <v/>
      </c>
      <c r="J33" s="1" t="str">
        <f t="shared" si="3"/>
        <v/>
      </c>
      <c r="K33" s="13" t="str">
        <f t="shared" si="4"/>
        <v/>
      </c>
      <c r="L33" s="9" t="str">
        <f t="shared" si="5"/>
        <v/>
      </c>
      <c r="M33" s="1" t="str">
        <f t="shared" si="6"/>
        <v/>
      </c>
      <c r="N33" s="1" t="str">
        <f t="shared" si="7"/>
        <v/>
      </c>
      <c r="O33" s="1" t="str">
        <f t="shared" si="8"/>
        <v/>
      </c>
      <c r="P33" s="1" t="str">
        <f t="shared" si="9"/>
        <v/>
      </c>
      <c r="Q33" s="1" t="str">
        <f t="shared" si="10"/>
        <v/>
      </c>
      <c r="R33" s="1" t="str">
        <f t="shared" si="11"/>
        <v/>
      </c>
      <c r="S33" s="1" t="str">
        <f t="shared" si="12"/>
        <v/>
      </c>
      <c r="T33" s="1" t="str">
        <f t="shared" si="13"/>
        <v/>
      </c>
      <c r="U33" s="1" t="str">
        <f t="shared" si="14"/>
        <v/>
      </c>
      <c r="V33" s="1" t="str">
        <f t="shared" si="15"/>
        <v/>
      </c>
      <c r="W33" s="26" t="str">
        <f t="shared" si="16"/>
        <v/>
      </c>
      <c r="X33" s="13" t="str">
        <f t="shared" si="17"/>
        <v/>
      </c>
      <c r="Y33" s="9">
        <f t="shared" si="18"/>
        <v>0</v>
      </c>
    </row>
    <row r="34" spans="1:25" x14ac:dyDescent="0.25">
      <c r="A34" s="28"/>
      <c r="B34" s="29"/>
      <c r="C34" s="30"/>
      <c r="D34" s="31"/>
      <c r="E34" s="29" t="s">
        <v>16</v>
      </c>
      <c r="F34" s="13" t="b">
        <f>IF($E34=Categories!$A$1,"",IF($E34=Categories!$A$2,Categories!$B$2,IF($E34=Categories!$A$3,Categories!$B$3,IF($E34=Categories!$A$4,Categories!$B$4,IF($E34=Categories!$A$5,Categories!$B$5,IF($E34=Categories!$A$6,Categories!$B$6,IF($E34=Categories!$A$7,Categories!$B$7,IF($E34=Categories!$A$8,Categories!$B$8,IF($E34=Categories!$A$9,Categories!$B$9,IF($E34=Categories!$A$10,Categories!$B$10,IF($E34=Categories!$A$11,Categories!$B$11,IF($E34=Categories!$A$12,Categories!$B$12,IF($E34=Categories!$A$13,Categories!$B$13,IF($E34=Categories!$A$14,Categories!$B$14,IF($E34=Categories!$A$15,Categories!$B$15,IF($E34=Categories!$A$16,Categories!$B$16,IF($E34=Categories!$A$17,Categories!$B$17,IF($E34=Categories!$A$18,Categories!$B$18,IF($E34=Categories!$A$19,Categories!$B$19)))))))))))))))))))</f>
        <v>0</v>
      </c>
      <c r="G34" s="9" t="str">
        <f t="shared" si="0"/>
        <v/>
      </c>
      <c r="H34" s="1" t="str">
        <f t="shared" si="1"/>
        <v/>
      </c>
      <c r="I34" s="1" t="str">
        <f t="shared" si="2"/>
        <v/>
      </c>
      <c r="J34" s="1" t="str">
        <f t="shared" si="3"/>
        <v/>
      </c>
      <c r="K34" s="13" t="str">
        <f t="shared" si="4"/>
        <v/>
      </c>
      <c r="L34" s="9" t="str">
        <f t="shared" si="5"/>
        <v/>
      </c>
      <c r="M34" s="1" t="str">
        <f t="shared" si="6"/>
        <v/>
      </c>
      <c r="N34" s="1" t="str">
        <f t="shared" si="7"/>
        <v/>
      </c>
      <c r="O34" s="1" t="str">
        <f t="shared" si="8"/>
        <v/>
      </c>
      <c r="P34" s="1" t="str">
        <f t="shared" si="9"/>
        <v/>
      </c>
      <c r="Q34" s="1" t="str">
        <f t="shared" si="10"/>
        <v/>
      </c>
      <c r="R34" s="1" t="str">
        <f t="shared" si="11"/>
        <v/>
      </c>
      <c r="S34" s="1" t="str">
        <f t="shared" si="12"/>
        <v/>
      </c>
      <c r="T34" s="1" t="str">
        <f t="shared" si="13"/>
        <v/>
      </c>
      <c r="U34" s="1" t="str">
        <f t="shared" si="14"/>
        <v/>
      </c>
      <c r="V34" s="1" t="str">
        <f t="shared" si="15"/>
        <v/>
      </c>
      <c r="W34" s="26" t="str">
        <f t="shared" si="16"/>
        <v/>
      </c>
      <c r="X34" s="13" t="str">
        <f t="shared" si="17"/>
        <v/>
      </c>
      <c r="Y34" s="9">
        <f t="shared" si="18"/>
        <v>0</v>
      </c>
    </row>
    <row r="35" spans="1:25" x14ac:dyDescent="0.25">
      <c r="A35" s="28"/>
      <c r="B35" s="29"/>
      <c r="C35" s="30"/>
      <c r="D35" s="31"/>
      <c r="E35" s="29" t="s">
        <v>16</v>
      </c>
      <c r="F35" s="13" t="b">
        <f>IF($E35=Categories!$A$1,"",IF($E35=Categories!$A$2,Categories!$B$2,IF($E35=Categories!$A$3,Categories!$B$3,IF($E35=Categories!$A$4,Categories!$B$4,IF($E35=Categories!$A$5,Categories!$B$5,IF($E35=Categories!$A$6,Categories!$B$6,IF($E35=Categories!$A$7,Categories!$B$7,IF($E35=Categories!$A$8,Categories!$B$8,IF($E35=Categories!$A$9,Categories!$B$9,IF($E35=Categories!$A$10,Categories!$B$10,IF($E35=Categories!$A$11,Categories!$B$11,IF($E35=Categories!$A$12,Categories!$B$12,IF($E35=Categories!$A$13,Categories!$B$13,IF($E35=Categories!$A$14,Categories!$B$14,IF($E35=Categories!$A$15,Categories!$B$15,IF($E35=Categories!$A$16,Categories!$B$16,IF($E35=Categories!$A$17,Categories!$B$17,IF($E35=Categories!$A$18,Categories!$B$18,IF($E35=Categories!$A$19,Categories!$B$19)))))))))))))))))))</f>
        <v>0</v>
      </c>
      <c r="G35" s="9" t="str">
        <f t="shared" si="0"/>
        <v/>
      </c>
      <c r="H35" s="1" t="str">
        <f t="shared" si="1"/>
        <v/>
      </c>
      <c r="I35" s="1" t="str">
        <f t="shared" si="2"/>
        <v/>
      </c>
      <c r="J35" s="1" t="str">
        <f t="shared" si="3"/>
        <v/>
      </c>
      <c r="K35" s="13" t="str">
        <f t="shared" si="4"/>
        <v/>
      </c>
      <c r="L35" s="9" t="str">
        <f t="shared" si="5"/>
        <v/>
      </c>
      <c r="M35" s="1" t="str">
        <f t="shared" si="6"/>
        <v/>
      </c>
      <c r="N35" s="1" t="str">
        <f t="shared" si="7"/>
        <v/>
      </c>
      <c r="O35" s="1" t="str">
        <f t="shared" si="8"/>
        <v/>
      </c>
      <c r="P35" s="1" t="str">
        <f t="shared" si="9"/>
        <v/>
      </c>
      <c r="Q35" s="1" t="str">
        <f t="shared" si="10"/>
        <v/>
      </c>
      <c r="R35" s="1" t="str">
        <f t="shared" si="11"/>
        <v/>
      </c>
      <c r="S35" s="1" t="str">
        <f t="shared" si="12"/>
        <v/>
      </c>
      <c r="T35" s="1" t="str">
        <f t="shared" si="13"/>
        <v/>
      </c>
      <c r="U35" s="1" t="str">
        <f t="shared" si="14"/>
        <v/>
      </c>
      <c r="V35" s="1" t="str">
        <f t="shared" si="15"/>
        <v/>
      </c>
      <c r="W35" s="26" t="str">
        <f t="shared" si="16"/>
        <v/>
      </c>
      <c r="X35" s="13" t="str">
        <f t="shared" si="17"/>
        <v/>
      </c>
      <c r="Y35" s="9">
        <f t="shared" si="18"/>
        <v>0</v>
      </c>
    </row>
    <row r="36" spans="1:25" x14ac:dyDescent="0.25">
      <c r="A36" s="28"/>
      <c r="B36" s="29"/>
      <c r="C36" s="30"/>
      <c r="D36" s="31"/>
      <c r="E36" s="29" t="s">
        <v>16</v>
      </c>
      <c r="F36" s="13" t="b">
        <f>IF($E36=Categories!$A$1,"",IF($E36=Categories!$A$2,Categories!$B$2,IF($E36=Categories!$A$3,Categories!$B$3,IF($E36=Categories!$A$4,Categories!$B$4,IF($E36=Categories!$A$5,Categories!$B$5,IF($E36=Categories!$A$6,Categories!$B$6,IF($E36=Categories!$A$7,Categories!$B$7,IF($E36=Categories!$A$8,Categories!$B$8,IF($E36=Categories!$A$9,Categories!$B$9,IF($E36=Categories!$A$10,Categories!$B$10,IF($E36=Categories!$A$11,Categories!$B$11,IF($E36=Categories!$A$12,Categories!$B$12,IF($E36=Categories!$A$13,Categories!$B$13,IF($E36=Categories!$A$14,Categories!$B$14,IF($E36=Categories!$A$15,Categories!$B$15,IF($E36=Categories!$A$16,Categories!$B$16,IF($E36=Categories!$A$17,Categories!$B$17,IF($E36=Categories!$A$18,Categories!$B$18,IF($E36=Categories!$A$19,Categories!$B$19)))))))))))))))))))</f>
        <v>0</v>
      </c>
      <c r="G36" s="9" t="str">
        <f t="shared" si="0"/>
        <v/>
      </c>
      <c r="H36" s="1" t="str">
        <f t="shared" si="1"/>
        <v/>
      </c>
      <c r="I36" s="1" t="str">
        <f t="shared" si="2"/>
        <v/>
      </c>
      <c r="J36" s="1" t="str">
        <f t="shared" si="3"/>
        <v/>
      </c>
      <c r="K36" s="13" t="str">
        <f t="shared" si="4"/>
        <v/>
      </c>
      <c r="L36" s="9" t="str">
        <f t="shared" si="5"/>
        <v/>
      </c>
      <c r="M36" s="1" t="str">
        <f t="shared" si="6"/>
        <v/>
      </c>
      <c r="N36" s="1" t="str">
        <f t="shared" si="7"/>
        <v/>
      </c>
      <c r="O36" s="1" t="str">
        <f t="shared" si="8"/>
        <v/>
      </c>
      <c r="P36" s="1" t="str">
        <f t="shared" si="9"/>
        <v/>
      </c>
      <c r="Q36" s="1" t="str">
        <f t="shared" si="10"/>
        <v/>
      </c>
      <c r="R36" s="1" t="str">
        <f t="shared" si="11"/>
        <v/>
      </c>
      <c r="S36" s="1" t="str">
        <f t="shared" si="12"/>
        <v/>
      </c>
      <c r="T36" s="1" t="str">
        <f t="shared" si="13"/>
        <v/>
      </c>
      <c r="U36" s="1" t="str">
        <f t="shared" si="14"/>
        <v/>
      </c>
      <c r="V36" s="1" t="str">
        <f t="shared" si="15"/>
        <v/>
      </c>
      <c r="W36" s="26" t="str">
        <f t="shared" si="16"/>
        <v/>
      </c>
      <c r="X36" s="13" t="str">
        <f t="shared" si="17"/>
        <v/>
      </c>
      <c r="Y36" s="9">
        <f t="shared" si="18"/>
        <v>0</v>
      </c>
    </row>
    <row r="37" spans="1:25" x14ac:dyDescent="0.25">
      <c r="A37" s="28"/>
      <c r="B37" s="29"/>
      <c r="C37" s="30"/>
      <c r="D37" s="31"/>
      <c r="E37" s="29" t="s">
        <v>16</v>
      </c>
      <c r="F37" s="13" t="b">
        <f>IF($E37=Categories!$A$1,"",IF($E37=Categories!$A$2,Categories!$B$2,IF($E37=Categories!$A$3,Categories!$B$3,IF($E37=Categories!$A$4,Categories!$B$4,IF($E37=Categories!$A$5,Categories!$B$5,IF($E37=Categories!$A$6,Categories!$B$6,IF($E37=Categories!$A$7,Categories!$B$7,IF($E37=Categories!$A$8,Categories!$B$8,IF($E37=Categories!$A$9,Categories!$B$9,IF($E37=Categories!$A$10,Categories!$B$10,IF($E37=Categories!$A$11,Categories!$B$11,IF($E37=Categories!$A$12,Categories!$B$12,IF($E37=Categories!$A$13,Categories!$B$13,IF($E37=Categories!$A$14,Categories!$B$14,IF($E37=Categories!$A$15,Categories!$B$15,IF($E37=Categories!$A$16,Categories!$B$16,IF($E37=Categories!$A$17,Categories!$B$17,IF($E37=Categories!$A$18,Categories!$B$18,IF($E37=Categories!$A$19,Categories!$B$19)))))))))))))))))))</f>
        <v>0</v>
      </c>
      <c r="G37" s="9" t="str">
        <f t="shared" si="0"/>
        <v/>
      </c>
      <c r="H37" s="1" t="str">
        <f t="shared" si="1"/>
        <v/>
      </c>
      <c r="I37" s="1" t="str">
        <f t="shared" si="2"/>
        <v/>
      </c>
      <c r="J37" s="1" t="str">
        <f t="shared" si="3"/>
        <v/>
      </c>
      <c r="K37" s="13" t="str">
        <f t="shared" si="4"/>
        <v/>
      </c>
      <c r="L37" s="9" t="str">
        <f t="shared" si="5"/>
        <v/>
      </c>
      <c r="M37" s="1" t="str">
        <f t="shared" si="6"/>
        <v/>
      </c>
      <c r="N37" s="1" t="str">
        <f t="shared" si="7"/>
        <v/>
      </c>
      <c r="O37" s="1" t="str">
        <f t="shared" si="8"/>
        <v/>
      </c>
      <c r="P37" s="1" t="str">
        <f t="shared" si="9"/>
        <v/>
      </c>
      <c r="Q37" s="1" t="str">
        <f t="shared" si="10"/>
        <v/>
      </c>
      <c r="R37" s="1" t="str">
        <f t="shared" si="11"/>
        <v/>
      </c>
      <c r="S37" s="1" t="str">
        <f t="shared" si="12"/>
        <v/>
      </c>
      <c r="T37" s="1" t="str">
        <f t="shared" si="13"/>
        <v/>
      </c>
      <c r="U37" s="1" t="str">
        <f t="shared" si="14"/>
        <v/>
      </c>
      <c r="V37" s="1" t="str">
        <f t="shared" si="15"/>
        <v/>
      </c>
      <c r="W37" s="26" t="str">
        <f t="shared" si="16"/>
        <v/>
      </c>
      <c r="X37" s="13" t="str">
        <f t="shared" si="17"/>
        <v/>
      </c>
      <c r="Y37" s="9">
        <f t="shared" si="18"/>
        <v>0</v>
      </c>
    </row>
    <row r="38" spans="1:25" x14ac:dyDescent="0.25">
      <c r="A38" s="28"/>
      <c r="B38" s="29"/>
      <c r="C38" s="30"/>
      <c r="D38" s="31"/>
      <c r="E38" s="29" t="s">
        <v>16</v>
      </c>
      <c r="F38" s="13" t="b">
        <f>IF($E38=Categories!$A$1,"",IF($E38=Categories!$A$2,Categories!$B$2,IF($E38=Categories!$A$3,Categories!$B$3,IF($E38=Categories!$A$4,Categories!$B$4,IF($E38=Categories!$A$5,Categories!$B$5,IF($E38=Categories!$A$6,Categories!$B$6,IF($E38=Categories!$A$7,Categories!$B$7,IF($E38=Categories!$A$8,Categories!$B$8,IF($E38=Categories!$A$9,Categories!$B$9,IF($E38=Categories!$A$10,Categories!$B$10,IF($E38=Categories!$A$11,Categories!$B$11,IF($E38=Categories!$A$12,Categories!$B$12,IF($E38=Categories!$A$13,Categories!$B$13,IF($E38=Categories!$A$14,Categories!$B$14,IF($E38=Categories!$A$15,Categories!$B$15,IF($E38=Categories!$A$16,Categories!$B$16,IF($E38=Categories!$A$17,Categories!$B$17,IF($E38=Categories!$A$18,Categories!$B$18,IF($E38=Categories!$A$19,Categories!$B$19)))))))))))))))))))</f>
        <v>0</v>
      </c>
      <c r="G38" s="9" t="str">
        <f t="shared" si="0"/>
        <v/>
      </c>
      <c r="H38" s="1" t="str">
        <f t="shared" si="1"/>
        <v/>
      </c>
      <c r="I38" s="1" t="str">
        <f t="shared" si="2"/>
        <v/>
      </c>
      <c r="J38" s="1" t="str">
        <f t="shared" si="3"/>
        <v/>
      </c>
      <c r="K38" s="13" t="str">
        <f t="shared" si="4"/>
        <v/>
      </c>
      <c r="L38" s="9" t="str">
        <f t="shared" si="5"/>
        <v/>
      </c>
      <c r="M38" s="1" t="str">
        <f t="shared" si="6"/>
        <v/>
      </c>
      <c r="N38" s="1" t="str">
        <f t="shared" si="7"/>
        <v/>
      </c>
      <c r="O38" s="1" t="str">
        <f t="shared" si="8"/>
        <v/>
      </c>
      <c r="P38" s="1" t="str">
        <f t="shared" si="9"/>
        <v/>
      </c>
      <c r="Q38" s="1" t="str">
        <f t="shared" si="10"/>
        <v/>
      </c>
      <c r="R38" s="1" t="str">
        <f t="shared" si="11"/>
        <v/>
      </c>
      <c r="S38" s="1" t="str">
        <f t="shared" si="12"/>
        <v/>
      </c>
      <c r="T38" s="1" t="str">
        <f t="shared" si="13"/>
        <v/>
      </c>
      <c r="U38" s="1" t="str">
        <f t="shared" si="14"/>
        <v/>
      </c>
      <c r="V38" s="1" t="str">
        <f t="shared" si="15"/>
        <v/>
      </c>
      <c r="W38" s="26" t="str">
        <f t="shared" si="16"/>
        <v/>
      </c>
      <c r="X38" s="13" t="str">
        <f t="shared" si="17"/>
        <v/>
      </c>
      <c r="Y38" s="9">
        <f t="shared" si="18"/>
        <v>0</v>
      </c>
    </row>
    <row r="39" spans="1:25" x14ac:dyDescent="0.25">
      <c r="A39" s="28"/>
      <c r="B39" s="29"/>
      <c r="C39" s="30"/>
      <c r="D39" s="31"/>
      <c r="E39" s="29" t="s">
        <v>16</v>
      </c>
      <c r="F39" s="13" t="b">
        <f>IF($E39=Categories!$A$1,"",IF($E39=Categories!$A$2,Categories!$B$2,IF($E39=Categories!$A$3,Categories!$B$3,IF($E39=Categories!$A$4,Categories!$B$4,IF($E39=Categories!$A$5,Categories!$B$5,IF($E39=Categories!$A$6,Categories!$B$6,IF($E39=Categories!$A$7,Categories!$B$7,IF($E39=Categories!$A$8,Categories!$B$8,IF($E39=Categories!$A$9,Categories!$B$9,IF($E39=Categories!$A$10,Categories!$B$10,IF($E39=Categories!$A$11,Categories!$B$11,IF($E39=Categories!$A$12,Categories!$B$12,IF($E39=Categories!$A$13,Categories!$B$13,IF($E39=Categories!$A$14,Categories!$B$14,IF($E39=Categories!$A$15,Categories!$B$15,IF($E39=Categories!$A$16,Categories!$B$16,IF($E39=Categories!$A$17,Categories!$B$17,IF($E39=Categories!$A$18,Categories!$B$18,IF($E39=Categories!$A$19,Categories!$B$19)))))))))))))))))))</f>
        <v>0</v>
      </c>
      <c r="G39" s="9" t="str">
        <f t="shared" si="0"/>
        <v/>
      </c>
      <c r="H39" s="1" t="str">
        <f t="shared" si="1"/>
        <v/>
      </c>
      <c r="I39" s="1" t="str">
        <f t="shared" si="2"/>
        <v/>
      </c>
      <c r="J39" s="1" t="str">
        <f t="shared" si="3"/>
        <v/>
      </c>
      <c r="K39" s="13" t="str">
        <f t="shared" si="4"/>
        <v/>
      </c>
      <c r="L39" s="9" t="str">
        <f t="shared" si="5"/>
        <v/>
      </c>
      <c r="M39" s="1" t="str">
        <f t="shared" si="6"/>
        <v/>
      </c>
      <c r="N39" s="1" t="str">
        <f t="shared" si="7"/>
        <v/>
      </c>
      <c r="O39" s="1" t="str">
        <f t="shared" si="8"/>
        <v/>
      </c>
      <c r="P39" s="1" t="str">
        <f t="shared" si="9"/>
        <v/>
      </c>
      <c r="Q39" s="1" t="str">
        <f t="shared" si="10"/>
        <v/>
      </c>
      <c r="R39" s="1" t="str">
        <f t="shared" si="11"/>
        <v/>
      </c>
      <c r="S39" s="1" t="str">
        <f t="shared" si="12"/>
        <v/>
      </c>
      <c r="T39" s="1" t="str">
        <f t="shared" si="13"/>
        <v/>
      </c>
      <c r="U39" s="1" t="str">
        <f t="shared" si="14"/>
        <v/>
      </c>
      <c r="V39" s="1" t="str">
        <f t="shared" si="15"/>
        <v/>
      </c>
      <c r="W39" s="26" t="str">
        <f t="shared" si="16"/>
        <v/>
      </c>
      <c r="X39" s="13" t="str">
        <f t="shared" si="17"/>
        <v/>
      </c>
      <c r="Y39" s="9">
        <f t="shared" si="18"/>
        <v>0</v>
      </c>
    </row>
    <row r="40" spans="1:25" x14ac:dyDescent="0.25">
      <c r="A40" s="28"/>
      <c r="B40" s="29"/>
      <c r="C40" s="30"/>
      <c r="D40" s="31"/>
      <c r="E40" s="29" t="s">
        <v>16</v>
      </c>
      <c r="F40" s="13" t="b">
        <f>IF($E40=Categories!$A$1,"",IF($E40=Categories!$A$2,Categories!$B$2,IF($E40=Categories!$A$3,Categories!$B$3,IF($E40=Categories!$A$4,Categories!$B$4,IF($E40=Categories!$A$5,Categories!$B$5,IF($E40=Categories!$A$6,Categories!$B$6,IF($E40=Categories!$A$7,Categories!$B$7,IF($E40=Categories!$A$8,Categories!$B$8,IF($E40=Categories!$A$9,Categories!$B$9,IF($E40=Categories!$A$10,Categories!$B$10,IF($E40=Categories!$A$11,Categories!$B$11,IF($E40=Categories!$A$12,Categories!$B$12,IF($E40=Categories!$A$13,Categories!$B$13,IF($E40=Categories!$A$14,Categories!$B$14,IF($E40=Categories!$A$15,Categories!$B$15,IF($E40=Categories!$A$16,Categories!$B$16,IF($E40=Categories!$A$17,Categories!$B$17,IF($E40=Categories!$A$18,Categories!$B$18,IF($E40=Categories!$A$19,Categories!$B$19)))))))))))))))))))</f>
        <v>0</v>
      </c>
      <c r="G40" s="9" t="str">
        <f t="shared" si="0"/>
        <v/>
      </c>
      <c r="H40" s="1" t="str">
        <f t="shared" si="1"/>
        <v/>
      </c>
      <c r="I40" s="1" t="str">
        <f t="shared" si="2"/>
        <v/>
      </c>
      <c r="J40" s="1" t="str">
        <f t="shared" si="3"/>
        <v/>
      </c>
      <c r="K40" s="13" t="str">
        <f t="shared" si="4"/>
        <v/>
      </c>
      <c r="L40" s="9" t="str">
        <f t="shared" si="5"/>
        <v/>
      </c>
      <c r="M40" s="1" t="str">
        <f t="shared" si="6"/>
        <v/>
      </c>
      <c r="N40" s="1" t="str">
        <f t="shared" si="7"/>
        <v/>
      </c>
      <c r="O40" s="1" t="str">
        <f t="shared" si="8"/>
        <v/>
      </c>
      <c r="P40" s="1" t="str">
        <f t="shared" si="9"/>
        <v/>
      </c>
      <c r="Q40" s="1" t="str">
        <f t="shared" si="10"/>
        <v/>
      </c>
      <c r="R40" s="1" t="str">
        <f t="shared" si="11"/>
        <v/>
      </c>
      <c r="S40" s="1" t="str">
        <f t="shared" si="12"/>
        <v/>
      </c>
      <c r="T40" s="1" t="str">
        <f t="shared" si="13"/>
        <v/>
      </c>
      <c r="U40" s="1" t="str">
        <f t="shared" si="14"/>
        <v/>
      </c>
      <c r="V40" s="1" t="str">
        <f t="shared" si="15"/>
        <v/>
      </c>
      <c r="W40" s="26" t="str">
        <f t="shared" si="16"/>
        <v/>
      </c>
      <c r="X40" s="13" t="str">
        <f t="shared" si="17"/>
        <v/>
      </c>
      <c r="Y40" s="9">
        <f t="shared" si="18"/>
        <v>0</v>
      </c>
    </row>
    <row r="41" spans="1:25" x14ac:dyDescent="0.25">
      <c r="A41" s="28"/>
      <c r="B41" s="29"/>
      <c r="C41" s="30"/>
      <c r="D41" s="31"/>
      <c r="E41" s="29" t="s">
        <v>16</v>
      </c>
      <c r="F41" s="13" t="b">
        <f>IF($E41=Categories!$A$1,"",IF($E41=Categories!$A$2,Categories!$B$2,IF($E41=Categories!$A$3,Categories!$B$3,IF($E41=Categories!$A$4,Categories!$B$4,IF($E41=Categories!$A$5,Categories!$B$5,IF($E41=Categories!$A$6,Categories!$B$6,IF($E41=Categories!$A$7,Categories!$B$7,IF($E41=Categories!$A$8,Categories!$B$8,IF($E41=Categories!$A$9,Categories!$B$9,IF($E41=Categories!$A$10,Categories!$B$10,IF($E41=Categories!$A$11,Categories!$B$11,IF($E41=Categories!$A$12,Categories!$B$12,IF($E41=Categories!$A$13,Categories!$B$13,IF($E41=Categories!$A$14,Categories!$B$14,IF($E41=Categories!$A$15,Categories!$B$15,IF($E41=Categories!$A$16,Categories!$B$16,IF($E41=Categories!$A$17,Categories!$B$17,IF($E41=Categories!$A$18,Categories!$B$18,IF($E41=Categories!$A$19,Categories!$B$19)))))))))))))))))))</f>
        <v>0</v>
      </c>
      <c r="G41" s="9" t="str">
        <f t="shared" si="0"/>
        <v/>
      </c>
      <c r="H41" s="1" t="str">
        <f t="shared" si="1"/>
        <v/>
      </c>
      <c r="I41" s="1" t="str">
        <f t="shared" si="2"/>
        <v/>
      </c>
      <c r="J41" s="1" t="str">
        <f t="shared" si="3"/>
        <v/>
      </c>
      <c r="K41" s="13" t="str">
        <f t="shared" si="4"/>
        <v/>
      </c>
      <c r="L41" s="9" t="str">
        <f t="shared" si="5"/>
        <v/>
      </c>
      <c r="M41" s="1" t="str">
        <f t="shared" si="6"/>
        <v/>
      </c>
      <c r="N41" s="1" t="str">
        <f t="shared" si="7"/>
        <v/>
      </c>
      <c r="O41" s="1" t="str">
        <f t="shared" si="8"/>
        <v/>
      </c>
      <c r="P41" s="1" t="str">
        <f t="shared" si="9"/>
        <v/>
      </c>
      <c r="Q41" s="1" t="str">
        <f t="shared" si="10"/>
        <v/>
      </c>
      <c r="R41" s="1" t="str">
        <f t="shared" si="11"/>
        <v/>
      </c>
      <c r="S41" s="1" t="str">
        <f t="shared" si="12"/>
        <v/>
      </c>
      <c r="T41" s="1" t="str">
        <f t="shared" si="13"/>
        <v/>
      </c>
      <c r="U41" s="1" t="str">
        <f t="shared" si="14"/>
        <v/>
      </c>
      <c r="V41" s="1" t="str">
        <f t="shared" si="15"/>
        <v/>
      </c>
      <c r="W41" s="26" t="str">
        <f t="shared" si="16"/>
        <v/>
      </c>
      <c r="X41" s="13" t="str">
        <f t="shared" si="17"/>
        <v/>
      </c>
      <c r="Y41" s="9">
        <f t="shared" si="18"/>
        <v>0</v>
      </c>
    </row>
    <row r="42" spans="1:25" x14ac:dyDescent="0.25">
      <c r="A42" s="28"/>
      <c r="B42" s="29"/>
      <c r="C42" s="30"/>
      <c r="D42" s="31"/>
      <c r="E42" s="29" t="s">
        <v>16</v>
      </c>
      <c r="F42" s="13" t="b">
        <f>IF($E42=Categories!$A$1,"",IF($E42=Categories!$A$2,Categories!$B$2,IF($E42=Categories!$A$3,Categories!$B$3,IF($E42=Categories!$A$4,Categories!$B$4,IF($E42=Categories!$A$5,Categories!$B$5,IF($E42=Categories!$A$6,Categories!$B$6,IF($E42=Categories!$A$7,Categories!$B$7,IF($E42=Categories!$A$8,Categories!$B$8,IF($E42=Categories!$A$9,Categories!$B$9,IF($E42=Categories!$A$10,Categories!$B$10,IF($E42=Categories!$A$11,Categories!$B$11,IF($E42=Categories!$A$12,Categories!$B$12,IF($E42=Categories!$A$13,Categories!$B$13,IF($E42=Categories!$A$14,Categories!$B$14,IF($E42=Categories!$A$15,Categories!$B$15,IF($E42=Categories!$A$16,Categories!$B$16,IF($E42=Categories!$A$17,Categories!$B$17,IF($E42=Categories!$A$18,Categories!$B$18,IF($E42=Categories!$A$19,Categories!$B$19)))))))))))))))))))</f>
        <v>0</v>
      </c>
      <c r="G42" s="9" t="str">
        <f t="shared" si="0"/>
        <v/>
      </c>
      <c r="H42" s="1" t="str">
        <f t="shared" si="1"/>
        <v/>
      </c>
      <c r="I42" s="1" t="str">
        <f t="shared" si="2"/>
        <v/>
      </c>
      <c r="J42" s="1" t="str">
        <f t="shared" si="3"/>
        <v/>
      </c>
      <c r="K42" s="13" t="str">
        <f t="shared" si="4"/>
        <v/>
      </c>
      <c r="L42" s="9" t="str">
        <f t="shared" si="5"/>
        <v/>
      </c>
      <c r="M42" s="1" t="str">
        <f t="shared" si="6"/>
        <v/>
      </c>
      <c r="N42" s="1" t="str">
        <f t="shared" si="7"/>
        <v/>
      </c>
      <c r="O42" s="1" t="str">
        <f t="shared" si="8"/>
        <v/>
      </c>
      <c r="P42" s="1" t="str">
        <f t="shared" si="9"/>
        <v/>
      </c>
      <c r="Q42" s="1" t="str">
        <f t="shared" si="10"/>
        <v/>
      </c>
      <c r="R42" s="1" t="str">
        <f t="shared" si="11"/>
        <v/>
      </c>
      <c r="S42" s="1" t="str">
        <f t="shared" si="12"/>
        <v/>
      </c>
      <c r="T42" s="1" t="str">
        <f t="shared" si="13"/>
        <v/>
      </c>
      <c r="U42" s="1" t="str">
        <f t="shared" si="14"/>
        <v/>
      </c>
      <c r="V42" s="1" t="str">
        <f t="shared" si="15"/>
        <v/>
      </c>
      <c r="W42" s="26" t="str">
        <f t="shared" si="16"/>
        <v/>
      </c>
      <c r="X42" s="13" t="str">
        <f t="shared" si="17"/>
        <v/>
      </c>
      <c r="Y42" s="9">
        <f t="shared" si="18"/>
        <v>0</v>
      </c>
    </row>
    <row r="43" spans="1:25" x14ac:dyDescent="0.25">
      <c r="A43" s="28"/>
      <c r="B43" s="29"/>
      <c r="C43" s="30"/>
      <c r="D43" s="31"/>
      <c r="E43" s="29" t="s">
        <v>16</v>
      </c>
      <c r="F43" s="13" t="b">
        <f>IF($E43=Categories!$A$1,"",IF($E43=Categories!$A$2,Categories!$B$2,IF($E43=Categories!$A$3,Categories!$B$3,IF($E43=Categories!$A$4,Categories!$B$4,IF($E43=Categories!$A$5,Categories!$B$5,IF($E43=Categories!$A$6,Categories!$B$6,IF($E43=Categories!$A$7,Categories!$B$7,IF($E43=Categories!$A$8,Categories!$B$8,IF($E43=Categories!$A$9,Categories!$B$9,IF($E43=Categories!$A$10,Categories!$B$10,IF($E43=Categories!$A$11,Categories!$B$11,IF($E43=Categories!$A$12,Categories!$B$12,IF($E43=Categories!$A$13,Categories!$B$13,IF($E43=Categories!$A$14,Categories!$B$14,IF($E43=Categories!$A$15,Categories!$B$15,IF($E43=Categories!$A$16,Categories!$B$16,IF($E43=Categories!$A$17,Categories!$B$17,IF($E43=Categories!$A$18,Categories!$B$18,IF($E43=Categories!$A$19,Categories!$B$19)))))))))))))))))))</f>
        <v>0</v>
      </c>
      <c r="G43" s="9" t="str">
        <f t="shared" si="0"/>
        <v/>
      </c>
      <c r="H43" s="1" t="str">
        <f t="shared" si="1"/>
        <v/>
      </c>
      <c r="I43" s="1" t="str">
        <f t="shared" si="2"/>
        <v/>
      </c>
      <c r="J43" s="1" t="str">
        <f t="shared" si="3"/>
        <v/>
      </c>
      <c r="K43" s="13" t="str">
        <f t="shared" si="4"/>
        <v/>
      </c>
      <c r="L43" s="9" t="str">
        <f t="shared" si="5"/>
        <v/>
      </c>
      <c r="M43" s="1" t="str">
        <f t="shared" si="6"/>
        <v/>
      </c>
      <c r="N43" s="1" t="str">
        <f t="shared" si="7"/>
        <v/>
      </c>
      <c r="O43" s="1" t="str">
        <f t="shared" si="8"/>
        <v/>
      </c>
      <c r="P43" s="1" t="str">
        <f t="shared" si="9"/>
        <v/>
      </c>
      <c r="Q43" s="1" t="str">
        <f t="shared" si="10"/>
        <v/>
      </c>
      <c r="R43" s="1" t="str">
        <f t="shared" si="11"/>
        <v/>
      </c>
      <c r="S43" s="1" t="str">
        <f t="shared" si="12"/>
        <v/>
      </c>
      <c r="T43" s="1" t="str">
        <f t="shared" si="13"/>
        <v/>
      </c>
      <c r="U43" s="1" t="str">
        <f t="shared" si="14"/>
        <v/>
      </c>
      <c r="V43" s="1" t="str">
        <f t="shared" si="15"/>
        <v/>
      </c>
      <c r="W43" s="26" t="str">
        <f t="shared" si="16"/>
        <v/>
      </c>
      <c r="X43" s="13" t="str">
        <f t="shared" si="17"/>
        <v/>
      </c>
      <c r="Y43" s="9">
        <f t="shared" si="18"/>
        <v>0</v>
      </c>
    </row>
    <row r="44" spans="1:25" x14ac:dyDescent="0.25">
      <c r="A44" s="28"/>
      <c r="B44" s="29"/>
      <c r="C44" s="30"/>
      <c r="D44" s="31"/>
      <c r="E44" s="29" t="s">
        <v>16</v>
      </c>
      <c r="F44" s="13" t="b">
        <f>IF($E44=Categories!$A$1,"",IF($E44=Categories!$A$2,Categories!$B$2,IF($E44=Categories!$A$3,Categories!$B$3,IF($E44=Categories!$A$4,Categories!$B$4,IF($E44=Categories!$A$5,Categories!$B$5,IF($E44=Categories!$A$6,Categories!$B$6,IF($E44=Categories!$A$7,Categories!$B$7,IF($E44=Categories!$A$8,Categories!$B$8,IF($E44=Categories!$A$9,Categories!$B$9,IF($E44=Categories!$A$10,Categories!$B$10,IF($E44=Categories!$A$11,Categories!$B$11,IF($E44=Categories!$A$12,Categories!$B$12,IF($E44=Categories!$A$13,Categories!$B$13,IF($E44=Categories!$A$14,Categories!$B$14,IF($E44=Categories!$A$15,Categories!$B$15,IF($E44=Categories!$A$16,Categories!$B$16,IF($E44=Categories!$A$17,Categories!$B$17,IF($E44=Categories!$A$18,Categories!$B$18,IF($E44=Categories!$A$19,Categories!$B$19)))))))))))))))))))</f>
        <v>0</v>
      </c>
      <c r="G44" s="9" t="str">
        <f t="shared" si="0"/>
        <v/>
      </c>
      <c r="H44" s="1" t="str">
        <f t="shared" si="1"/>
        <v/>
      </c>
      <c r="I44" s="1" t="str">
        <f t="shared" si="2"/>
        <v/>
      </c>
      <c r="J44" s="1" t="str">
        <f t="shared" si="3"/>
        <v/>
      </c>
      <c r="K44" s="13" t="str">
        <f t="shared" si="4"/>
        <v/>
      </c>
      <c r="L44" s="9" t="str">
        <f t="shared" si="5"/>
        <v/>
      </c>
      <c r="M44" s="1" t="str">
        <f t="shared" si="6"/>
        <v/>
      </c>
      <c r="N44" s="1" t="str">
        <f t="shared" si="7"/>
        <v/>
      </c>
      <c r="O44" s="1" t="str">
        <f t="shared" si="8"/>
        <v/>
      </c>
      <c r="P44" s="1" t="str">
        <f t="shared" si="9"/>
        <v/>
      </c>
      <c r="Q44" s="1" t="str">
        <f t="shared" si="10"/>
        <v/>
      </c>
      <c r="R44" s="1" t="str">
        <f t="shared" si="11"/>
        <v/>
      </c>
      <c r="S44" s="1" t="str">
        <f t="shared" si="12"/>
        <v/>
      </c>
      <c r="T44" s="1" t="str">
        <f t="shared" si="13"/>
        <v/>
      </c>
      <c r="U44" s="1" t="str">
        <f t="shared" si="14"/>
        <v/>
      </c>
      <c r="V44" s="1" t="str">
        <f t="shared" si="15"/>
        <v/>
      </c>
      <c r="W44" s="26" t="str">
        <f t="shared" si="16"/>
        <v/>
      </c>
      <c r="X44" s="13" t="str">
        <f t="shared" si="17"/>
        <v/>
      </c>
      <c r="Y44" s="9">
        <f t="shared" si="18"/>
        <v>0</v>
      </c>
    </row>
    <row r="45" spans="1:25" x14ac:dyDescent="0.25">
      <c r="A45" s="28"/>
      <c r="B45" s="29"/>
      <c r="C45" s="30"/>
      <c r="D45" s="31"/>
      <c r="E45" s="29" t="s">
        <v>16</v>
      </c>
      <c r="F45" s="13" t="b">
        <f>IF($E45=Categories!$A$1,"",IF($E45=Categories!$A$2,Categories!$B$2,IF($E45=Categories!$A$3,Categories!$B$3,IF($E45=Categories!$A$4,Categories!$B$4,IF($E45=Categories!$A$5,Categories!$B$5,IF($E45=Categories!$A$6,Categories!$B$6,IF($E45=Categories!$A$7,Categories!$B$7,IF($E45=Categories!$A$8,Categories!$B$8,IF($E45=Categories!$A$9,Categories!$B$9,IF($E45=Categories!$A$10,Categories!$B$10,IF($E45=Categories!$A$11,Categories!$B$11,IF($E45=Categories!$A$12,Categories!$B$12,IF($E45=Categories!$A$13,Categories!$B$13,IF($E45=Categories!$A$14,Categories!$B$14,IF($E45=Categories!$A$15,Categories!$B$15,IF($E45=Categories!$A$16,Categories!$B$16,IF($E45=Categories!$A$17,Categories!$B$17,IF($E45=Categories!$A$18,Categories!$B$18,IF($E45=Categories!$A$19,Categories!$B$19)))))))))))))))))))</f>
        <v>0</v>
      </c>
      <c r="G45" s="9" t="str">
        <f t="shared" si="0"/>
        <v/>
      </c>
      <c r="H45" s="1" t="str">
        <f t="shared" si="1"/>
        <v/>
      </c>
      <c r="I45" s="1" t="str">
        <f t="shared" si="2"/>
        <v/>
      </c>
      <c r="J45" s="1" t="str">
        <f t="shared" si="3"/>
        <v/>
      </c>
      <c r="K45" s="13" t="str">
        <f t="shared" si="4"/>
        <v/>
      </c>
      <c r="L45" s="9" t="str">
        <f t="shared" si="5"/>
        <v/>
      </c>
      <c r="M45" s="1" t="str">
        <f t="shared" si="6"/>
        <v/>
      </c>
      <c r="N45" s="1" t="str">
        <f t="shared" si="7"/>
        <v/>
      </c>
      <c r="O45" s="1" t="str">
        <f t="shared" si="8"/>
        <v/>
      </c>
      <c r="P45" s="1" t="str">
        <f t="shared" si="9"/>
        <v/>
      </c>
      <c r="Q45" s="1" t="str">
        <f t="shared" si="10"/>
        <v/>
      </c>
      <c r="R45" s="1" t="str">
        <f t="shared" si="11"/>
        <v/>
      </c>
      <c r="S45" s="1" t="str">
        <f t="shared" si="12"/>
        <v/>
      </c>
      <c r="T45" s="1" t="str">
        <f t="shared" si="13"/>
        <v/>
      </c>
      <c r="U45" s="1" t="str">
        <f t="shared" si="14"/>
        <v/>
      </c>
      <c r="V45" s="1" t="str">
        <f t="shared" si="15"/>
        <v/>
      </c>
      <c r="W45" s="26" t="str">
        <f t="shared" si="16"/>
        <v/>
      </c>
      <c r="X45" s="13" t="str">
        <f t="shared" si="17"/>
        <v/>
      </c>
      <c r="Y45" s="9">
        <f t="shared" si="18"/>
        <v>0</v>
      </c>
    </row>
    <row r="46" spans="1:25" x14ac:dyDescent="0.25">
      <c r="A46" s="28"/>
      <c r="B46" s="29"/>
      <c r="C46" s="30"/>
      <c r="D46" s="31"/>
      <c r="E46" s="29" t="s">
        <v>16</v>
      </c>
      <c r="F46" s="13" t="b">
        <f>IF($E46=Categories!$A$1,"",IF($E46=Categories!$A$2,Categories!$B$2,IF($E46=Categories!$A$3,Categories!$B$3,IF($E46=Categories!$A$4,Categories!$B$4,IF($E46=Categories!$A$5,Categories!$B$5,IF($E46=Categories!$A$6,Categories!$B$6,IF($E46=Categories!$A$7,Categories!$B$7,IF($E46=Categories!$A$8,Categories!$B$8,IF($E46=Categories!$A$9,Categories!$B$9,IF($E46=Categories!$A$10,Categories!$B$10,IF($E46=Categories!$A$11,Categories!$B$11,IF($E46=Categories!$A$12,Categories!$B$12,IF($E46=Categories!$A$13,Categories!$B$13,IF($E46=Categories!$A$14,Categories!$B$14,IF($E46=Categories!$A$15,Categories!$B$15,IF($E46=Categories!$A$16,Categories!$B$16,IF($E46=Categories!$A$17,Categories!$B$17,IF($E46=Categories!$A$18,Categories!$B$18,IF($E46=Categories!$A$19,Categories!$B$19)))))))))))))))))))</f>
        <v>0</v>
      </c>
      <c r="G46" s="9" t="str">
        <f t="shared" si="0"/>
        <v/>
      </c>
      <c r="H46" s="1" t="str">
        <f t="shared" si="1"/>
        <v/>
      </c>
      <c r="I46" s="1" t="str">
        <f t="shared" si="2"/>
        <v/>
      </c>
      <c r="J46" s="1" t="str">
        <f t="shared" si="3"/>
        <v/>
      </c>
      <c r="K46" s="13" t="str">
        <f t="shared" si="4"/>
        <v/>
      </c>
      <c r="L46" s="9" t="str">
        <f t="shared" si="5"/>
        <v/>
      </c>
      <c r="M46" s="1" t="str">
        <f t="shared" si="6"/>
        <v/>
      </c>
      <c r="N46" s="1" t="str">
        <f t="shared" si="7"/>
        <v/>
      </c>
      <c r="O46" s="1" t="str">
        <f t="shared" si="8"/>
        <v/>
      </c>
      <c r="P46" s="1" t="str">
        <f t="shared" si="9"/>
        <v/>
      </c>
      <c r="Q46" s="1" t="str">
        <f t="shared" si="10"/>
        <v/>
      </c>
      <c r="R46" s="1" t="str">
        <f t="shared" si="11"/>
        <v/>
      </c>
      <c r="S46" s="1" t="str">
        <f t="shared" si="12"/>
        <v/>
      </c>
      <c r="T46" s="1" t="str">
        <f t="shared" si="13"/>
        <v/>
      </c>
      <c r="U46" s="1" t="str">
        <f t="shared" si="14"/>
        <v/>
      </c>
      <c r="V46" s="1" t="str">
        <f t="shared" si="15"/>
        <v/>
      </c>
      <c r="W46" s="26" t="str">
        <f t="shared" si="16"/>
        <v/>
      </c>
      <c r="X46" s="13" t="str">
        <f t="shared" si="17"/>
        <v/>
      </c>
      <c r="Y46" s="9">
        <f t="shared" si="18"/>
        <v>0</v>
      </c>
    </row>
    <row r="47" spans="1:25" x14ac:dyDescent="0.25">
      <c r="A47" s="28"/>
      <c r="B47" s="29"/>
      <c r="C47" s="30"/>
      <c r="D47" s="31"/>
      <c r="E47" s="29" t="s">
        <v>16</v>
      </c>
      <c r="F47" s="13" t="b">
        <f>IF($E47=Categories!$A$1,"",IF($E47=Categories!$A$2,Categories!$B$2,IF($E47=Categories!$A$3,Categories!$B$3,IF($E47=Categories!$A$4,Categories!$B$4,IF($E47=Categories!$A$5,Categories!$B$5,IF($E47=Categories!$A$6,Categories!$B$6,IF($E47=Categories!$A$7,Categories!$B$7,IF($E47=Categories!$A$8,Categories!$B$8,IF($E47=Categories!$A$9,Categories!$B$9,IF($E47=Categories!$A$10,Categories!$B$10,IF($E47=Categories!$A$11,Categories!$B$11,IF($E47=Categories!$A$12,Categories!$B$12,IF($E47=Categories!$A$13,Categories!$B$13,IF($E47=Categories!$A$14,Categories!$B$14,IF($E47=Categories!$A$15,Categories!$B$15,IF($E47=Categories!$A$16,Categories!$B$16,IF($E47=Categories!$A$17,Categories!$B$17,IF($E47=Categories!$A$18,Categories!$B$18,IF($E47=Categories!$A$19,Categories!$B$19)))))))))))))))))))</f>
        <v>0</v>
      </c>
      <c r="G47" s="9" t="str">
        <f t="shared" si="0"/>
        <v/>
      </c>
      <c r="H47" s="1" t="str">
        <f t="shared" si="1"/>
        <v/>
      </c>
      <c r="I47" s="1" t="str">
        <f t="shared" si="2"/>
        <v/>
      </c>
      <c r="J47" s="1" t="str">
        <f t="shared" si="3"/>
        <v/>
      </c>
      <c r="K47" s="13" t="str">
        <f t="shared" si="4"/>
        <v/>
      </c>
      <c r="L47" s="9" t="str">
        <f t="shared" si="5"/>
        <v/>
      </c>
      <c r="M47" s="1" t="str">
        <f t="shared" si="6"/>
        <v/>
      </c>
      <c r="N47" s="1" t="str">
        <f t="shared" si="7"/>
        <v/>
      </c>
      <c r="O47" s="1" t="str">
        <f t="shared" si="8"/>
        <v/>
      </c>
      <c r="P47" s="1" t="str">
        <f t="shared" si="9"/>
        <v/>
      </c>
      <c r="Q47" s="1" t="str">
        <f t="shared" si="10"/>
        <v/>
      </c>
      <c r="R47" s="1" t="str">
        <f t="shared" si="11"/>
        <v/>
      </c>
      <c r="S47" s="1" t="str">
        <f t="shared" si="12"/>
        <v/>
      </c>
      <c r="T47" s="1" t="str">
        <f t="shared" si="13"/>
        <v/>
      </c>
      <c r="U47" s="1" t="str">
        <f t="shared" si="14"/>
        <v/>
      </c>
      <c r="V47" s="1" t="str">
        <f t="shared" si="15"/>
        <v/>
      </c>
      <c r="W47" s="26" t="str">
        <f t="shared" si="16"/>
        <v/>
      </c>
      <c r="X47" s="13" t="str">
        <f t="shared" si="17"/>
        <v/>
      </c>
      <c r="Y47" s="9">
        <f t="shared" si="18"/>
        <v>0</v>
      </c>
    </row>
    <row r="48" spans="1:25" x14ac:dyDescent="0.25">
      <c r="A48" s="28"/>
      <c r="B48" s="29"/>
      <c r="C48" s="30"/>
      <c r="D48" s="31"/>
      <c r="E48" s="29" t="s">
        <v>16</v>
      </c>
      <c r="F48" s="13" t="b">
        <f>IF($E48=Categories!$A$1,"",IF($E48=Categories!$A$2,Categories!$B$2,IF($E48=Categories!$A$3,Categories!$B$3,IF($E48=Categories!$A$4,Categories!$B$4,IF($E48=Categories!$A$5,Categories!$B$5,IF($E48=Categories!$A$6,Categories!$B$6,IF($E48=Categories!$A$7,Categories!$B$7,IF($E48=Categories!$A$8,Categories!$B$8,IF($E48=Categories!$A$9,Categories!$B$9,IF($E48=Categories!$A$10,Categories!$B$10,IF($E48=Categories!$A$11,Categories!$B$11,IF($E48=Categories!$A$12,Categories!$B$12,IF($E48=Categories!$A$13,Categories!$B$13,IF($E48=Categories!$A$14,Categories!$B$14,IF($E48=Categories!$A$15,Categories!$B$15,IF($E48=Categories!$A$16,Categories!$B$16,IF($E48=Categories!$A$17,Categories!$B$17,IF($E48=Categories!$A$18,Categories!$B$18,IF($E48=Categories!$A$19,Categories!$B$19)))))))))))))))))))</f>
        <v>0</v>
      </c>
      <c r="G48" s="9" t="str">
        <f t="shared" si="0"/>
        <v/>
      </c>
      <c r="H48" s="1" t="str">
        <f t="shared" si="1"/>
        <v/>
      </c>
      <c r="I48" s="1" t="str">
        <f t="shared" si="2"/>
        <v/>
      </c>
      <c r="J48" s="1" t="str">
        <f t="shared" si="3"/>
        <v/>
      </c>
      <c r="K48" s="13" t="str">
        <f t="shared" si="4"/>
        <v/>
      </c>
      <c r="L48" s="9" t="str">
        <f t="shared" si="5"/>
        <v/>
      </c>
      <c r="M48" s="1" t="str">
        <f t="shared" si="6"/>
        <v/>
      </c>
      <c r="N48" s="1" t="str">
        <f t="shared" si="7"/>
        <v/>
      </c>
      <c r="O48" s="1" t="str">
        <f t="shared" si="8"/>
        <v/>
      </c>
      <c r="P48" s="1" t="str">
        <f t="shared" si="9"/>
        <v/>
      </c>
      <c r="Q48" s="1" t="str">
        <f t="shared" si="10"/>
        <v/>
      </c>
      <c r="R48" s="1" t="str">
        <f t="shared" si="11"/>
        <v/>
      </c>
      <c r="S48" s="1" t="str">
        <f t="shared" si="12"/>
        <v/>
      </c>
      <c r="T48" s="1" t="str">
        <f t="shared" si="13"/>
        <v/>
      </c>
      <c r="U48" s="1" t="str">
        <f t="shared" si="14"/>
        <v/>
      </c>
      <c r="V48" s="1" t="str">
        <f t="shared" si="15"/>
        <v/>
      </c>
      <c r="W48" s="26" t="str">
        <f t="shared" si="16"/>
        <v/>
      </c>
      <c r="X48" s="13" t="str">
        <f t="shared" si="17"/>
        <v/>
      </c>
      <c r="Y48" s="9">
        <f t="shared" si="18"/>
        <v>0</v>
      </c>
    </row>
    <row r="49" spans="1:25" x14ac:dyDescent="0.25">
      <c r="A49" s="28"/>
      <c r="B49" s="29"/>
      <c r="C49" s="30"/>
      <c r="D49" s="31"/>
      <c r="E49" s="29" t="s">
        <v>16</v>
      </c>
      <c r="F49" s="13" t="b">
        <f>IF($E49=Categories!$A$1,"",IF($E49=Categories!$A$2,Categories!$B$2,IF($E49=Categories!$A$3,Categories!$B$3,IF($E49=Categories!$A$4,Categories!$B$4,IF($E49=Categories!$A$5,Categories!$B$5,IF($E49=Categories!$A$6,Categories!$B$6,IF($E49=Categories!$A$7,Categories!$B$7,IF($E49=Categories!$A$8,Categories!$B$8,IF($E49=Categories!$A$9,Categories!$B$9,IF($E49=Categories!$A$10,Categories!$B$10,IF($E49=Categories!$A$11,Categories!$B$11,IF($E49=Categories!$A$12,Categories!$B$12,IF($E49=Categories!$A$13,Categories!$B$13,IF($E49=Categories!$A$14,Categories!$B$14,IF($E49=Categories!$A$15,Categories!$B$15,IF($E49=Categories!$A$16,Categories!$B$16,IF($E49=Categories!$A$17,Categories!$B$17,IF($E49=Categories!$A$18,Categories!$B$18,IF($E49=Categories!$A$19,Categories!$B$19)))))))))))))))))))</f>
        <v>0</v>
      </c>
      <c r="G49" s="9" t="str">
        <f t="shared" si="0"/>
        <v/>
      </c>
      <c r="H49" s="1" t="str">
        <f t="shared" si="1"/>
        <v/>
      </c>
      <c r="I49" s="1" t="str">
        <f t="shared" si="2"/>
        <v/>
      </c>
      <c r="J49" s="1" t="str">
        <f t="shared" si="3"/>
        <v/>
      </c>
      <c r="K49" s="13" t="str">
        <f t="shared" si="4"/>
        <v/>
      </c>
      <c r="L49" s="9" t="str">
        <f t="shared" si="5"/>
        <v/>
      </c>
      <c r="M49" s="1" t="str">
        <f t="shared" si="6"/>
        <v/>
      </c>
      <c r="N49" s="1" t="str">
        <f t="shared" si="7"/>
        <v/>
      </c>
      <c r="O49" s="1" t="str">
        <f t="shared" si="8"/>
        <v/>
      </c>
      <c r="P49" s="1" t="str">
        <f t="shared" si="9"/>
        <v/>
      </c>
      <c r="Q49" s="1" t="str">
        <f t="shared" si="10"/>
        <v/>
      </c>
      <c r="R49" s="1" t="str">
        <f t="shared" si="11"/>
        <v/>
      </c>
      <c r="S49" s="1" t="str">
        <f t="shared" si="12"/>
        <v/>
      </c>
      <c r="T49" s="1" t="str">
        <f t="shared" si="13"/>
        <v/>
      </c>
      <c r="U49" s="1" t="str">
        <f t="shared" si="14"/>
        <v/>
      </c>
      <c r="V49" s="1" t="str">
        <f t="shared" si="15"/>
        <v/>
      </c>
      <c r="W49" s="26" t="str">
        <f t="shared" si="16"/>
        <v/>
      </c>
      <c r="X49" s="13" t="str">
        <f t="shared" si="17"/>
        <v/>
      </c>
      <c r="Y49" s="9">
        <f t="shared" si="18"/>
        <v>0</v>
      </c>
    </row>
    <row r="50" spans="1:25" x14ac:dyDescent="0.25">
      <c r="A50" s="28"/>
      <c r="B50" s="29"/>
      <c r="C50" s="30"/>
      <c r="D50" s="31"/>
      <c r="E50" s="29" t="s">
        <v>16</v>
      </c>
      <c r="F50" s="13" t="b">
        <f>IF($E50=Categories!$A$1,"",IF($E50=Categories!$A$2,Categories!$B$2,IF($E50=Categories!$A$3,Categories!$B$3,IF($E50=Categories!$A$4,Categories!$B$4,IF($E50=Categories!$A$5,Categories!$B$5,IF($E50=Categories!$A$6,Categories!$B$6,IF($E50=Categories!$A$7,Categories!$B$7,IF($E50=Categories!$A$8,Categories!$B$8,IF($E50=Categories!$A$9,Categories!$B$9,IF($E50=Categories!$A$10,Categories!$B$10,IF($E50=Categories!$A$11,Categories!$B$11,IF($E50=Categories!$A$12,Categories!$B$12,IF($E50=Categories!$A$13,Categories!$B$13,IF($E50=Categories!$A$14,Categories!$B$14,IF($E50=Categories!$A$15,Categories!$B$15,IF($E50=Categories!$A$16,Categories!$B$16,IF($E50=Categories!$A$17,Categories!$B$17,IF($E50=Categories!$A$18,Categories!$B$18,IF($E50=Categories!$A$19,Categories!$B$19)))))))))))))))))))</f>
        <v>0</v>
      </c>
      <c r="G50" s="9" t="str">
        <f t="shared" si="0"/>
        <v/>
      </c>
      <c r="H50" s="1" t="str">
        <f t="shared" si="1"/>
        <v/>
      </c>
      <c r="I50" s="1" t="str">
        <f t="shared" si="2"/>
        <v/>
      </c>
      <c r="J50" s="1" t="str">
        <f t="shared" si="3"/>
        <v/>
      </c>
      <c r="K50" s="13" t="str">
        <f t="shared" si="4"/>
        <v/>
      </c>
      <c r="L50" s="9" t="str">
        <f t="shared" si="5"/>
        <v/>
      </c>
      <c r="M50" s="1" t="str">
        <f t="shared" si="6"/>
        <v/>
      </c>
      <c r="N50" s="1" t="str">
        <f t="shared" si="7"/>
        <v/>
      </c>
      <c r="O50" s="1" t="str">
        <f t="shared" si="8"/>
        <v/>
      </c>
      <c r="P50" s="1" t="str">
        <f t="shared" si="9"/>
        <v/>
      </c>
      <c r="Q50" s="1" t="str">
        <f t="shared" si="10"/>
        <v/>
      </c>
      <c r="R50" s="1" t="str">
        <f t="shared" si="11"/>
        <v/>
      </c>
      <c r="S50" s="1" t="str">
        <f t="shared" si="12"/>
        <v/>
      </c>
      <c r="T50" s="1" t="str">
        <f t="shared" si="13"/>
        <v/>
      </c>
      <c r="U50" s="1" t="str">
        <f t="shared" si="14"/>
        <v/>
      </c>
      <c r="V50" s="1" t="str">
        <f t="shared" si="15"/>
        <v/>
      </c>
      <c r="W50" s="26" t="str">
        <f t="shared" si="16"/>
        <v/>
      </c>
      <c r="X50" s="13" t="str">
        <f t="shared" si="17"/>
        <v/>
      </c>
      <c r="Y50" s="9">
        <f t="shared" si="18"/>
        <v>0</v>
      </c>
    </row>
    <row r="51" spans="1:25" x14ac:dyDescent="0.25">
      <c r="A51" s="28"/>
      <c r="B51" s="29"/>
      <c r="C51" s="30"/>
      <c r="D51" s="31"/>
      <c r="E51" s="29" t="s">
        <v>16</v>
      </c>
      <c r="F51" s="13" t="b">
        <f>IF($E51=Categories!$A$1,"",IF($E51=Categories!$A$2,Categories!$B$2,IF($E51=Categories!$A$3,Categories!$B$3,IF($E51=Categories!$A$4,Categories!$B$4,IF($E51=Categories!$A$5,Categories!$B$5,IF($E51=Categories!$A$6,Categories!$B$6,IF($E51=Categories!$A$7,Categories!$B$7,IF($E51=Categories!$A$8,Categories!$B$8,IF($E51=Categories!$A$9,Categories!$B$9,IF($E51=Categories!$A$10,Categories!$B$10,IF($E51=Categories!$A$11,Categories!$B$11,IF($E51=Categories!$A$12,Categories!$B$12,IF($E51=Categories!$A$13,Categories!$B$13,IF($E51=Categories!$A$14,Categories!$B$14,IF($E51=Categories!$A$15,Categories!$B$15,IF($E51=Categories!$A$16,Categories!$B$16,IF($E51=Categories!$A$17,Categories!$B$17,IF($E51=Categories!$A$18,Categories!$B$18,IF($E51=Categories!$A$19,Categories!$B$19)))))))))))))))))))</f>
        <v>0</v>
      </c>
      <c r="G51" s="9" t="str">
        <f t="shared" si="0"/>
        <v/>
      </c>
      <c r="H51" s="1" t="str">
        <f t="shared" si="1"/>
        <v/>
      </c>
      <c r="I51" s="1" t="str">
        <f t="shared" si="2"/>
        <v/>
      </c>
      <c r="J51" s="1" t="str">
        <f t="shared" si="3"/>
        <v/>
      </c>
      <c r="K51" s="13" t="str">
        <f t="shared" si="4"/>
        <v/>
      </c>
      <c r="L51" s="9" t="str">
        <f t="shared" si="5"/>
        <v/>
      </c>
      <c r="M51" s="1" t="str">
        <f t="shared" si="6"/>
        <v/>
      </c>
      <c r="N51" s="1" t="str">
        <f t="shared" si="7"/>
        <v/>
      </c>
      <c r="O51" s="1" t="str">
        <f t="shared" si="8"/>
        <v/>
      </c>
      <c r="P51" s="1" t="str">
        <f t="shared" si="9"/>
        <v/>
      </c>
      <c r="Q51" s="1" t="str">
        <f t="shared" si="10"/>
        <v/>
      </c>
      <c r="R51" s="1" t="str">
        <f t="shared" si="11"/>
        <v/>
      </c>
      <c r="S51" s="1" t="str">
        <f t="shared" si="12"/>
        <v/>
      </c>
      <c r="T51" s="1" t="str">
        <f t="shared" si="13"/>
        <v/>
      </c>
      <c r="U51" s="1" t="str">
        <f t="shared" si="14"/>
        <v/>
      </c>
      <c r="V51" s="1" t="str">
        <f t="shared" si="15"/>
        <v/>
      </c>
      <c r="W51" s="26" t="str">
        <f t="shared" si="16"/>
        <v/>
      </c>
      <c r="X51" s="13" t="str">
        <f t="shared" si="17"/>
        <v/>
      </c>
      <c r="Y51" s="9">
        <f t="shared" si="18"/>
        <v>0</v>
      </c>
    </row>
    <row r="52" spans="1:25" x14ac:dyDescent="0.25">
      <c r="A52" s="28"/>
      <c r="B52" s="29"/>
      <c r="C52" s="30"/>
      <c r="D52" s="31"/>
      <c r="E52" s="29" t="s">
        <v>16</v>
      </c>
      <c r="F52" s="13" t="b">
        <f>IF($E52=Categories!$A$1,"",IF($E52=Categories!$A$2,Categories!$B$2,IF($E52=Categories!$A$3,Categories!$B$3,IF($E52=Categories!$A$4,Categories!$B$4,IF($E52=Categories!$A$5,Categories!$B$5,IF($E52=Categories!$A$6,Categories!$B$6,IF($E52=Categories!$A$7,Categories!$B$7,IF($E52=Categories!$A$8,Categories!$B$8,IF($E52=Categories!$A$9,Categories!$B$9,IF($E52=Categories!$A$10,Categories!$B$10,IF($E52=Categories!$A$11,Categories!$B$11,IF($E52=Categories!$A$12,Categories!$B$12,IF($E52=Categories!$A$13,Categories!$B$13,IF($E52=Categories!$A$14,Categories!$B$14,IF($E52=Categories!$A$15,Categories!$B$15,IF($E52=Categories!$A$16,Categories!$B$16,IF($E52=Categories!$A$17,Categories!$B$17,IF($E52=Categories!$A$18,Categories!$B$18,IF($E52=Categories!$A$19,Categories!$B$19)))))))))))))))))))</f>
        <v>0</v>
      </c>
      <c r="G52" s="9" t="str">
        <f t="shared" si="0"/>
        <v/>
      </c>
      <c r="H52" s="1" t="str">
        <f t="shared" si="1"/>
        <v/>
      </c>
      <c r="I52" s="1" t="str">
        <f t="shared" si="2"/>
        <v/>
      </c>
      <c r="J52" s="1" t="str">
        <f t="shared" si="3"/>
        <v/>
      </c>
      <c r="K52" s="13" t="str">
        <f t="shared" si="4"/>
        <v/>
      </c>
      <c r="L52" s="9" t="str">
        <f t="shared" si="5"/>
        <v/>
      </c>
      <c r="M52" s="1" t="str">
        <f t="shared" si="6"/>
        <v/>
      </c>
      <c r="N52" s="1" t="str">
        <f t="shared" si="7"/>
        <v/>
      </c>
      <c r="O52" s="1" t="str">
        <f t="shared" si="8"/>
        <v/>
      </c>
      <c r="P52" s="1" t="str">
        <f t="shared" si="9"/>
        <v/>
      </c>
      <c r="Q52" s="1" t="str">
        <f t="shared" si="10"/>
        <v/>
      </c>
      <c r="R52" s="1" t="str">
        <f t="shared" si="11"/>
        <v/>
      </c>
      <c r="S52" s="1" t="str">
        <f t="shared" si="12"/>
        <v/>
      </c>
      <c r="T52" s="1" t="str">
        <f t="shared" si="13"/>
        <v/>
      </c>
      <c r="U52" s="1" t="str">
        <f t="shared" si="14"/>
        <v/>
      </c>
      <c r="V52" s="1" t="str">
        <f t="shared" si="15"/>
        <v/>
      </c>
      <c r="W52" s="26" t="str">
        <f t="shared" si="16"/>
        <v/>
      </c>
      <c r="X52" s="13" t="str">
        <f t="shared" si="17"/>
        <v/>
      </c>
      <c r="Y52" s="9">
        <f t="shared" si="18"/>
        <v>0</v>
      </c>
    </row>
    <row r="53" spans="1:25" x14ac:dyDescent="0.25">
      <c r="A53" s="28"/>
      <c r="B53" s="29"/>
      <c r="C53" s="30"/>
      <c r="D53" s="31"/>
      <c r="E53" s="29" t="s">
        <v>16</v>
      </c>
      <c r="F53" s="13" t="b">
        <f>IF($E53=Categories!$A$1,"",IF($E53=Categories!$A$2,Categories!$B$2,IF($E53=Categories!$A$3,Categories!$B$3,IF($E53=Categories!$A$4,Categories!$B$4,IF($E53=Categories!$A$5,Categories!$B$5,IF($E53=Categories!$A$6,Categories!$B$6,IF($E53=Categories!$A$7,Categories!$B$7,IF($E53=Categories!$A$8,Categories!$B$8,IF($E53=Categories!$A$9,Categories!$B$9,IF($E53=Categories!$A$10,Categories!$B$10,IF($E53=Categories!$A$11,Categories!$B$11,IF($E53=Categories!$A$12,Categories!$B$12,IF($E53=Categories!$A$13,Categories!$B$13,IF($E53=Categories!$A$14,Categories!$B$14,IF($E53=Categories!$A$15,Categories!$B$15,IF($E53=Categories!$A$16,Categories!$B$16,IF($E53=Categories!$A$17,Categories!$B$17,IF($E53=Categories!$A$18,Categories!$B$18,IF($E53=Categories!$A$19,Categories!$B$19)))))))))))))))))))</f>
        <v>0</v>
      </c>
      <c r="G53" s="9" t="str">
        <f t="shared" si="0"/>
        <v/>
      </c>
      <c r="H53" s="1" t="str">
        <f t="shared" si="1"/>
        <v/>
      </c>
      <c r="I53" s="1" t="str">
        <f t="shared" si="2"/>
        <v/>
      </c>
      <c r="J53" s="1" t="str">
        <f t="shared" si="3"/>
        <v/>
      </c>
      <c r="K53" s="13" t="str">
        <f t="shared" si="4"/>
        <v/>
      </c>
      <c r="L53" s="9" t="str">
        <f t="shared" si="5"/>
        <v/>
      </c>
      <c r="M53" s="1" t="str">
        <f t="shared" si="6"/>
        <v/>
      </c>
      <c r="N53" s="1" t="str">
        <f t="shared" si="7"/>
        <v/>
      </c>
      <c r="O53" s="1" t="str">
        <f t="shared" si="8"/>
        <v/>
      </c>
      <c r="P53" s="1" t="str">
        <f t="shared" si="9"/>
        <v/>
      </c>
      <c r="Q53" s="1" t="str">
        <f t="shared" si="10"/>
        <v/>
      </c>
      <c r="R53" s="1" t="str">
        <f t="shared" si="11"/>
        <v/>
      </c>
      <c r="S53" s="1" t="str">
        <f t="shared" si="12"/>
        <v/>
      </c>
      <c r="T53" s="1" t="str">
        <f t="shared" si="13"/>
        <v/>
      </c>
      <c r="U53" s="1" t="str">
        <f t="shared" si="14"/>
        <v/>
      </c>
      <c r="V53" s="1" t="str">
        <f t="shared" si="15"/>
        <v/>
      </c>
      <c r="W53" s="26" t="str">
        <f t="shared" si="16"/>
        <v/>
      </c>
      <c r="X53" s="13" t="str">
        <f t="shared" si="17"/>
        <v/>
      </c>
      <c r="Y53" s="9">
        <f t="shared" si="18"/>
        <v>0</v>
      </c>
    </row>
    <row r="54" spans="1:25" x14ac:dyDescent="0.25">
      <c r="A54" s="28"/>
      <c r="B54" s="29"/>
      <c r="C54" s="30"/>
      <c r="D54" s="31"/>
      <c r="E54" s="29" t="s">
        <v>16</v>
      </c>
      <c r="F54" s="13" t="b">
        <f>IF($E54=Categories!$A$1,"",IF($E54=Categories!$A$2,Categories!$B$2,IF($E54=Categories!$A$3,Categories!$B$3,IF($E54=Categories!$A$4,Categories!$B$4,IF($E54=Categories!$A$5,Categories!$B$5,IF($E54=Categories!$A$6,Categories!$B$6,IF($E54=Categories!$A$7,Categories!$B$7,IF($E54=Categories!$A$8,Categories!$B$8,IF($E54=Categories!$A$9,Categories!$B$9,IF($E54=Categories!$A$10,Categories!$B$10,IF($E54=Categories!$A$11,Categories!$B$11,IF($E54=Categories!$A$12,Categories!$B$12,IF($E54=Categories!$A$13,Categories!$B$13,IF($E54=Categories!$A$14,Categories!$B$14,IF($E54=Categories!$A$15,Categories!$B$15,IF($E54=Categories!$A$16,Categories!$B$16,IF($E54=Categories!$A$17,Categories!$B$17,IF($E54=Categories!$A$18,Categories!$B$18,IF($E54=Categories!$A$19,Categories!$B$19)))))))))))))))))))</f>
        <v>0</v>
      </c>
      <c r="G54" s="9" t="str">
        <f t="shared" si="0"/>
        <v/>
      </c>
      <c r="H54" s="1" t="str">
        <f t="shared" si="1"/>
        <v/>
      </c>
      <c r="I54" s="1" t="str">
        <f t="shared" si="2"/>
        <v/>
      </c>
      <c r="J54" s="1" t="str">
        <f t="shared" si="3"/>
        <v/>
      </c>
      <c r="K54" s="13" t="str">
        <f t="shared" si="4"/>
        <v/>
      </c>
      <c r="L54" s="9" t="str">
        <f t="shared" si="5"/>
        <v/>
      </c>
      <c r="M54" s="1" t="str">
        <f t="shared" si="6"/>
        <v/>
      </c>
      <c r="N54" s="1" t="str">
        <f t="shared" si="7"/>
        <v/>
      </c>
      <c r="O54" s="1" t="str">
        <f t="shared" si="8"/>
        <v/>
      </c>
      <c r="P54" s="1" t="str">
        <f t="shared" si="9"/>
        <v/>
      </c>
      <c r="Q54" s="1" t="str">
        <f t="shared" si="10"/>
        <v/>
      </c>
      <c r="R54" s="1" t="str">
        <f t="shared" si="11"/>
        <v/>
      </c>
      <c r="S54" s="1" t="str">
        <f t="shared" si="12"/>
        <v/>
      </c>
      <c r="T54" s="1" t="str">
        <f t="shared" si="13"/>
        <v/>
      </c>
      <c r="U54" s="1" t="str">
        <f t="shared" si="14"/>
        <v/>
      </c>
      <c r="V54" s="1" t="str">
        <f t="shared" si="15"/>
        <v/>
      </c>
      <c r="W54" s="26" t="str">
        <f t="shared" si="16"/>
        <v/>
      </c>
      <c r="X54" s="13" t="str">
        <f t="shared" si="17"/>
        <v/>
      </c>
      <c r="Y54" s="9">
        <f t="shared" si="18"/>
        <v>0</v>
      </c>
    </row>
    <row r="55" spans="1:25" x14ac:dyDescent="0.25">
      <c r="A55" s="28"/>
      <c r="B55" s="29"/>
      <c r="C55" s="30"/>
      <c r="D55" s="31"/>
      <c r="E55" s="29" t="s">
        <v>16</v>
      </c>
      <c r="F55" s="13" t="b">
        <f>IF($E55=Categories!$A$1,"",IF($E55=Categories!$A$2,Categories!$B$2,IF($E55=Categories!$A$3,Categories!$B$3,IF($E55=Categories!$A$4,Categories!$B$4,IF($E55=Categories!$A$5,Categories!$B$5,IF($E55=Categories!$A$6,Categories!$B$6,IF($E55=Categories!$A$7,Categories!$B$7,IF($E55=Categories!$A$8,Categories!$B$8,IF($E55=Categories!$A$9,Categories!$B$9,IF($E55=Categories!$A$10,Categories!$B$10,IF($E55=Categories!$A$11,Categories!$B$11,IF($E55=Categories!$A$12,Categories!$B$12,IF($E55=Categories!$A$13,Categories!$B$13,IF($E55=Categories!$A$14,Categories!$B$14,IF($E55=Categories!$A$15,Categories!$B$15,IF($E55=Categories!$A$16,Categories!$B$16,IF($E55=Categories!$A$17,Categories!$B$17,IF($E55=Categories!$A$18,Categories!$B$18,IF($E55=Categories!$A$19,Categories!$B$19)))))))))))))))))))</f>
        <v>0</v>
      </c>
      <c r="G55" s="9" t="str">
        <f t="shared" si="0"/>
        <v/>
      </c>
      <c r="H55" s="1" t="str">
        <f t="shared" si="1"/>
        <v/>
      </c>
      <c r="I55" s="1" t="str">
        <f t="shared" si="2"/>
        <v/>
      </c>
      <c r="J55" s="1" t="str">
        <f t="shared" si="3"/>
        <v/>
      </c>
      <c r="K55" s="13" t="str">
        <f t="shared" si="4"/>
        <v/>
      </c>
      <c r="L55" s="9" t="str">
        <f t="shared" si="5"/>
        <v/>
      </c>
      <c r="M55" s="1" t="str">
        <f t="shared" si="6"/>
        <v/>
      </c>
      <c r="N55" s="1" t="str">
        <f t="shared" si="7"/>
        <v/>
      </c>
      <c r="O55" s="1" t="str">
        <f t="shared" si="8"/>
        <v/>
      </c>
      <c r="P55" s="1" t="str">
        <f t="shared" si="9"/>
        <v/>
      </c>
      <c r="Q55" s="1" t="str">
        <f t="shared" si="10"/>
        <v/>
      </c>
      <c r="R55" s="1" t="str">
        <f t="shared" si="11"/>
        <v/>
      </c>
      <c r="S55" s="1" t="str">
        <f t="shared" si="12"/>
        <v/>
      </c>
      <c r="T55" s="1" t="str">
        <f t="shared" si="13"/>
        <v/>
      </c>
      <c r="U55" s="1" t="str">
        <f t="shared" si="14"/>
        <v/>
      </c>
      <c r="V55" s="1" t="str">
        <f t="shared" si="15"/>
        <v/>
      </c>
      <c r="W55" s="26" t="str">
        <f t="shared" si="16"/>
        <v/>
      </c>
      <c r="X55" s="13" t="str">
        <f t="shared" si="17"/>
        <v/>
      </c>
      <c r="Y55" s="9">
        <f t="shared" si="18"/>
        <v>0</v>
      </c>
    </row>
    <row r="56" spans="1:25" x14ac:dyDescent="0.25">
      <c r="A56" s="28"/>
      <c r="B56" s="29"/>
      <c r="C56" s="30"/>
      <c r="D56" s="31"/>
      <c r="E56" s="29" t="s">
        <v>16</v>
      </c>
      <c r="F56" s="13" t="b">
        <f>IF($E56=Categories!$A$1,"",IF($E56=Categories!$A$2,Categories!$B$2,IF($E56=Categories!$A$3,Categories!$B$3,IF($E56=Categories!$A$4,Categories!$B$4,IF($E56=Categories!$A$5,Categories!$B$5,IF($E56=Categories!$A$6,Categories!$B$6,IF($E56=Categories!$A$7,Categories!$B$7,IF($E56=Categories!$A$8,Categories!$B$8,IF($E56=Categories!$A$9,Categories!$B$9,IF($E56=Categories!$A$10,Categories!$B$10,IF($E56=Categories!$A$11,Categories!$B$11,IF($E56=Categories!$A$12,Categories!$B$12,IF($E56=Categories!$A$13,Categories!$B$13,IF($E56=Categories!$A$14,Categories!$B$14,IF($E56=Categories!$A$15,Categories!$B$15,IF($E56=Categories!$A$16,Categories!$B$16,IF($E56=Categories!$A$17,Categories!$B$17,IF($E56=Categories!$A$18,Categories!$B$18,IF($E56=Categories!$A$19,Categories!$B$19)))))))))))))))))))</f>
        <v>0</v>
      </c>
      <c r="G56" s="9" t="str">
        <f t="shared" si="0"/>
        <v/>
      </c>
      <c r="H56" s="1" t="str">
        <f t="shared" si="1"/>
        <v/>
      </c>
      <c r="I56" s="1" t="str">
        <f t="shared" si="2"/>
        <v/>
      </c>
      <c r="J56" s="1" t="str">
        <f t="shared" si="3"/>
        <v/>
      </c>
      <c r="K56" s="13" t="str">
        <f t="shared" si="4"/>
        <v/>
      </c>
      <c r="L56" s="9" t="str">
        <f t="shared" si="5"/>
        <v/>
      </c>
      <c r="M56" s="1" t="str">
        <f t="shared" si="6"/>
        <v/>
      </c>
      <c r="N56" s="1" t="str">
        <f t="shared" si="7"/>
        <v/>
      </c>
      <c r="O56" s="1" t="str">
        <f t="shared" si="8"/>
        <v/>
      </c>
      <c r="P56" s="1" t="str">
        <f t="shared" si="9"/>
        <v/>
      </c>
      <c r="Q56" s="1" t="str">
        <f t="shared" si="10"/>
        <v/>
      </c>
      <c r="R56" s="1" t="str">
        <f t="shared" si="11"/>
        <v/>
      </c>
      <c r="S56" s="1" t="str">
        <f t="shared" si="12"/>
        <v/>
      </c>
      <c r="T56" s="1" t="str">
        <f t="shared" si="13"/>
        <v/>
      </c>
      <c r="U56" s="1" t="str">
        <f t="shared" si="14"/>
        <v/>
      </c>
      <c r="V56" s="1" t="str">
        <f t="shared" si="15"/>
        <v/>
      </c>
      <c r="W56" s="26" t="str">
        <f t="shared" si="16"/>
        <v/>
      </c>
      <c r="X56" s="13" t="str">
        <f t="shared" si="17"/>
        <v/>
      </c>
      <c r="Y56" s="9">
        <f t="shared" si="18"/>
        <v>0</v>
      </c>
    </row>
    <row r="57" spans="1:25" x14ac:dyDescent="0.25">
      <c r="A57" s="28"/>
      <c r="B57" s="29"/>
      <c r="C57" s="30"/>
      <c r="D57" s="31"/>
      <c r="E57" s="29" t="s">
        <v>16</v>
      </c>
      <c r="F57" s="13" t="b">
        <f>IF($E57=Categories!$A$1,"",IF($E57=Categories!$A$2,Categories!$B$2,IF($E57=Categories!$A$3,Categories!$B$3,IF($E57=Categories!$A$4,Categories!$B$4,IF($E57=Categories!$A$5,Categories!$B$5,IF($E57=Categories!$A$6,Categories!$B$6,IF($E57=Categories!$A$7,Categories!$B$7,IF($E57=Categories!$A$8,Categories!$B$8,IF($E57=Categories!$A$9,Categories!$B$9,IF($E57=Categories!$A$10,Categories!$B$10,IF($E57=Categories!$A$11,Categories!$B$11,IF($E57=Categories!$A$12,Categories!$B$12,IF($E57=Categories!$A$13,Categories!$B$13,IF($E57=Categories!$A$14,Categories!$B$14,IF($E57=Categories!$A$15,Categories!$B$15,IF($E57=Categories!$A$16,Categories!$B$16,IF($E57=Categories!$A$17,Categories!$B$17,IF($E57=Categories!$A$18,Categories!$B$18,IF($E57=Categories!$A$19,Categories!$B$19)))))))))))))))))))</f>
        <v>0</v>
      </c>
      <c r="G57" s="9" t="str">
        <f t="shared" si="0"/>
        <v/>
      </c>
      <c r="H57" s="1" t="str">
        <f t="shared" si="1"/>
        <v/>
      </c>
      <c r="I57" s="1" t="str">
        <f t="shared" si="2"/>
        <v/>
      </c>
      <c r="J57" s="1" t="str">
        <f t="shared" si="3"/>
        <v/>
      </c>
      <c r="K57" s="13" t="str">
        <f t="shared" si="4"/>
        <v/>
      </c>
      <c r="L57" s="9" t="str">
        <f t="shared" si="5"/>
        <v/>
      </c>
      <c r="M57" s="1" t="str">
        <f t="shared" si="6"/>
        <v/>
      </c>
      <c r="N57" s="1" t="str">
        <f t="shared" si="7"/>
        <v/>
      </c>
      <c r="O57" s="1" t="str">
        <f t="shared" si="8"/>
        <v/>
      </c>
      <c r="P57" s="1" t="str">
        <f t="shared" si="9"/>
        <v/>
      </c>
      <c r="Q57" s="1" t="str">
        <f t="shared" si="10"/>
        <v/>
      </c>
      <c r="R57" s="1" t="str">
        <f t="shared" si="11"/>
        <v/>
      </c>
      <c r="S57" s="1" t="str">
        <f t="shared" si="12"/>
        <v/>
      </c>
      <c r="T57" s="1" t="str">
        <f t="shared" si="13"/>
        <v/>
      </c>
      <c r="U57" s="1" t="str">
        <f t="shared" si="14"/>
        <v/>
      </c>
      <c r="V57" s="1" t="str">
        <f t="shared" si="15"/>
        <v/>
      </c>
      <c r="W57" s="26" t="str">
        <f t="shared" si="16"/>
        <v/>
      </c>
      <c r="X57" s="13" t="str">
        <f t="shared" si="17"/>
        <v/>
      </c>
      <c r="Y57" s="9">
        <f t="shared" si="18"/>
        <v>0</v>
      </c>
    </row>
    <row r="58" spans="1:25" x14ac:dyDescent="0.25">
      <c r="A58" s="28"/>
      <c r="B58" s="29"/>
      <c r="C58" s="30"/>
      <c r="D58" s="31"/>
      <c r="E58" s="29" t="s">
        <v>16</v>
      </c>
      <c r="F58" s="13" t="b">
        <f>IF($E58=Categories!$A$1,"",IF($E58=Categories!$A$2,Categories!$B$2,IF($E58=Categories!$A$3,Categories!$B$3,IF($E58=Categories!$A$4,Categories!$B$4,IF($E58=Categories!$A$5,Categories!$B$5,IF($E58=Categories!$A$6,Categories!$B$6,IF($E58=Categories!$A$7,Categories!$B$7,IF($E58=Categories!$A$8,Categories!$B$8,IF($E58=Categories!$A$9,Categories!$B$9,IF($E58=Categories!$A$10,Categories!$B$10,IF($E58=Categories!$A$11,Categories!$B$11,IF($E58=Categories!$A$12,Categories!$B$12,IF($E58=Categories!$A$13,Categories!$B$13,IF($E58=Categories!$A$14,Categories!$B$14,IF($E58=Categories!$A$15,Categories!$B$15,IF($E58=Categories!$A$16,Categories!$B$16,IF($E58=Categories!$A$17,Categories!$B$17,IF($E58=Categories!$A$18,Categories!$B$18,IF($E58=Categories!$A$19,Categories!$B$19)))))))))))))))))))</f>
        <v>0</v>
      </c>
      <c r="G58" s="9" t="str">
        <f t="shared" si="0"/>
        <v/>
      </c>
      <c r="H58" s="1" t="str">
        <f t="shared" si="1"/>
        <v/>
      </c>
      <c r="I58" s="1" t="str">
        <f t="shared" si="2"/>
        <v/>
      </c>
      <c r="J58" s="1" t="str">
        <f t="shared" si="3"/>
        <v/>
      </c>
      <c r="K58" s="13" t="str">
        <f t="shared" si="4"/>
        <v/>
      </c>
      <c r="L58" s="9" t="str">
        <f t="shared" si="5"/>
        <v/>
      </c>
      <c r="M58" s="1" t="str">
        <f t="shared" si="6"/>
        <v/>
      </c>
      <c r="N58" s="1" t="str">
        <f t="shared" si="7"/>
        <v/>
      </c>
      <c r="O58" s="1" t="str">
        <f t="shared" si="8"/>
        <v/>
      </c>
      <c r="P58" s="1" t="str">
        <f t="shared" si="9"/>
        <v/>
      </c>
      <c r="Q58" s="1" t="str">
        <f t="shared" si="10"/>
        <v/>
      </c>
      <c r="R58" s="1" t="str">
        <f t="shared" si="11"/>
        <v/>
      </c>
      <c r="S58" s="1" t="str">
        <f t="shared" si="12"/>
        <v/>
      </c>
      <c r="T58" s="1" t="str">
        <f t="shared" si="13"/>
        <v/>
      </c>
      <c r="U58" s="1" t="str">
        <f t="shared" si="14"/>
        <v/>
      </c>
      <c r="V58" s="1" t="str">
        <f t="shared" si="15"/>
        <v/>
      </c>
      <c r="W58" s="26" t="str">
        <f t="shared" si="16"/>
        <v/>
      </c>
      <c r="X58" s="13" t="str">
        <f t="shared" si="17"/>
        <v/>
      </c>
      <c r="Y58" s="9">
        <f t="shared" si="18"/>
        <v>0</v>
      </c>
    </row>
    <row r="59" spans="1:25" x14ac:dyDescent="0.25">
      <c r="A59" s="28"/>
      <c r="B59" s="29"/>
      <c r="C59" s="30"/>
      <c r="D59" s="31"/>
      <c r="E59" s="29" t="s">
        <v>16</v>
      </c>
      <c r="F59" s="13" t="b">
        <f>IF($E59=Categories!$A$1,"",IF($E59=Categories!$A$2,Categories!$B$2,IF($E59=Categories!$A$3,Categories!$B$3,IF($E59=Categories!$A$4,Categories!$B$4,IF($E59=Categories!$A$5,Categories!$B$5,IF($E59=Categories!$A$6,Categories!$B$6,IF($E59=Categories!$A$7,Categories!$B$7,IF($E59=Categories!$A$8,Categories!$B$8,IF($E59=Categories!$A$9,Categories!$B$9,IF($E59=Categories!$A$10,Categories!$B$10,IF($E59=Categories!$A$11,Categories!$B$11,IF($E59=Categories!$A$12,Categories!$B$12,IF($E59=Categories!$A$13,Categories!$B$13,IF($E59=Categories!$A$14,Categories!$B$14,IF($E59=Categories!$A$15,Categories!$B$15,IF($E59=Categories!$A$16,Categories!$B$16,IF($E59=Categories!$A$17,Categories!$B$17,IF($E59=Categories!$A$18,Categories!$B$18,IF($E59=Categories!$A$19,Categories!$B$19)))))))))))))))))))</f>
        <v>0</v>
      </c>
      <c r="G59" s="9" t="str">
        <f t="shared" si="0"/>
        <v/>
      </c>
      <c r="H59" s="1" t="str">
        <f t="shared" si="1"/>
        <v/>
      </c>
      <c r="I59" s="1" t="str">
        <f t="shared" si="2"/>
        <v/>
      </c>
      <c r="J59" s="1" t="str">
        <f t="shared" si="3"/>
        <v/>
      </c>
      <c r="K59" s="13" t="str">
        <f t="shared" si="4"/>
        <v/>
      </c>
      <c r="L59" s="9" t="str">
        <f t="shared" si="5"/>
        <v/>
      </c>
      <c r="M59" s="1" t="str">
        <f t="shared" si="6"/>
        <v/>
      </c>
      <c r="N59" s="1" t="str">
        <f t="shared" si="7"/>
        <v/>
      </c>
      <c r="O59" s="1" t="str">
        <f t="shared" si="8"/>
        <v/>
      </c>
      <c r="P59" s="1" t="str">
        <f t="shared" si="9"/>
        <v/>
      </c>
      <c r="Q59" s="1" t="str">
        <f t="shared" si="10"/>
        <v/>
      </c>
      <c r="R59" s="1" t="str">
        <f t="shared" si="11"/>
        <v/>
      </c>
      <c r="S59" s="1" t="str">
        <f t="shared" si="12"/>
        <v/>
      </c>
      <c r="T59" s="1" t="str">
        <f t="shared" si="13"/>
        <v/>
      </c>
      <c r="U59" s="1" t="str">
        <f t="shared" si="14"/>
        <v/>
      </c>
      <c r="V59" s="1" t="str">
        <f t="shared" si="15"/>
        <v/>
      </c>
      <c r="W59" s="26" t="str">
        <f t="shared" si="16"/>
        <v/>
      </c>
      <c r="X59" s="13" t="str">
        <f t="shared" si="17"/>
        <v/>
      </c>
      <c r="Y59" s="9">
        <f t="shared" si="18"/>
        <v>0</v>
      </c>
    </row>
    <row r="60" spans="1:25" x14ac:dyDescent="0.25">
      <c r="A60" s="28"/>
      <c r="B60" s="29"/>
      <c r="C60" s="30"/>
      <c r="D60" s="31"/>
      <c r="E60" s="29" t="s">
        <v>16</v>
      </c>
      <c r="F60" s="13" t="b">
        <f>IF($E60=Categories!$A$1,"",IF($E60=Categories!$A$2,Categories!$B$2,IF($E60=Categories!$A$3,Categories!$B$3,IF($E60=Categories!$A$4,Categories!$B$4,IF($E60=Categories!$A$5,Categories!$B$5,IF($E60=Categories!$A$6,Categories!$B$6,IF($E60=Categories!$A$7,Categories!$B$7,IF($E60=Categories!$A$8,Categories!$B$8,IF($E60=Categories!$A$9,Categories!$B$9,IF($E60=Categories!$A$10,Categories!$B$10,IF($E60=Categories!$A$11,Categories!$B$11,IF($E60=Categories!$A$12,Categories!$B$12,IF($E60=Categories!$A$13,Categories!$B$13,IF($E60=Categories!$A$14,Categories!$B$14,IF($E60=Categories!$A$15,Categories!$B$15,IF($E60=Categories!$A$16,Categories!$B$16,IF($E60=Categories!$A$17,Categories!$B$17,IF($E60=Categories!$A$18,Categories!$B$18,IF($E60=Categories!$A$19,Categories!$B$19)))))))))))))))))))</f>
        <v>0</v>
      </c>
      <c r="G60" s="9" t="str">
        <f t="shared" si="0"/>
        <v/>
      </c>
      <c r="H60" s="1" t="str">
        <f t="shared" si="1"/>
        <v/>
      </c>
      <c r="I60" s="1" t="str">
        <f t="shared" si="2"/>
        <v/>
      </c>
      <c r="J60" s="1" t="str">
        <f t="shared" si="3"/>
        <v/>
      </c>
      <c r="K60" s="13" t="str">
        <f t="shared" si="4"/>
        <v/>
      </c>
      <c r="L60" s="9" t="str">
        <f t="shared" si="5"/>
        <v/>
      </c>
      <c r="M60" s="1" t="str">
        <f t="shared" si="6"/>
        <v/>
      </c>
      <c r="N60" s="1" t="str">
        <f t="shared" si="7"/>
        <v/>
      </c>
      <c r="O60" s="1" t="str">
        <f t="shared" si="8"/>
        <v/>
      </c>
      <c r="P60" s="1" t="str">
        <f t="shared" si="9"/>
        <v/>
      </c>
      <c r="Q60" s="1" t="str">
        <f t="shared" si="10"/>
        <v/>
      </c>
      <c r="R60" s="1" t="str">
        <f t="shared" si="11"/>
        <v/>
      </c>
      <c r="S60" s="1" t="str">
        <f t="shared" si="12"/>
        <v/>
      </c>
      <c r="T60" s="1" t="str">
        <f t="shared" si="13"/>
        <v/>
      </c>
      <c r="U60" s="1" t="str">
        <f t="shared" si="14"/>
        <v/>
      </c>
      <c r="V60" s="1" t="str">
        <f t="shared" si="15"/>
        <v/>
      </c>
      <c r="W60" s="26" t="str">
        <f t="shared" si="16"/>
        <v/>
      </c>
      <c r="X60" s="13" t="str">
        <f t="shared" si="17"/>
        <v/>
      </c>
      <c r="Y60" s="9">
        <f t="shared" si="18"/>
        <v>0</v>
      </c>
    </row>
    <row r="61" spans="1:25" x14ac:dyDescent="0.25">
      <c r="A61" s="28"/>
      <c r="B61" s="29"/>
      <c r="C61" s="30"/>
      <c r="D61" s="31"/>
      <c r="E61" s="29" t="s">
        <v>16</v>
      </c>
      <c r="F61" s="13" t="b">
        <f>IF($E61=Categories!$A$1,"",IF($E61=Categories!$A$2,Categories!$B$2,IF($E61=Categories!$A$3,Categories!$B$3,IF($E61=Categories!$A$4,Categories!$B$4,IF($E61=Categories!$A$5,Categories!$B$5,IF($E61=Categories!$A$6,Categories!$B$6,IF($E61=Categories!$A$7,Categories!$B$7,IF($E61=Categories!$A$8,Categories!$B$8,IF($E61=Categories!$A$9,Categories!$B$9,IF($E61=Categories!$A$10,Categories!$B$10,IF($E61=Categories!$A$11,Categories!$B$11,IF($E61=Categories!$A$12,Categories!$B$12,IF($E61=Categories!$A$13,Categories!$B$13,IF($E61=Categories!$A$14,Categories!$B$14,IF($E61=Categories!$A$15,Categories!$B$15,IF($E61=Categories!$A$16,Categories!$B$16,IF($E61=Categories!$A$17,Categories!$B$17,IF($E61=Categories!$A$18,Categories!$B$18,IF($E61=Categories!$A$19,Categories!$B$19)))))))))))))))))))</f>
        <v>0</v>
      </c>
      <c r="G61" s="9" t="str">
        <f t="shared" si="0"/>
        <v/>
      </c>
      <c r="H61" s="1" t="str">
        <f t="shared" si="1"/>
        <v/>
      </c>
      <c r="I61" s="1" t="str">
        <f t="shared" si="2"/>
        <v/>
      </c>
      <c r="J61" s="1" t="str">
        <f t="shared" si="3"/>
        <v/>
      </c>
      <c r="K61" s="13" t="str">
        <f t="shared" si="4"/>
        <v/>
      </c>
      <c r="L61" s="9" t="str">
        <f t="shared" si="5"/>
        <v/>
      </c>
      <c r="M61" s="1" t="str">
        <f t="shared" si="6"/>
        <v/>
      </c>
      <c r="N61" s="1" t="str">
        <f t="shared" si="7"/>
        <v/>
      </c>
      <c r="O61" s="1" t="str">
        <f t="shared" si="8"/>
        <v/>
      </c>
      <c r="P61" s="1" t="str">
        <f t="shared" si="9"/>
        <v/>
      </c>
      <c r="Q61" s="1" t="str">
        <f t="shared" si="10"/>
        <v/>
      </c>
      <c r="R61" s="1" t="str">
        <f t="shared" si="11"/>
        <v/>
      </c>
      <c r="S61" s="1" t="str">
        <f t="shared" si="12"/>
        <v/>
      </c>
      <c r="T61" s="1" t="str">
        <f t="shared" si="13"/>
        <v/>
      </c>
      <c r="U61" s="1" t="str">
        <f t="shared" si="14"/>
        <v/>
      </c>
      <c r="V61" s="1" t="str">
        <f t="shared" si="15"/>
        <v/>
      </c>
      <c r="W61" s="26" t="str">
        <f t="shared" si="16"/>
        <v/>
      </c>
      <c r="X61" s="13" t="str">
        <f t="shared" si="17"/>
        <v/>
      </c>
      <c r="Y61" s="9">
        <f t="shared" si="18"/>
        <v>0</v>
      </c>
    </row>
    <row r="62" spans="1:25" x14ac:dyDescent="0.25">
      <c r="A62" s="28"/>
      <c r="B62" s="29"/>
      <c r="C62" s="30"/>
      <c r="D62" s="31"/>
      <c r="E62" s="29" t="s">
        <v>16</v>
      </c>
      <c r="F62" s="13" t="b">
        <f>IF($E62=Categories!$A$1,"",IF($E62=Categories!$A$2,Categories!$B$2,IF($E62=Categories!$A$3,Categories!$B$3,IF($E62=Categories!$A$4,Categories!$B$4,IF($E62=Categories!$A$5,Categories!$B$5,IF($E62=Categories!$A$6,Categories!$B$6,IF($E62=Categories!$A$7,Categories!$B$7,IF($E62=Categories!$A$8,Categories!$B$8,IF($E62=Categories!$A$9,Categories!$B$9,IF($E62=Categories!$A$10,Categories!$B$10,IF($E62=Categories!$A$11,Categories!$B$11,IF($E62=Categories!$A$12,Categories!$B$12,IF($E62=Categories!$A$13,Categories!$B$13,IF($E62=Categories!$A$14,Categories!$B$14,IF($E62=Categories!$A$15,Categories!$B$15,IF($E62=Categories!$A$16,Categories!$B$16,IF($E62=Categories!$A$17,Categories!$B$17,IF($E62=Categories!$A$18,Categories!$B$18,IF($E62=Categories!$A$19,Categories!$B$19)))))))))))))))))))</f>
        <v>0</v>
      </c>
      <c r="G62" s="9" t="str">
        <f t="shared" si="0"/>
        <v/>
      </c>
      <c r="H62" s="1" t="str">
        <f t="shared" si="1"/>
        <v/>
      </c>
      <c r="I62" s="1" t="str">
        <f t="shared" si="2"/>
        <v/>
      </c>
      <c r="J62" s="1" t="str">
        <f t="shared" si="3"/>
        <v/>
      </c>
      <c r="K62" s="13" t="str">
        <f t="shared" si="4"/>
        <v/>
      </c>
      <c r="L62" s="9" t="str">
        <f t="shared" si="5"/>
        <v/>
      </c>
      <c r="M62" s="1" t="str">
        <f t="shared" si="6"/>
        <v/>
      </c>
      <c r="N62" s="1" t="str">
        <f t="shared" si="7"/>
        <v/>
      </c>
      <c r="O62" s="1" t="str">
        <f t="shared" si="8"/>
        <v/>
      </c>
      <c r="P62" s="1" t="str">
        <f t="shared" si="9"/>
        <v/>
      </c>
      <c r="Q62" s="1" t="str">
        <f t="shared" si="10"/>
        <v/>
      </c>
      <c r="R62" s="1" t="str">
        <f t="shared" si="11"/>
        <v/>
      </c>
      <c r="S62" s="1" t="str">
        <f t="shared" si="12"/>
        <v/>
      </c>
      <c r="T62" s="1" t="str">
        <f t="shared" si="13"/>
        <v/>
      </c>
      <c r="U62" s="1" t="str">
        <f t="shared" si="14"/>
        <v/>
      </c>
      <c r="V62" s="1" t="str">
        <f t="shared" si="15"/>
        <v/>
      </c>
      <c r="W62" s="26" t="str">
        <f t="shared" si="16"/>
        <v/>
      </c>
      <c r="X62" s="13" t="str">
        <f t="shared" si="17"/>
        <v/>
      </c>
      <c r="Y62" s="9">
        <f t="shared" si="18"/>
        <v>0</v>
      </c>
    </row>
    <row r="63" spans="1:25" x14ac:dyDescent="0.25">
      <c r="A63" s="28"/>
      <c r="B63" s="29"/>
      <c r="C63" s="30"/>
      <c r="D63" s="31"/>
      <c r="E63" s="29" t="s">
        <v>16</v>
      </c>
      <c r="F63" s="13" t="b">
        <f>IF($E63=Categories!$A$1,"",IF($E63=Categories!$A$2,Categories!$B$2,IF($E63=Categories!$A$3,Categories!$B$3,IF($E63=Categories!$A$4,Categories!$B$4,IF($E63=Categories!$A$5,Categories!$B$5,IF($E63=Categories!$A$6,Categories!$B$6,IF($E63=Categories!$A$7,Categories!$B$7,IF($E63=Categories!$A$8,Categories!$B$8,IF($E63=Categories!$A$9,Categories!$B$9,IF($E63=Categories!$A$10,Categories!$B$10,IF($E63=Categories!$A$11,Categories!$B$11,IF($E63=Categories!$A$12,Categories!$B$12,IF($E63=Categories!$A$13,Categories!$B$13,IF($E63=Categories!$A$14,Categories!$B$14,IF($E63=Categories!$A$15,Categories!$B$15,IF($E63=Categories!$A$16,Categories!$B$16,IF($E63=Categories!$A$17,Categories!$B$17,IF($E63=Categories!$A$18,Categories!$B$18,IF($E63=Categories!$A$19,Categories!$B$19)))))))))))))))))))</f>
        <v>0</v>
      </c>
      <c r="G63" s="9" t="str">
        <f t="shared" si="0"/>
        <v/>
      </c>
      <c r="H63" s="1" t="str">
        <f t="shared" si="1"/>
        <v/>
      </c>
      <c r="I63" s="1" t="str">
        <f t="shared" si="2"/>
        <v/>
      </c>
      <c r="J63" s="1" t="str">
        <f t="shared" si="3"/>
        <v/>
      </c>
      <c r="K63" s="13" t="str">
        <f t="shared" si="4"/>
        <v/>
      </c>
      <c r="L63" s="9" t="str">
        <f t="shared" si="5"/>
        <v/>
      </c>
      <c r="M63" s="1" t="str">
        <f t="shared" si="6"/>
        <v/>
      </c>
      <c r="N63" s="1" t="str">
        <f t="shared" si="7"/>
        <v/>
      </c>
      <c r="O63" s="1" t="str">
        <f t="shared" si="8"/>
        <v/>
      </c>
      <c r="P63" s="1" t="str">
        <f t="shared" si="9"/>
        <v/>
      </c>
      <c r="Q63" s="1" t="str">
        <f t="shared" si="10"/>
        <v/>
      </c>
      <c r="R63" s="1" t="str">
        <f t="shared" si="11"/>
        <v/>
      </c>
      <c r="S63" s="1" t="str">
        <f t="shared" si="12"/>
        <v/>
      </c>
      <c r="T63" s="1" t="str">
        <f t="shared" si="13"/>
        <v/>
      </c>
      <c r="U63" s="1" t="str">
        <f t="shared" si="14"/>
        <v/>
      </c>
      <c r="V63" s="1" t="str">
        <f t="shared" si="15"/>
        <v/>
      </c>
      <c r="W63" s="26" t="str">
        <f t="shared" si="16"/>
        <v/>
      </c>
      <c r="X63" s="13" t="str">
        <f t="shared" si="17"/>
        <v/>
      </c>
      <c r="Y63" s="9">
        <f t="shared" si="18"/>
        <v>0</v>
      </c>
    </row>
    <row r="64" spans="1:25" x14ac:dyDescent="0.25">
      <c r="A64" s="28"/>
      <c r="B64" s="29"/>
      <c r="C64" s="30"/>
      <c r="D64" s="31"/>
      <c r="E64" s="29" t="s">
        <v>16</v>
      </c>
      <c r="F64" s="13" t="b">
        <f>IF($E64=Categories!$A$1,"",IF($E64=Categories!$A$2,Categories!$B$2,IF($E64=Categories!$A$3,Categories!$B$3,IF($E64=Categories!$A$4,Categories!$B$4,IF($E64=Categories!$A$5,Categories!$B$5,IF($E64=Categories!$A$6,Categories!$B$6,IF($E64=Categories!$A$7,Categories!$B$7,IF($E64=Categories!$A$8,Categories!$B$8,IF($E64=Categories!$A$9,Categories!$B$9,IF($E64=Categories!$A$10,Categories!$B$10,IF($E64=Categories!$A$11,Categories!$B$11,IF($E64=Categories!$A$12,Categories!$B$12,IF($E64=Categories!$A$13,Categories!$B$13,IF($E64=Categories!$A$14,Categories!$B$14,IF($E64=Categories!$A$15,Categories!$B$15,IF($E64=Categories!$A$16,Categories!$B$16,IF($E64=Categories!$A$17,Categories!$B$17,IF($E64=Categories!$A$18,Categories!$B$18,IF($E64=Categories!$A$19,Categories!$B$19)))))))))))))))))))</f>
        <v>0</v>
      </c>
      <c r="G64" s="9" t="str">
        <f t="shared" si="0"/>
        <v/>
      </c>
      <c r="H64" s="1" t="str">
        <f t="shared" si="1"/>
        <v/>
      </c>
      <c r="I64" s="1" t="str">
        <f t="shared" si="2"/>
        <v/>
      </c>
      <c r="J64" s="1" t="str">
        <f t="shared" si="3"/>
        <v/>
      </c>
      <c r="K64" s="13" t="str">
        <f t="shared" si="4"/>
        <v/>
      </c>
      <c r="L64" s="9" t="str">
        <f t="shared" si="5"/>
        <v/>
      </c>
      <c r="M64" s="1" t="str">
        <f t="shared" si="6"/>
        <v/>
      </c>
      <c r="N64" s="1" t="str">
        <f t="shared" si="7"/>
        <v/>
      </c>
      <c r="O64" s="1" t="str">
        <f t="shared" si="8"/>
        <v/>
      </c>
      <c r="P64" s="1" t="str">
        <f t="shared" si="9"/>
        <v/>
      </c>
      <c r="Q64" s="1" t="str">
        <f t="shared" si="10"/>
        <v/>
      </c>
      <c r="R64" s="1" t="str">
        <f t="shared" si="11"/>
        <v/>
      </c>
      <c r="S64" s="1" t="str">
        <f t="shared" si="12"/>
        <v/>
      </c>
      <c r="T64" s="1" t="str">
        <f t="shared" si="13"/>
        <v/>
      </c>
      <c r="U64" s="1" t="str">
        <f t="shared" si="14"/>
        <v/>
      </c>
      <c r="V64" s="1" t="str">
        <f t="shared" si="15"/>
        <v/>
      </c>
      <c r="W64" s="26" t="str">
        <f t="shared" si="16"/>
        <v/>
      </c>
      <c r="X64" s="13" t="str">
        <f t="shared" si="17"/>
        <v/>
      </c>
      <c r="Y64" s="9">
        <f t="shared" si="18"/>
        <v>0</v>
      </c>
    </row>
    <row r="65" spans="1:25" x14ac:dyDescent="0.25">
      <c r="A65" s="28"/>
      <c r="B65" s="29"/>
      <c r="C65" s="30"/>
      <c r="D65" s="31"/>
      <c r="E65" s="29" t="s">
        <v>16</v>
      </c>
      <c r="F65" s="13" t="b">
        <f>IF($E65=Categories!$A$1,"",IF($E65=Categories!$A$2,Categories!$B$2,IF($E65=Categories!$A$3,Categories!$B$3,IF($E65=Categories!$A$4,Categories!$B$4,IF($E65=Categories!$A$5,Categories!$B$5,IF($E65=Categories!$A$6,Categories!$B$6,IF($E65=Categories!$A$7,Categories!$B$7,IF($E65=Categories!$A$8,Categories!$B$8,IF($E65=Categories!$A$9,Categories!$B$9,IF($E65=Categories!$A$10,Categories!$B$10,IF($E65=Categories!$A$11,Categories!$B$11,IF($E65=Categories!$A$12,Categories!$B$12,IF($E65=Categories!$A$13,Categories!$B$13,IF($E65=Categories!$A$14,Categories!$B$14,IF($E65=Categories!$A$15,Categories!$B$15,IF($E65=Categories!$A$16,Categories!$B$16,IF($E65=Categories!$A$17,Categories!$B$17,IF($E65=Categories!$A$18,Categories!$B$18,IF($E65=Categories!$A$19,Categories!$B$19)))))))))))))))))))</f>
        <v>0</v>
      </c>
      <c r="G65" s="9" t="str">
        <f t="shared" si="0"/>
        <v/>
      </c>
      <c r="H65" s="1" t="str">
        <f t="shared" si="1"/>
        <v/>
      </c>
      <c r="I65" s="1" t="str">
        <f t="shared" si="2"/>
        <v/>
      </c>
      <c r="J65" s="1" t="str">
        <f t="shared" si="3"/>
        <v/>
      </c>
      <c r="K65" s="13" t="str">
        <f t="shared" si="4"/>
        <v/>
      </c>
      <c r="L65" s="9" t="str">
        <f t="shared" si="5"/>
        <v/>
      </c>
      <c r="M65" s="1" t="str">
        <f t="shared" si="6"/>
        <v/>
      </c>
      <c r="N65" s="1" t="str">
        <f t="shared" si="7"/>
        <v/>
      </c>
      <c r="O65" s="1" t="str">
        <f t="shared" si="8"/>
        <v/>
      </c>
      <c r="P65" s="1" t="str">
        <f t="shared" si="9"/>
        <v/>
      </c>
      <c r="Q65" s="1" t="str">
        <f t="shared" si="10"/>
        <v/>
      </c>
      <c r="R65" s="1" t="str">
        <f t="shared" si="11"/>
        <v/>
      </c>
      <c r="S65" s="1" t="str">
        <f t="shared" si="12"/>
        <v/>
      </c>
      <c r="T65" s="1" t="str">
        <f t="shared" si="13"/>
        <v/>
      </c>
      <c r="U65" s="1" t="str">
        <f t="shared" si="14"/>
        <v/>
      </c>
      <c r="V65" s="1" t="str">
        <f t="shared" si="15"/>
        <v/>
      </c>
      <c r="W65" s="26" t="str">
        <f t="shared" si="16"/>
        <v/>
      </c>
      <c r="X65" s="13" t="str">
        <f t="shared" si="17"/>
        <v/>
      </c>
      <c r="Y65" s="9">
        <f t="shared" si="18"/>
        <v>0</v>
      </c>
    </row>
    <row r="66" spans="1:25" x14ac:dyDescent="0.25">
      <c r="A66" s="28"/>
      <c r="B66" s="29"/>
      <c r="C66" s="30"/>
      <c r="D66" s="31"/>
      <c r="E66" s="29" t="s">
        <v>16</v>
      </c>
      <c r="F66" s="13" t="b">
        <f>IF($E66=Categories!$A$1,"",IF($E66=Categories!$A$2,Categories!$B$2,IF($E66=Categories!$A$3,Categories!$B$3,IF($E66=Categories!$A$4,Categories!$B$4,IF($E66=Categories!$A$5,Categories!$B$5,IF($E66=Categories!$A$6,Categories!$B$6,IF($E66=Categories!$A$7,Categories!$B$7,IF($E66=Categories!$A$8,Categories!$B$8,IF($E66=Categories!$A$9,Categories!$B$9,IF($E66=Categories!$A$10,Categories!$B$10,IF($E66=Categories!$A$11,Categories!$B$11,IF($E66=Categories!$A$12,Categories!$B$12,IF($E66=Categories!$A$13,Categories!$B$13,IF($E66=Categories!$A$14,Categories!$B$14,IF($E66=Categories!$A$15,Categories!$B$15,IF($E66=Categories!$A$16,Categories!$B$16,IF($E66=Categories!$A$17,Categories!$B$17,IF($E66=Categories!$A$18,Categories!$B$18,IF($E66=Categories!$A$19,Categories!$B$19)))))))))))))))))))</f>
        <v>0</v>
      </c>
      <c r="G66" s="9" t="str">
        <f t="shared" si="0"/>
        <v/>
      </c>
      <c r="H66" s="1" t="str">
        <f t="shared" si="1"/>
        <v/>
      </c>
      <c r="I66" s="1" t="str">
        <f t="shared" si="2"/>
        <v/>
      </c>
      <c r="J66" s="1" t="str">
        <f t="shared" si="3"/>
        <v/>
      </c>
      <c r="K66" s="13" t="str">
        <f t="shared" si="4"/>
        <v/>
      </c>
      <c r="L66" s="9" t="str">
        <f t="shared" si="5"/>
        <v/>
      </c>
      <c r="M66" s="1" t="str">
        <f t="shared" si="6"/>
        <v/>
      </c>
      <c r="N66" s="1" t="str">
        <f t="shared" si="7"/>
        <v/>
      </c>
      <c r="O66" s="1" t="str">
        <f t="shared" si="8"/>
        <v/>
      </c>
      <c r="P66" s="1" t="str">
        <f t="shared" si="9"/>
        <v/>
      </c>
      <c r="Q66" s="1" t="str">
        <f t="shared" si="10"/>
        <v/>
      </c>
      <c r="R66" s="1" t="str">
        <f t="shared" si="11"/>
        <v/>
      </c>
      <c r="S66" s="1" t="str">
        <f t="shared" si="12"/>
        <v/>
      </c>
      <c r="T66" s="1" t="str">
        <f t="shared" si="13"/>
        <v/>
      </c>
      <c r="U66" s="1" t="str">
        <f t="shared" si="14"/>
        <v/>
      </c>
      <c r="V66" s="1" t="str">
        <f t="shared" si="15"/>
        <v/>
      </c>
      <c r="W66" s="26" t="str">
        <f t="shared" si="16"/>
        <v/>
      </c>
      <c r="X66" s="13" t="str">
        <f t="shared" si="17"/>
        <v/>
      </c>
      <c r="Y66" s="9">
        <f t="shared" si="18"/>
        <v>0</v>
      </c>
    </row>
    <row r="67" spans="1:25" x14ac:dyDescent="0.25">
      <c r="A67" s="28"/>
      <c r="B67" s="29"/>
      <c r="C67" s="30"/>
      <c r="D67" s="31"/>
      <c r="E67" s="29" t="s">
        <v>16</v>
      </c>
      <c r="F67" s="13" t="b">
        <f>IF($E67=Categories!$A$1,"",IF($E67=Categories!$A$2,Categories!$B$2,IF($E67=Categories!$A$3,Categories!$B$3,IF($E67=Categories!$A$4,Categories!$B$4,IF($E67=Categories!$A$5,Categories!$B$5,IF($E67=Categories!$A$6,Categories!$B$6,IF($E67=Categories!$A$7,Categories!$B$7,IF($E67=Categories!$A$8,Categories!$B$8,IF($E67=Categories!$A$9,Categories!$B$9,IF($E67=Categories!$A$10,Categories!$B$10,IF($E67=Categories!$A$11,Categories!$B$11,IF($E67=Categories!$A$12,Categories!$B$12,IF($E67=Categories!$A$13,Categories!$B$13,IF($E67=Categories!$A$14,Categories!$B$14,IF($E67=Categories!$A$15,Categories!$B$15,IF($E67=Categories!$A$16,Categories!$B$16,IF($E67=Categories!$A$17,Categories!$B$17,IF($E67=Categories!$A$18,Categories!$B$18,IF($E67=Categories!$A$19,Categories!$B$19)))))))))))))))))))</f>
        <v>0</v>
      </c>
      <c r="G67" s="9" t="str">
        <f t="shared" si="0"/>
        <v/>
      </c>
      <c r="H67" s="1" t="str">
        <f t="shared" si="1"/>
        <v/>
      </c>
      <c r="I67" s="1" t="str">
        <f t="shared" si="2"/>
        <v/>
      </c>
      <c r="J67" s="1" t="str">
        <f t="shared" si="3"/>
        <v/>
      </c>
      <c r="K67" s="13" t="str">
        <f t="shared" si="4"/>
        <v/>
      </c>
      <c r="L67" s="9" t="str">
        <f t="shared" si="5"/>
        <v/>
      </c>
      <c r="M67" s="1" t="str">
        <f t="shared" si="6"/>
        <v/>
      </c>
      <c r="N67" s="1" t="str">
        <f t="shared" si="7"/>
        <v/>
      </c>
      <c r="O67" s="1" t="str">
        <f t="shared" si="8"/>
        <v/>
      </c>
      <c r="P67" s="1" t="str">
        <f t="shared" si="9"/>
        <v/>
      </c>
      <c r="Q67" s="1" t="str">
        <f t="shared" si="10"/>
        <v/>
      </c>
      <c r="R67" s="1" t="str">
        <f t="shared" si="11"/>
        <v/>
      </c>
      <c r="S67" s="1" t="str">
        <f t="shared" si="12"/>
        <v/>
      </c>
      <c r="T67" s="1" t="str">
        <f t="shared" si="13"/>
        <v/>
      </c>
      <c r="U67" s="1" t="str">
        <f t="shared" si="14"/>
        <v/>
      </c>
      <c r="V67" s="1" t="str">
        <f t="shared" si="15"/>
        <v/>
      </c>
      <c r="W67" s="26" t="str">
        <f t="shared" si="16"/>
        <v/>
      </c>
      <c r="X67" s="13" t="str">
        <f t="shared" si="17"/>
        <v/>
      </c>
      <c r="Y67" s="9">
        <f t="shared" si="18"/>
        <v>0</v>
      </c>
    </row>
    <row r="68" spans="1:25" x14ac:dyDescent="0.25">
      <c r="A68" s="28"/>
      <c r="B68" s="29"/>
      <c r="C68" s="30"/>
      <c r="D68" s="31"/>
      <c r="E68" s="29" t="s">
        <v>16</v>
      </c>
      <c r="F68" s="13" t="b">
        <f>IF($E68=Categories!$A$1,"",IF($E68=Categories!$A$2,Categories!$B$2,IF($E68=Categories!$A$3,Categories!$B$3,IF($E68=Categories!$A$4,Categories!$B$4,IF($E68=Categories!$A$5,Categories!$B$5,IF($E68=Categories!$A$6,Categories!$B$6,IF($E68=Categories!$A$7,Categories!$B$7,IF($E68=Categories!$A$8,Categories!$B$8,IF($E68=Categories!$A$9,Categories!$B$9,IF($E68=Categories!$A$10,Categories!$B$10,IF($E68=Categories!$A$11,Categories!$B$11,IF($E68=Categories!$A$12,Categories!$B$12,IF($E68=Categories!$A$13,Categories!$B$13,IF($E68=Categories!$A$14,Categories!$B$14,IF($E68=Categories!$A$15,Categories!$B$15,IF($E68=Categories!$A$16,Categories!$B$16,IF($E68=Categories!$A$17,Categories!$B$17,IF($E68=Categories!$A$18,Categories!$B$18,IF($E68=Categories!$A$19,Categories!$B$19)))))))))))))))))))</f>
        <v>0</v>
      </c>
      <c r="G68" s="9" t="str">
        <f t="shared" si="0"/>
        <v/>
      </c>
      <c r="H68" s="1" t="str">
        <f t="shared" si="1"/>
        <v/>
      </c>
      <c r="I68" s="1" t="str">
        <f t="shared" si="2"/>
        <v/>
      </c>
      <c r="J68" s="1" t="str">
        <f t="shared" si="3"/>
        <v/>
      </c>
      <c r="K68" s="13" t="str">
        <f t="shared" si="4"/>
        <v/>
      </c>
      <c r="L68" s="9" t="str">
        <f t="shared" si="5"/>
        <v/>
      </c>
      <c r="M68" s="1" t="str">
        <f t="shared" si="6"/>
        <v/>
      </c>
      <c r="N68" s="1" t="str">
        <f t="shared" si="7"/>
        <v/>
      </c>
      <c r="O68" s="1" t="str">
        <f t="shared" si="8"/>
        <v/>
      </c>
      <c r="P68" s="1" t="str">
        <f t="shared" si="9"/>
        <v/>
      </c>
      <c r="Q68" s="1" t="str">
        <f t="shared" si="10"/>
        <v/>
      </c>
      <c r="R68" s="1" t="str">
        <f t="shared" si="11"/>
        <v/>
      </c>
      <c r="S68" s="1" t="str">
        <f t="shared" si="12"/>
        <v/>
      </c>
      <c r="T68" s="1" t="str">
        <f t="shared" si="13"/>
        <v/>
      </c>
      <c r="U68" s="1" t="str">
        <f t="shared" si="14"/>
        <v/>
      </c>
      <c r="V68" s="1" t="str">
        <f t="shared" si="15"/>
        <v/>
      </c>
      <c r="W68" s="26" t="str">
        <f t="shared" si="16"/>
        <v/>
      </c>
      <c r="X68" s="13" t="str">
        <f t="shared" si="17"/>
        <v/>
      </c>
      <c r="Y68" s="9">
        <f t="shared" si="18"/>
        <v>0</v>
      </c>
    </row>
    <row r="69" spans="1:25" x14ac:dyDescent="0.25">
      <c r="A69" s="28"/>
      <c r="B69" s="29"/>
      <c r="C69" s="30"/>
      <c r="D69" s="31"/>
      <c r="E69" s="29" t="s">
        <v>16</v>
      </c>
      <c r="F69" s="13" t="b">
        <f>IF($E69=Categories!$A$1,"",IF($E69=Categories!$A$2,Categories!$B$2,IF($E69=Categories!$A$3,Categories!$B$3,IF($E69=Categories!$A$4,Categories!$B$4,IF($E69=Categories!$A$5,Categories!$B$5,IF($E69=Categories!$A$6,Categories!$B$6,IF($E69=Categories!$A$7,Categories!$B$7,IF($E69=Categories!$A$8,Categories!$B$8,IF($E69=Categories!$A$9,Categories!$B$9,IF($E69=Categories!$A$10,Categories!$B$10,IF($E69=Categories!$A$11,Categories!$B$11,IF($E69=Categories!$A$12,Categories!$B$12,IF($E69=Categories!$A$13,Categories!$B$13,IF($E69=Categories!$A$14,Categories!$B$14,IF($E69=Categories!$A$15,Categories!$B$15,IF($E69=Categories!$A$16,Categories!$B$16,IF($E69=Categories!$A$17,Categories!$B$17,IF($E69=Categories!$A$18,Categories!$B$18,IF($E69=Categories!$A$19,Categories!$B$19)))))))))))))))))))</f>
        <v>0</v>
      </c>
      <c r="G69" s="9" t="str">
        <f t="shared" si="0"/>
        <v/>
      </c>
      <c r="H69" s="1" t="str">
        <f t="shared" si="1"/>
        <v/>
      </c>
      <c r="I69" s="1" t="str">
        <f t="shared" si="2"/>
        <v/>
      </c>
      <c r="J69" s="1" t="str">
        <f t="shared" si="3"/>
        <v/>
      </c>
      <c r="K69" s="13" t="str">
        <f t="shared" si="4"/>
        <v/>
      </c>
      <c r="L69" s="9" t="str">
        <f t="shared" si="5"/>
        <v/>
      </c>
      <c r="M69" s="1" t="str">
        <f t="shared" si="6"/>
        <v/>
      </c>
      <c r="N69" s="1" t="str">
        <f t="shared" si="7"/>
        <v/>
      </c>
      <c r="O69" s="1" t="str">
        <f t="shared" si="8"/>
        <v/>
      </c>
      <c r="P69" s="1" t="str">
        <f t="shared" si="9"/>
        <v/>
      </c>
      <c r="Q69" s="1" t="str">
        <f t="shared" si="10"/>
        <v/>
      </c>
      <c r="R69" s="1" t="str">
        <f t="shared" si="11"/>
        <v/>
      </c>
      <c r="S69" s="1" t="str">
        <f t="shared" si="12"/>
        <v/>
      </c>
      <c r="T69" s="1" t="str">
        <f t="shared" si="13"/>
        <v/>
      </c>
      <c r="U69" s="1" t="str">
        <f t="shared" si="14"/>
        <v/>
      </c>
      <c r="V69" s="1" t="str">
        <f t="shared" si="15"/>
        <v/>
      </c>
      <c r="W69" s="26" t="str">
        <f t="shared" si="16"/>
        <v/>
      </c>
      <c r="X69" s="13" t="str">
        <f t="shared" si="17"/>
        <v/>
      </c>
      <c r="Y69" s="9">
        <f t="shared" si="18"/>
        <v>0</v>
      </c>
    </row>
    <row r="70" spans="1:25" x14ac:dyDescent="0.25">
      <c r="A70" s="28"/>
      <c r="B70" s="29"/>
      <c r="C70" s="30"/>
      <c r="D70" s="31"/>
      <c r="E70" s="29" t="s">
        <v>16</v>
      </c>
      <c r="F70" s="13" t="b">
        <f>IF($E70=Categories!$A$1,"",IF($E70=Categories!$A$2,Categories!$B$2,IF($E70=Categories!$A$3,Categories!$B$3,IF($E70=Categories!$A$4,Categories!$B$4,IF($E70=Categories!$A$5,Categories!$B$5,IF($E70=Categories!$A$6,Categories!$B$6,IF($E70=Categories!$A$7,Categories!$B$7,IF($E70=Categories!$A$8,Categories!$B$8,IF($E70=Categories!$A$9,Categories!$B$9,IF($E70=Categories!$A$10,Categories!$B$10,IF($E70=Categories!$A$11,Categories!$B$11,IF($E70=Categories!$A$12,Categories!$B$12,IF($E70=Categories!$A$13,Categories!$B$13,IF($E70=Categories!$A$14,Categories!$B$14,IF($E70=Categories!$A$15,Categories!$B$15,IF($E70=Categories!$A$16,Categories!$B$16,IF($E70=Categories!$A$17,Categories!$B$17,IF($E70=Categories!$A$18,Categories!$B$18,IF($E70=Categories!$A$19,Categories!$B$19)))))))))))))))))))</f>
        <v>0</v>
      </c>
      <c r="G70" s="9" t="str">
        <f t="shared" si="0"/>
        <v/>
      </c>
      <c r="H70" s="1" t="str">
        <f t="shared" si="1"/>
        <v/>
      </c>
      <c r="I70" s="1" t="str">
        <f t="shared" si="2"/>
        <v/>
      </c>
      <c r="J70" s="1" t="str">
        <f t="shared" si="3"/>
        <v/>
      </c>
      <c r="K70" s="13" t="str">
        <f t="shared" si="4"/>
        <v/>
      </c>
      <c r="L70" s="9" t="str">
        <f t="shared" si="5"/>
        <v/>
      </c>
      <c r="M70" s="1" t="str">
        <f t="shared" si="6"/>
        <v/>
      </c>
      <c r="N70" s="1" t="str">
        <f t="shared" si="7"/>
        <v/>
      </c>
      <c r="O70" s="1" t="str">
        <f t="shared" si="8"/>
        <v/>
      </c>
      <c r="P70" s="1" t="str">
        <f t="shared" si="9"/>
        <v/>
      </c>
      <c r="Q70" s="1" t="str">
        <f t="shared" si="10"/>
        <v/>
      </c>
      <c r="R70" s="1" t="str">
        <f t="shared" si="11"/>
        <v/>
      </c>
      <c r="S70" s="1" t="str">
        <f t="shared" si="12"/>
        <v/>
      </c>
      <c r="T70" s="1" t="str">
        <f t="shared" si="13"/>
        <v/>
      </c>
      <c r="U70" s="1" t="str">
        <f t="shared" si="14"/>
        <v/>
      </c>
      <c r="V70" s="1" t="str">
        <f t="shared" si="15"/>
        <v/>
      </c>
      <c r="W70" s="26" t="str">
        <f t="shared" si="16"/>
        <v/>
      </c>
      <c r="X70" s="13" t="str">
        <f t="shared" si="17"/>
        <v/>
      </c>
      <c r="Y70" s="9">
        <f t="shared" si="18"/>
        <v>0</v>
      </c>
    </row>
    <row r="71" spans="1:25" x14ac:dyDescent="0.25">
      <c r="A71" s="28"/>
      <c r="B71" s="29"/>
      <c r="C71" s="30"/>
      <c r="D71" s="31"/>
      <c r="E71" s="29" t="s">
        <v>16</v>
      </c>
      <c r="F71" s="13" t="b">
        <f>IF($E71=Categories!$A$1,"",IF($E71=Categories!$A$2,Categories!$B$2,IF($E71=Categories!$A$3,Categories!$B$3,IF($E71=Categories!$A$4,Categories!$B$4,IF($E71=Categories!$A$5,Categories!$B$5,IF($E71=Categories!$A$6,Categories!$B$6,IF($E71=Categories!$A$7,Categories!$B$7,IF($E71=Categories!$A$8,Categories!$B$8,IF($E71=Categories!$A$9,Categories!$B$9,IF($E71=Categories!$A$10,Categories!$B$10,IF($E71=Categories!$A$11,Categories!$B$11,IF($E71=Categories!$A$12,Categories!$B$12,IF($E71=Categories!$A$13,Categories!$B$13,IF($E71=Categories!$A$14,Categories!$B$14,IF($E71=Categories!$A$15,Categories!$B$15,IF($E71=Categories!$A$16,Categories!$B$16,IF($E71=Categories!$A$17,Categories!$B$17,IF($E71=Categories!$A$18,Categories!$B$18,IF($E71=Categories!$A$19,Categories!$B$19)))))))))))))))))))</f>
        <v>0</v>
      </c>
      <c r="G71" s="9" t="str">
        <f t="shared" ref="G71:G95" si="19">IF($F71="Inc1",$D71,"")</f>
        <v/>
      </c>
      <c r="H71" s="1" t="str">
        <f t="shared" ref="H71:H95" si="20">IF($F71="Inc2",$D71,"")</f>
        <v/>
      </c>
      <c r="I71" s="1" t="str">
        <f t="shared" ref="I71:I95" si="21">IF($F71="Int",$D71,"")</f>
        <v/>
      </c>
      <c r="J71" s="1" t="str">
        <f t="shared" ref="J71:J95" si="22">IF($F71="Inc4",$D71,"")</f>
        <v/>
      </c>
      <c r="K71" s="13" t="str">
        <f t="shared" ref="K71:K95" si="23">IF($F71="Inc5",$D71,"")</f>
        <v/>
      </c>
      <c r="L71" s="9" t="str">
        <f t="shared" ref="L71:L95" si="24">IF($F71="ExpA",$D71,"")</f>
        <v/>
      </c>
      <c r="M71" s="1" t="str">
        <f t="shared" ref="M71:M95" si="25">IF($F71="ExpB",$D71,"")</f>
        <v/>
      </c>
      <c r="N71" s="1" t="str">
        <f t="shared" ref="N71:N95" si="26">IF($F71="ExpC",$D71,"")</f>
        <v/>
      </c>
      <c r="O71" s="1" t="str">
        <f t="shared" ref="O71:O95" si="27">IF($F71="ExpD",$D71,"")</f>
        <v/>
      </c>
      <c r="P71" s="1" t="str">
        <f t="shared" ref="P71:P95" si="28">IF($F71="ExpE",$D71,"")</f>
        <v/>
      </c>
      <c r="Q71" s="1" t="str">
        <f t="shared" ref="Q71:Q95" si="29">IF($F71="ExpF",$D71,"")</f>
        <v/>
      </c>
      <c r="R71" s="1" t="str">
        <f t="shared" ref="R71:R95" si="30">IF($F71="ExpG",$D71,"")</f>
        <v/>
      </c>
      <c r="S71" s="1" t="str">
        <f t="shared" ref="S71:S95" si="31">IF($F71="ExpH",$D71,"")</f>
        <v/>
      </c>
      <c r="T71" s="1" t="str">
        <f t="shared" ref="T71:T95" si="32">IF($F71="ExpI",$D71,"")</f>
        <v/>
      </c>
      <c r="U71" s="1" t="str">
        <f t="shared" ref="U71:U95" si="33">IF($F71="ExpJ",$D71,"")</f>
        <v/>
      </c>
      <c r="V71" s="1" t="str">
        <f t="shared" ref="V71:V95" si="34">IF($F71="ExpK",$D71,"")</f>
        <v/>
      </c>
      <c r="W71" s="26" t="str">
        <f t="shared" ref="W71:W95" si="35">IF($F71="ExpL",$D71,"")</f>
        <v/>
      </c>
      <c r="X71" s="13" t="str">
        <f t="shared" ref="X71:X95" si="36">IF($F71="Expm",$D71,"")</f>
        <v/>
      </c>
      <c r="Y71" s="9">
        <f t="shared" si="18"/>
        <v>0</v>
      </c>
    </row>
    <row r="72" spans="1:25" x14ac:dyDescent="0.25">
      <c r="A72" s="28"/>
      <c r="B72" s="29"/>
      <c r="C72" s="30"/>
      <c r="D72" s="31"/>
      <c r="E72" s="29" t="s">
        <v>16</v>
      </c>
      <c r="F72" s="13" t="b">
        <f>IF($E72=Categories!$A$1,"",IF($E72=Categories!$A$2,Categories!$B$2,IF($E72=Categories!$A$3,Categories!$B$3,IF($E72=Categories!$A$4,Categories!$B$4,IF($E72=Categories!$A$5,Categories!$B$5,IF($E72=Categories!$A$6,Categories!$B$6,IF($E72=Categories!$A$7,Categories!$B$7,IF($E72=Categories!$A$8,Categories!$B$8,IF($E72=Categories!$A$9,Categories!$B$9,IF($E72=Categories!$A$10,Categories!$B$10,IF($E72=Categories!$A$11,Categories!$B$11,IF($E72=Categories!$A$12,Categories!$B$12,IF($E72=Categories!$A$13,Categories!$B$13,IF($E72=Categories!$A$14,Categories!$B$14,IF($E72=Categories!$A$15,Categories!$B$15,IF($E72=Categories!$A$16,Categories!$B$16,IF($E72=Categories!$A$17,Categories!$B$17,IF($E72=Categories!$A$18,Categories!$B$18,IF($E72=Categories!$A$19,Categories!$B$19)))))))))))))))))))</f>
        <v>0</v>
      </c>
      <c r="G72" s="9" t="str">
        <f t="shared" si="19"/>
        <v/>
      </c>
      <c r="H72" s="1" t="str">
        <f t="shared" si="20"/>
        <v/>
      </c>
      <c r="I72" s="1" t="str">
        <f t="shared" si="21"/>
        <v/>
      </c>
      <c r="J72" s="1" t="str">
        <f t="shared" si="22"/>
        <v/>
      </c>
      <c r="K72" s="13" t="str">
        <f t="shared" si="23"/>
        <v/>
      </c>
      <c r="L72" s="9" t="str">
        <f t="shared" si="24"/>
        <v/>
      </c>
      <c r="M72" s="1" t="str">
        <f t="shared" si="25"/>
        <v/>
      </c>
      <c r="N72" s="1" t="str">
        <f t="shared" si="26"/>
        <v/>
      </c>
      <c r="O72" s="1" t="str">
        <f t="shared" si="27"/>
        <v/>
      </c>
      <c r="P72" s="1" t="str">
        <f t="shared" si="28"/>
        <v/>
      </c>
      <c r="Q72" s="1" t="str">
        <f t="shared" si="29"/>
        <v/>
      </c>
      <c r="R72" s="1" t="str">
        <f t="shared" si="30"/>
        <v/>
      </c>
      <c r="S72" s="1" t="str">
        <f t="shared" si="31"/>
        <v/>
      </c>
      <c r="T72" s="1" t="str">
        <f t="shared" si="32"/>
        <v/>
      </c>
      <c r="U72" s="1" t="str">
        <f t="shared" si="33"/>
        <v/>
      </c>
      <c r="V72" s="1" t="str">
        <f t="shared" si="34"/>
        <v/>
      </c>
      <c r="W72" s="26" t="str">
        <f t="shared" si="35"/>
        <v/>
      </c>
      <c r="X72" s="13" t="str">
        <f t="shared" si="36"/>
        <v/>
      </c>
      <c r="Y72" s="9">
        <f t="shared" ref="Y72:Y95" si="37">Y71+SUM(G72:K72)-SUM(L72:X72)</f>
        <v>0</v>
      </c>
    </row>
    <row r="73" spans="1:25" x14ac:dyDescent="0.25">
      <c r="A73" s="28"/>
      <c r="B73" s="29"/>
      <c r="C73" s="30"/>
      <c r="D73" s="31"/>
      <c r="E73" s="29" t="s">
        <v>16</v>
      </c>
      <c r="F73" s="13" t="b">
        <f>IF($E73=Categories!$A$1,"",IF($E73=Categories!$A$2,Categories!$B$2,IF($E73=Categories!$A$3,Categories!$B$3,IF($E73=Categories!$A$4,Categories!$B$4,IF($E73=Categories!$A$5,Categories!$B$5,IF($E73=Categories!$A$6,Categories!$B$6,IF($E73=Categories!$A$7,Categories!$B$7,IF($E73=Categories!$A$8,Categories!$B$8,IF($E73=Categories!$A$9,Categories!$B$9,IF($E73=Categories!$A$10,Categories!$B$10,IF($E73=Categories!$A$11,Categories!$B$11,IF($E73=Categories!$A$12,Categories!$B$12,IF($E73=Categories!$A$13,Categories!$B$13,IF($E73=Categories!$A$14,Categories!$B$14,IF($E73=Categories!$A$15,Categories!$B$15,IF($E73=Categories!$A$16,Categories!$B$16,IF($E73=Categories!$A$17,Categories!$B$17,IF($E73=Categories!$A$18,Categories!$B$18,IF($E73=Categories!$A$19,Categories!$B$19)))))))))))))))))))</f>
        <v>0</v>
      </c>
      <c r="G73" s="9" t="str">
        <f t="shared" si="19"/>
        <v/>
      </c>
      <c r="H73" s="1" t="str">
        <f t="shared" si="20"/>
        <v/>
      </c>
      <c r="I73" s="1" t="str">
        <f t="shared" si="21"/>
        <v/>
      </c>
      <c r="J73" s="1" t="str">
        <f t="shared" si="22"/>
        <v/>
      </c>
      <c r="K73" s="13" t="str">
        <f t="shared" si="23"/>
        <v/>
      </c>
      <c r="L73" s="9" t="str">
        <f t="shared" si="24"/>
        <v/>
      </c>
      <c r="M73" s="1" t="str">
        <f t="shared" si="25"/>
        <v/>
      </c>
      <c r="N73" s="1" t="str">
        <f t="shared" si="26"/>
        <v/>
      </c>
      <c r="O73" s="1" t="str">
        <f t="shared" si="27"/>
        <v/>
      </c>
      <c r="P73" s="1" t="str">
        <f t="shared" si="28"/>
        <v/>
      </c>
      <c r="Q73" s="1" t="str">
        <f t="shared" si="29"/>
        <v/>
      </c>
      <c r="R73" s="1" t="str">
        <f t="shared" si="30"/>
        <v/>
      </c>
      <c r="S73" s="1" t="str">
        <f t="shared" si="31"/>
        <v/>
      </c>
      <c r="T73" s="1" t="str">
        <f t="shared" si="32"/>
        <v/>
      </c>
      <c r="U73" s="1" t="str">
        <f t="shared" si="33"/>
        <v/>
      </c>
      <c r="V73" s="1" t="str">
        <f t="shared" si="34"/>
        <v/>
      </c>
      <c r="W73" s="26" t="str">
        <f t="shared" si="35"/>
        <v/>
      </c>
      <c r="X73" s="13" t="str">
        <f t="shared" si="36"/>
        <v/>
      </c>
      <c r="Y73" s="9">
        <f t="shared" si="37"/>
        <v>0</v>
      </c>
    </row>
    <row r="74" spans="1:25" x14ac:dyDescent="0.25">
      <c r="A74" s="28"/>
      <c r="B74" s="29"/>
      <c r="C74" s="30"/>
      <c r="D74" s="31"/>
      <c r="E74" s="29" t="s">
        <v>16</v>
      </c>
      <c r="F74" s="13" t="b">
        <f>IF($E74=Categories!$A$1,"",IF($E74=Categories!$A$2,Categories!$B$2,IF($E74=Categories!$A$3,Categories!$B$3,IF($E74=Categories!$A$4,Categories!$B$4,IF($E74=Categories!$A$5,Categories!$B$5,IF($E74=Categories!$A$6,Categories!$B$6,IF($E74=Categories!$A$7,Categories!$B$7,IF($E74=Categories!$A$8,Categories!$B$8,IF($E74=Categories!$A$9,Categories!$B$9,IF($E74=Categories!$A$10,Categories!$B$10,IF($E74=Categories!$A$11,Categories!$B$11,IF($E74=Categories!$A$12,Categories!$B$12,IF($E74=Categories!$A$13,Categories!$B$13,IF($E74=Categories!$A$14,Categories!$B$14,IF($E74=Categories!$A$15,Categories!$B$15,IF($E74=Categories!$A$16,Categories!$B$16,IF($E74=Categories!$A$17,Categories!$B$17,IF($E74=Categories!$A$18,Categories!$B$18,IF($E74=Categories!$A$19,Categories!$B$19)))))))))))))))))))</f>
        <v>0</v>
      </c>
      <c r="G74" s="9" t="str">
        <f t="shared" si="19"/>
        <v/>
      </c>
      <c r="H74" s="1" t="str">
        <f t="shared" si="20"/>
        <v/>
      </c>
      <c r="I74" s="1" t="str">
        <f t="shared" si="21"/>
        <v/>
      </c>
      <c r="J74" s="1" t="str">
        <f t="shared" si="22"/>
        <v/>
      </c>
      <c r="K74" s="13" t="str">
        <f t="shared" si="23"/>
        <v/>
      </c>
      <c r="L74" s="9" t="str">
        <f t="shared" si="24"/>
        <v/>
      </c>
      <c r="M74" s="1" t="str">
        <f t="shared" si="25"/>
        <v/>
      </c>
      <c r="N74" s="1" t="str">
        <f t="shared" si="26"/>
        <v/>
      </c>
      <c r="O74" s="1" t="str">
        <f t="shared" si="27"/>
        <v/>
      </c>
      <c r="P74" s="1" t="str">
        <f t="shared" si="28"/>
        <v/>
      </c>
      <c r="Q74" s="1" t="str">
        <f t="shared" si="29"/>
        <v/>
      </c>
      <c r="R74" s="1" t="str">
        <f t="shared" si="30"/>
        <v/>
      </c>
      <c r="S74" s="1" t="str">
        <f t="shared" si="31"/>
        <v/>
      </c>
      <c r="T74" s="1" t="str">
        <f t="shared" si="32"/>
        <v/>
      </c>
      <c r="U74" s="1" t="str">
        <f t="shared" si="33"/>
        <v/>
      </c>
      <c r="V74" s="1" t="str">
        <f t="shared" si="34"/>
        <v/>
      </c>
      <c r="W74" s="26" t="str">
        <f t="shared" si="35"/>
        <v/>
      </c>
      <c r="X74" s="13" t="str">
        <f t="shared" si="36"/>
        <v/>
      </c>
      <c r="Y74" s="9">
        <f t="shared" si="37"/>
        <v>0</v>
      </c>
    </row>
    <row r="75" spans="1:25" x14ac:dyDescent="0.25">
      <c r="A75" s="28"/>
      <c r="B75" s="29"/>
      <c r="C75" s="30"/>
      <c r="D75" s="31"/>
      <c r="E75" s="29" t="s">
        <v>16</v>
      </c>
      <c r="F75" s="13" t="b">
        <f>IF($E75=Categories!$A$1,"",IF($E75=Categories!$A$2,Categories!$B$2,IF($E75=Categories!$A$3,Categories!$B$3,IF($E75=Categories!$A$4,Categories!$B$4,IF($E75=Categories!$A$5,Categories!$B$5,IF($E75=Categories!$A$6,Categories!$B$6,IF($E75=Categories!$A$7,Categories!$B$7,IF($E75=Categories!$A$8,Categories!$B$8,IF($E75=Categories!$A$9,Categories!$B$9,IF($E75=Categories!$A$10,Categories!$B$10,IF($E75=Categories!$A$11,Categories!$B$11,IF($E75=Categories!$A$12,Categories!$B$12,IF($E75=Categories!$A$13,Categories!$B$13,IF($E75=Categories!$A$14,Categories!$B$14,IF($E75=Categories!$A$15,Categories!$B$15,IF($E75=Categories!$A$16,Categories!$B$16,IF($E75=Categories!$A$17,Categories!$B$17,IF($E75=Categories!$A$18,Categories!$B$18,IF($E75=Categories!$A$19,Categories!$B$19)))))))))))))))))))</f>
        <v>0</v>
      </c>
      <c r="G75" s="9" t="str">
        <f t="shared" si="19"/>
        <v/>
      </c>
      <c r="H75" s="1" t="str">
        <f t="shared" si="20"/>
        <v/>
      </c>
      <c r="I75" s="1" t="str">
        <f t="shared" si="21"/>
        <v/>
      </c>
      <c r="J75" s="1" t="str">
        <f t="shared" si="22"/>
        <v/>
      </c>
      <c r="K75" s="13" t="str">
        <f t="shared" si="23"/>
        <v/>
      </c>
      <c r="L75" s="9" t="str">
        <f t="shared" si="24"/>
        <v/>
      </c>
      <c r="M75" s="1" t="str">
        <f t="shared" si="25"/>
        <v/>
      </c>
      <c r="N75" s="1" t="str">
        <f t="shared" si="26"/>
        <v/>
      </c>
      <c r="O75" s="1" t="str">
        <f t="shared" si="27"/>
        <v/>
      </c>
      <c r="P75" s="1" t="str">
        <f t="shared" si="28"/>
        <v/>
      </c>
      <c r="Q75" s="1" t="str">
        <f t="shared" si="29"/>
        <v/>
      </c>
      <c r="R75" s="1" t="str">
        <f t="shared" si="30"/>
        <v/>
      </c>
      <c r="S75" s="1" t="str">
        <f t="shared" si="31"/>
        <v/>
      </c>
      <c r="T75" s="1" t="str">
        <f t="shared" si="32"/>
        <v/>
      </c>
      <c r="U75" s="1" t="str">
        <f t="shared" si="33"/>
        <v/>
      </c>
      <c r="V75" s="1" t="str">
        <f t="shared" si="34"/>
        <v/>
      </c>
      <c r="W75" s="26" t="str">
        <f t="shared" si="35"/>
        <v/>
      </c>
      <c r="X75" s="13" t="str">
        <f t="shared" si="36"/>
        <v/>
      </c>
      <c r="Y75" s="9">
        <f t="shared" si="37"/>
        <v>0</v>
      </c>
    </row>
    <row r="76" spans="1:25" x14ac:dyDescent="0.25">
      <c r="A76" s="28"/>
      <c r="B76" s="29"/>
      <c r="C76" s="30"/>
      <c r="D76" s="31"/>
      <c r="E76" s="29" t="s">
        <v>16</v>
      </c>
      <c r="F76" s="13" t="b">
        <f>IF($E76=Categories!$A$1,"",IF($E76=Categories!$A$2,Categories!$B$2,IF($E76=Categories!$A$3,Categories!$B$3,IF($E76=Categories!$A$4,Categories!$B$4,IF($E76=Categories!$A$5,Categories!$B$5,IF($E76=Categories!$A$6,Categories!$B$6,IF($E76=Categories!$A$7,Categories!$B$7,IF($E76=Categories!$A$8,Categories!$B$8,IF($E76=Categories!$A$9,Categories!$B$9,IF($E76=Categories!$A$10,Categories!$B$10,IF($E76=Categories!$A$11,Categories!$B$11,IF($E76=Categories!$A$12,Categories!$B$12,IF($E76=Categories!$A$13,Categories!$B$13,IF($E76=Categories!$A$14,Categories!$B$14,IF($E76=Categories!$A$15,Categories!$B$15,IF($E76=Categories!$A$16,Categories!$B$16,IF($E76=Categories!$A$17,Categories!$B$17,IF($E76=Categories!$A$18,Categories!$B$18,IF($E76=Categories!$A$19,Categories!$B$19)))))))))))))))))))</f>
        <v>0</v>
      </c>
      <c r="G76" s="9" t="str">
        <f t="shared" si="19"/>
        <v/>
      </c>
      <c r="H76" s="1" t="str">
        <f t="shared" si="20"/>
        <v/>
      </c>
      <c r="I76" s="1" t="str">
        <f t="shared" si="21"/>
        <v/>
      </c>
      <c r="J76" s="1" t="str">
        <f t="shared" si="22"/>
        <v/>
      </c>
      <c r="K76" s="13" t="str">
        <f t="shared" si="23"/>
        <v/>
      </c>
      <c r="L76" s="9" t="str">
        <f t="shared" si="24"/>
        <v/>
      </c>
      <c r="M76" s="1" t="str">
        <f t="shared" si="25"/>
        <v/>
      </c>
      <c r="N76" s="1" t="str">
        <f t="shared" si="26"/>
        <v/>
      </c>
      <c r="O76" s="1" t="str">
        <f t="shared" si="27"/>
        <v/>
      </c>
      <c r="P76" s="1" t="str">
        <f t="shared" si="28"/>
        <v/>
      </c>
      <c r="Q76" s="1" t="str">
        <f t="shared" si="29"/>
        <v/>
      </c>
      <c r="R76" s="1" t="str">
        <f t="shared" si="30"/>
        <v/>
      </c>
      <c r="S76" s="1" t="str">
        <f t="shared" si="31"/>
        <v/>
      </c>
      <c r="T76" s="1" t="str">
        <f t="shared" si="32"/>
        <v/>
      </c>
      <c r="U76" s="1" t="str">
        <f t="shared" si="33"/>
        <v/>
      </c>
      <c r="V76" s="1" t="str">
        <f t="shared" si="34"/>
        <v/>
      </c>
      <c r="W76" s="26" t="str">
        <f t="shared" si="35"/>
        <v/>
      </c>
      <c r="X76" s="13" t="str">
        <f t="shared" si="36"/>
        <v/>
      </c>
      <c r="Y76" s="9">
        <f t="shared" si="37"/>
        <v>0</v>
      </c>
    </row>
    <row r="77" spans="1:25" x14ac:dyDescent="0.25">
      <c r="A77" s="28"/>
      <c r="B77" s="29"/>
      <c r="C77" s="30"/>
      <c r="D77" s="31"/>
      <c r="E77" s="29" t="s">
        <v>16</v>
      </c>
      <c r="F77" s="13" t="b">
        <f>IF($E77=Categories!$A$1,"",IF($E77=Categories!$A$2,Categories!$B$2,IF($E77=Categories!$A$3,Categories!$B$3,IF($E77=Categories!$A$4,Categories!$B$4,IF($E77=Categories!$A$5,Categories!$B$5,IF($E77=Categories!$A$6,Categories!$B$6,IF($E77=Categories!$A$7,Categories!$B$7,IF($E77=Categories!$A$8,Categories!$B$8,IF($E77=Categories!$A$9,Categories!$B$9,IF($E77=Categories!$A$10,Categories!$B$10,IF($E77=Categories!$A$11,Categories!$B$11,IF($E77=Categories!$A$12,Categories!$B$12,IF($E77=Categories!$A$13,Categories!$B$13,IF($E77=Categories!$A$14,Categories!$B$14,IF($E77=Categories!$A$15,Categories!$B$15,IF($E77=Categories!$A$16,Categories!$B$16,IF($E77=Categories!$A$17,Categories!$B$17,IF($E77=Categories!$A$18,Categories!$B$18,IF($E77=Categories!$A$19,Categories!$B$19)))))))))))))))))))</f>
        <v>0</v>
      </c>
      <c r="G77" s="9" t="str">
        <f t="shared" si="19"/>
        <v/>
      </c>
      <c r="H77" s="1" t="str">
        <f t="shared" si="20"/>
        <v/>
      </c>
      <c r="I77" s="1" t="str">
        <f t="shared" si="21"/>
        <v/>
      </c>
      <c r="J77" s="1" t="str">
        <f t="shared" si="22"/>
        <v/>
      </c>
      <c r="K77" s="13" t="str">
        <f t="shared" si="23"/>
        <v/>
      </c>
      <c r="L77" s="9" t="str">
        <f t="shared" si="24"/>
        <v/>
      </c>
      <c r="M77" s="1" t="str">
        <f t="shared" si="25"/>
        <v/>
      </c>
      <c r="N77" s="1" t="str">
        <f t="shared" si="26"/>
        <v/>
      </c>
      <c r="O77" s="1" t="str">
        <f t="shared" si="27"/>
        <v/>
      </c>
      <c r="P77" s="1" t="str">
        <f t="shared" si="28"/>
        <v/>
      </c>
      <c r="Q77" s="1" t="str">
        <f t="shared" si="29"/>
        <v/>
      </c>
      <c r="R77" s="1" t="str">
        <f t="shared" si="30"/>
        <v/>
      </c>
      <c r="S77" s="1" t="str">
        <f t="shared" si="31"/>
        <v/>
      </c>
      <c r="T77" s="1" t="str">
        <f t="shared" si="32"/>
        <v/>
      </c>
      <c r="U77" s="1" t="str">
        <f t="shared" si="33"/>
        <v/>
      </c>
      <c r="V77" s="1" t="str">
        <f t="shared" si="34"/>
        <v/>
      </c>
      <c r="W77" s="26" t="str">
        <f t="shared" si="35"/>
        <v/>
      </c>
      <c r="X77" s="13" t="str">
        <f t="shared" si="36"/>
        <v/>
      </c>
      <c r="Y77" s="9">
        <f t="shared" si="37"/>
        <v>0</v>
      </c>
    </row>
    <row r="78" spans="1:25" x14ac:dyDescent="0.25">
      <c r="A78" s="28"/>
      <c r="B78" s="29"/>
      <c r="C78" s="30"/>
      <c r="D78" s="31"/>
      <c r="E78" s="29" t="s">
        <v>16</v>
      </c>
      <c r="F78" s="13" t="b">
        <f>IF($E78=Categories!$A$1,"",IF($E78=Categories!$A$2,Categories!$B$2,IF($E78=Categories!$A$3,Categories!$B$3,IF($E78=Categories!$A$4,Categories!$B$4,IF($E78=Categories!$A$5,Categories!$B$5,IF($E78=Categories!$A$6,Categories!$B$6,IF($E78=Categories!$A$7,Categories!$B$7,IF($E78=Categories!$A$8,Categories!$B$8,IF($E78=Categories!$A$9,Categories!$B$9,IF($E78=Categories!$A$10,Categories!$B$10,IF($E78=Categories!$A$11,Categories!$B$11,IF($E78=Categories!$A$12,Categories!$B$12,IF($E78=Categories!$A$13,Categories!$B$13,IF($E78=Categories!$A$14,Categories!$B$14,IF($E78=Categories!$A$15,Categories!$B$15,IF($E78=Categories!$A$16,Categories!$B$16,IF($E78=Categories!$A$17,Categories!$B$17,IF($E78=Categories!$A$18,Categories!$B$18,IF($E78=Categories!$A$19,Categories!$B$19)))))))))))))))))))</f>
        <v>0</v>
      </c>
      <c r="G78" s="9" t="str">
        <f t="shared" si="19"/>
        <v/>
      </c>
      <c r="H78" s="1" t="str">
        <f t="shared" si="20"/>
        <v/>
      </c>
      <c r="I78" s="1" t="str">
        <f t="shared" si="21"/>
        <v/>
      </c>
      <c r="J78" s="1" t="str">
        <f t="shared" si="22"/>
        <v/>
      </c>
      <c r="K78" s="13" t="str">
        <f t="shared" si="23"/>
        <v/>
      </c>
      <c r="L78" s="9" t="str">
        <f t="shared" si="24"/>
        <v/>
      </c>
      <c r="M78" s="1" t="str">
        <f t="shared" si="25"/>
        <v/>
      </c>
      <c r="N78" s="1" t="str">
        <f t="shared" si="26"/>
        <v/>
      </c>
      <c r="O78" s="1" t="str">
        <f t="shared" si="27"/>
        <v/>
      </c>
      <c r="P78" s="1" t="str">
        <f t="shared" si="28"/>
        <v/>
      </c>
      <c r="Q78" s="1" t="str">
        <f t="shared" si="29"/>
        <v/>
      </c>
      <c r="R78" s="1" t="str">
        <f t="shared" si="30"/>
        <v/>
      </c>
      <c r="S78" s="1" t="str">
        <f t="shared" si="31"/>
        <v/>
      </c>
      <c r="T78" s="1" t="str">
        <f t="shared" si="32"/>
        <v/>
      </c>
      <c r="U78" s="1" t="str">
        <f t="shared" si="33"/>
        <v/>
      </c>
      <c r="V78" s="1" t="str">
        <f t="shared" si="34"/>
        <v/>
      </c>
      <c r="W78" s="26" t="str">
        <f t="shared" si="35"/>
        <v/>
      </c>
      <c r="X78" s="13" t="str">
        <f t="shared" si="36"/>
        <v/>
      </c>
      <c r="Y78" s="9">
        <f t="shared" si="37"/>
        <v>0</v>
      </c>
    </row>
    <row r="79" spans="1:25" x14ac:dyDescent="0.25">
      <c r="A79" s="28"/>
      <c r="B79" s="29"/>
      <c r="C79" s="30"/>
      <c r="D79" s="31"/>
      <c r="E79" s="29" t="s">
        <v>16</v>
      </c>
      <c r="F79" s="13" t="b">
        <f>IF($E79=Categories!$A$1,"",IF($E79=Categories!$A$2,Categories!$B$2,IF($E79=Categories!$A$3,Categories!$B$3,IF($E79=Categories!$A$4,Categories!$B$4,IF($E79=Categories!$A$5,Categories!$B$5,IF($E79=Categories!$A$6,Categories!$B$6,IF($E79=Categories!$A$7,Categories!$B$7,IF($E79=Categories!$A$8,Categories!$B$8,IF($E79=Categories!$A$9,Categories!$B$9,IF($E79=Categories!$A$10,Categories!$B$10,IF($E79=Categories!$A$11,Categories!$B$11,IF($E79=Categories!$A$12,Categories!$B$12,IF($E79=Categories!$A$13,Categories!$B$13,IF($E79=Categories!$A$14,Categories!$B$14,IF($E79=Categories!$A$15,Categories!$B$15,IF($E79=Categories!$A$16,Categories!$B$16,IF($E79=Categories!$A$17,Categories!$B$17,IF($E79=Categories!$A$18,Categories!$B$18,IF($E79=Categories!$A$19,Categories!$B$19)))))))))))))))))))</f>
        <v>0</v>
      </c>
      <c r="G79" s="9" t="str">
        <f t="shared" si="19"/>
        <v/>
      </c>
      <c r="H79" s="1" t="str">
        <f t="shared" si="20"/>
        <v/>
      </c>
      <c r="I79" s="1" t="str">
        <f t="shared" si="21"/>
        <v/>
      </c>
      <c r="J79" s="1" t="str">
        <f t="shared" si="22"/>
        <v/>
      </c>
      <c r="K79" s="13" t="str">
        <f t="shared" si="23"/>
        <v/>
      </c>
      <c r="L79" s="9" t="str">
        <f t="shared" si="24"/>
        <v/>
      </c>
      <c r="M79" s="1" t="str">
        <f t="shared" si="25"/>
        <v/>
      </c>
      <c r="N79" s="1" t="str">
        <f t="shared" si="26"/>
        <v/>
      </c>
      <c r="O79" s="1" t="str">
        <f t="shared" si="27"/>
        <v/>
      </c>
      <c r="P79" s="1" t="str">
        <f t="shared" si="28"/>
        <v/>
      </c>
      <c r="Q79" s="1" t="str">
        <f t="shared" si="29"/>
        <v/>
      </c>
      <c r="R79" s="1" t="str">
        <f t="shared" si="30"/>
        <v/>
      </c>
      <c r="S79" s="1" t="str">
        <f t="shared" si="31"/>
        <v/>
      </c>
      <c r="T79" s="1" t="str">
        <f t="shared" si="32"/>
        <v/>
      </c>
      <c r="U79" s="1" t="str">
        <f t="shared" si="33"/>
        <v/>
      </c>
      <c r="V79" s="1" t="str">
        <f t="shared" si="34"/>
        <v/>
      </c>
      <c r="W79" s="26" t="str">
        <f t="shared" si="35"/>
        <v/>
      </c>
      <c r="X79" s="13" t="str">
        <f t="shared" si="36"/>
        <v/>
      </c>
      <c r="Y79" s="9">
        <f t="shared" si="37"/>
        <v>0</v>
      </c>
    </row>
    <row r="80" spans="1:25" x14ac:dyDescent="0.25">
      <c r="A80" s="28"/>
      <c r="B80" s="29"/>
      <c r="C80" s="30"/>
      <c r="D80" s="31"/>
      <c r="E80" s="29" t="s">
        <v>16</v>
      </c>
      <c r="F80" s="13" t="b">
        <f>IF($E80=Categories!$A$1,"",IF($E80=Categories!$A$2,Categories!$B$2,IF($E80=Categories!$A$3,Categories!$B$3,IF($E80=Categories!$A$4,Categories!$B$4,IF($E80=Categories!$A$5,Categories!$B$5,IF($E80=Categories!$A$6,Categories!$B$6,IF($E80=Categories!$A$7,Categories!$B$7,IF($E80=Categories!$A$8,Categories!$B$8,IF($E80=Categories!$A$9,Categories!$B$9,IF($E80=Categories!$A$10,Categories!$B$10,IF($E80=Categories!$A$11,Categories!$B$11,IF($E80=Categories!$A$12,Categories!$B$12,IF($E80=Categories!$A$13,Categories!$B$13,IF($E80=Categories!$A$14,Categories!$B$14,IF($E80=Categories!$A$15,Categories!$B$15,IF($E80=Categories!$A$16,Categories!$B$16,IF($E80=Categories!$A$17,Categories!$B$17,IF($E80=Categories!$A$18,Categories!$B$18,IF($E80=Categories!$A$19,Categories!$B$19)))))))))))))))))))</f>
        <v>0</v>
      </c>
      <c r="G80" s="9" t="str">
        <f t="shared" si="19"/>
        <v/>
      </c>
      <c r="H80" s="1" t="str">
        <f t="shared" si="20"/>
        <v/>
      </c>
      <c r="I80" s="1" t="str">
        <f t="shared" si="21"/>
        <v/>
      </c>
      <c r="J80" s="1" t="str">
        <f t="shared" si="22"/>
        <v/>
      </c>
      <c r="K80" s="13" t="str">
        <f t="shared" si="23"/>
        <v/>
      </c>
      <c r="L80" s="9" t="str">
        <f t="shared" si="24"/>
        <v/>
      </c>
      <c r="M80" s="1" t="str">
        <f t="shared" si="25"/>
        <v/>
      </c>
      <c r="N80" s="1" t="str">
        <f t="shared" si="26"/>
        <v/>
      </c>
      <c r="O80" s="1" t="str">
        <f t="shared" si="27"/>
        <v/>
      </c>
      <c r="P80" s="1" t="str">
        <f t="shared" si="28"/>
        <v/>
      </c>
      <c r="Q80" s="1" t="str">
        <f t="shared" si="29"/>
        <v/>
      </c>
      <c r="R80" s="1" t="str">
        <f t="shared" si="30"/>
        <v/>
      </c>
      <c r="S80" s="1" t="str">
        <f t="shared" si="31"/>
        <v/>
      </c>
      <c r="T80" s="1" t="str">
        <f t="shared" si="32"/>
        <v/>
      </c>
      <c r="U80" s="1" t="str">
        <f t="shared" si="33"/>
        <v/>
      </c>
      <c r="V80" s="1" t="str">
        <f t="shared" si="34"/>
        <v/>
      </c>
      <c r="W80" s="26" t="str">
        <f t="shared" si="35"/>
        <v/>
      </c>
      <c r="X80" s="13" t="str">
        <f t="shared" si="36"/>
        <v/>
      </c>
      <c r="Y80" s="9">
        <f t="shared" si="37"/>
        <v>0</v>
      </c>
    </row>
    <row r="81" spans="1:25" x14ac:dyDescent="0.25">
      <c r="A81" s="28"/>
      <c r="B81" s="29"/>
      <c r="C81" s="30"/>
      <c r="D81" s="31"/>
      <c r="E81" s="29" t="s">
        <v>16</v>
      </c>
      <c r="F81" s="13" t="b">
        <f>IF($E81=Categories!$A$1,"",IF($E81=Categories!$A$2,Categories!$B$2,IF($E81=Categories!$A$3,Categories!$B$3,IF($E81=Categories!$A$4,Categories!$B$4,IF($E81=Categories!$A$5,Categories!$B$5,IF($E81=Categories!$A$6,Categories!$B$6,IF($E81=Categories!$A$7,Categories!$B$7,IF($E81=Categories!$A$8,Categories!$B$8,IF($E81=Categories!$A$9,Categories!$B$9,IF($E81=Categories!$A$10,Categories!$B$10,IF($E81=Categories!$A$11,Categories!$B$11,IF($E81=Categories!$A$12,Categories!$B$12,IF($E81=Categories!$A$13,Categories!$B$13,IF($E81=Categories!$A$14,Categories!$B$14,IF($E81=Categories!$A$15,Categories!$B$15,IF($E81=Categories!$A$16,Categories!$B$16,IF($E81=Categories!$A$17,Categories!$B$17,IF($E81=Categories!$A$18,Categories!$B$18,IF($E81=Categories!$A$19,Categories!$B$19)))))))))))))))))))</f>
        <v>0</v>
      </c>
      <c r="G81" s="9" t="str">
        <f t="shared" si="19"/>
        <v/>
      </c>
      <c r="H81" s="1" t="str">
        <f t="shared" si="20"/>
        <v/>
      </c>
      <c r="I81" s="1" t="str">
        <f t="shared" si="21"/>
        <v/>
      </c>
      <c r="J81" s="1" t="str">
        <f t="shared" si="22"/>
        <v/>
      </c>
      <c r="K81" s="13" t="str">
        <f t="shared" si="23"/>
        <v/>
      </c>
      <c r="L81" s="9" t="str">
        <f t="shared" si="24"/>
        <v/>
      </c>
      <c r="M81" s="1" t="str">
        <f t="shared" si="25"/>
        <v/>
      </c>
      <c r="N81" s="1" t="str">
        <f t="shared" si="26"/>
        <v/>
      </c>
      <c r="O81" s="1" t="str">
        <f t="shared" si="27"/>
        <v/>
      </c>
      <c r="P81" s="1" t="str">
        <f t="shared" si="28"/>
        <v/>
      </c>
      <c r="Q81" s="1" t="str">
        <f t="shared" si="29"/>
        <v/>
      </c>
      <c r="R81" s="1" t="str">
        <f t="shared" si="30"/>
        <v/>
      </c>
      <c r="S81" s="1" t="str">
        <f t="shared" si="31"/>
        <v/>
      </c>
      <c r="T81" s="1" t="str">
        <f t="shared" si="32"/>
        <v/>
      </c>
      <c r="U81" s="1" t="str">
        <f t="shared" si="33"/>
        <v/>
      </c>
      <c r="V81" s="1" t="str">
        <f t="shared" si="34"/>
        <v/>
      </c>
      <c r="W81" s="26" t="str">
        <f t="shared" si="35"/>
        <v/>
      </c>
      <c r="X81" s="13" t="str">
        <f t="shared" si="36"/>
        <v/>
      </c>
      <c r="Y81" s="9">
        <f t="shared" si="37"/>
        <v>0</v>
      </c>
    </row>
    <row r="82" spans="1:25" x14ac:dyDescent="0.25">
      <c r="A82" s="28"/>
      <c r="B82" s="29"/>
      <c r="C82" s="30"/>
      <c r="D82" s="31"/>
      <c r="E82" s="29" t="s">
        <v>16</v>
      </c>
      <c r="F82" s="13" t="b">
        <f>IF($E82=Categories!$A$1,"",IF($E82=Categories!$A$2,Categories!$B$2,IF($E82=Categories!$A$3,Categories!$B$3,IF($E82=Categories!$A$4,Categories!$B$4,IF($E82=Categories!$A$5,Categories!$B$5,IF($E82=Categories!$A$6,Categories!$B$6,IF($E82=Categories!$A$7,Categories!$B$7,IF($E82=Categories!$A$8,Categories!$B$8,IF($E82=Categories!$A$9,Categories!$B$9,IF($E82=Categories!$A$10,Categories!$B$10,IF($E82=Categories!$A$11,Categories!$B$11,IF($E82=Categories!$A$12,Categories!$B$12,IF($E82=Categories!$A$13,Categories!$B$13,IF($E82=Categories!$A$14,Categories!$B$14,IF($E82=Categories!$A$15,Categories!$B$15,IF($E82=Categories!$A$16,Categories!$B$16,IF($E82=Categories!$A$17,Categories!$B$17,IF($E82=Categories!$A$18,Categories!$B$18,IF($E82=Categories!$A$19,Categories!$B$19)))))))))))))))))))</f>
        <v>0</v>
      </c>
      <c r="G82" s="9" t="str">
        <f t="shared" si="19"/>
        <v/>
      </c>
      <c r="H82" s="1" t="str">
        <f t="shared" si="20"/>
        <v/>
      </c>
      <c r="I82" s="1" t="str">
        <f t="shared" si="21"/>
        <v/>
      </c>
      <c r="J82" s="1" t="str">
        <f t="shared" si="22"/>
        <v/>
      </c>
      <c r="K82" s="13" t="str">
        <f t="shared" si="23"/>
        <v/>
      </c>
      <c r="L82" s="9" t="str">
        <f t="shared" si="24"/>
        <v/>
      </c>
      <c r="M82" s="1" t="str">
        <f t="shared" si="25"/>
        <v/>
      </c>
      <c r="N82" s="1" t="str">
        <f t="shared" si="26"/>
        <v/>
      </c>
      <c r="O82" s="1" t="str">
        <f t="shared" si="27"/>
        <v/>
      </c>
      <c r="P82" s="1" t="str">
        <f t="shared" si="28"/>
        <v/>
      </c>
      <c r="Q82" s="1" t="str">
        <f t="shared" si="29"/>
        <v/>
      </c>
      <c r="R82" s="1" t="str">
        <f t="shared" si="30"/>
        <v/>
      </c>
      <c r="S82" s="1" t="str">
        <f t="shared" si="31"/>
        <v/>
      </c>
      <c r="T82" s="1" t="str">
        <f t="shared" si="32"/>
        <v/>
      </c>
      <c r="U82" s="1" t="str">
        <f t="shared" si="33"/>
        <v/>
      </c>
      <c r="V82" s="1" t="str">
        <f t="shared" si="34"/>
        <v/>
      </c>
      <c r="W82" s="26" t="str">
        <f t="shared" si="35"/>
        <v/>
      </c>
      <c r="X82" s="13" t="str">
        <f t="shared" si="36"/>
        <v/>
      </c>
      <c r="Y82" s="9">
        <f t="shared" si="37"/>
        <v>0</v>
      </c>
    </row>
    <row r="83" spans="1:25" x14ac:dyDescent="0.25">
      <c r="A83" s="28"/>
      <c r="B83" s="29"/>
      <c r="C83" s="30"/>
      <c r="D83" s="31"/>
      <c r="E83" s="29" t="s">
        <v>16</v>
      </c>
      <c r="F83" s="13" t="b">
        <f>IF($E83=Categories!$A$1,"",IF($E83=Categories!$A$2,Categories!$B$2,IF($E83=Categories!$A$3,Categories!$B$3,IF($E83=Categories!$A$4,Categories!$B$4,IF($E83=Categories!$A$5,Categories!$B$5,IF($E83=Categories!$A$6,Categories!$B$6,IF($E83=Categories!$A$7,Categories!$B$7,IF($E83=Categories!$A$8,Categories!$B$8,IF($E83=Categories!$A$9,Categories!$B$9,IF($E83=Categories!$A$10,Categories!$B$10,IF($E83=Categories!$A$11,Categories!$B$11,IF($E83=Categories!$A$12,Categories!$B$12,IF($E83=Categories!$A$13,Categories!$B$13,IF($E83=Categories!$A$14,Categories!$B$14,IF($E83=Categories!$A$15,Categories!$B$15,IF($E83=Categories!$A$16,Categories!$B$16,IF($E83=Categories!$A$17,Categories!$B$17,IF($E83=Categories!$A$18,Categories!$B$18,IF($E83=Categories!$A$19,Categories!$B$19)))))))))))))))))))</f>
        <v>0</v>
      </c>
      <c r="G83" s="9" t="str">
        <f t="shared" si="19"/>
        <v/>
      </c>
      <c r="H83" s="1" t="str">
        <f t="shared" si="20"/>
        <v/>
      </c>
      <c r="I83" s="1" t="str">
        <f t="shared" si="21"/>
        <v/>
      </c>
      <c r="J83" s="1" t="str">
        <f t="shared" si="22"/>
        <v/>
      </c>
      <c r="K83" s="13" t="str">
        <f t="shared" si="23"/>
        <v/>
      </c>
      <c r="L83" s="9" t="str">
        <f t="shared" si="24"/>
        <v/>
      </c>
      <c r="M83" s="1" t="str">
        <f t="shared" si="25"/>
        <v/>
      </c>
      <c r="N83" s="1" t="str">
        <f t="shared" si="26"/>
        <v/>
      </c>
      <c r="O83" s="1" t="str">
        <f t="shared" si="27"/>
        <v/>
      </c>
      <c r="P83" s="1" t="str">
        <f t="shared" si="28"/>
        <v/>
      </c>
      <c r="Q83" s="1" t="str">
        <f t="shared" si="29"/>
        <v/>
      </c>
      <c r="R83" s="1" t="str">
        <f t="shared" si="30"/>
        <v/>
      </c>
      <c r="S83" s="1" t="str">
        <f t="shared" si="31"/>
        <v/>
      </c>
      <c r="T83" s="1" t="str">
        <f t="shared" si="32"/>
        <v/>
      </c>
      <c r="U83" s="1" t="str">
        <f t="shared" si="33"/>
        <v/>
      </c>
      <c r="V83" s="1" t="str">
        <f t="shared" si="34"/>
        <v/>
      </c>
      <c r="W83" s="26" t="str">
        <f t="shared" si="35"/>
        <v/>
      </c>
      <c r="X83" s="13" t="str">
        <f t="shared" si="36"/>
        <v/>
      </c>
      <c r="Y83" s="9">
        <f t="shared" si="37"/>
        <v>0</v>
      </c>
    </row>
    <row r="84" spans="1:25" x14ac:dyDescent="0.25">
      <c r="A84" s="28"/>
      <c r="B84" s="29"/>
      <c r="C84" s="30"/>
      <c r="D84" s="31"/>
      <c r="E84" s="29" t="s">
        <v>16</v>
      </c>
      <c r="F84" s="13" t="b">
        <f>IF($E84=Categories!$A$1,"",IF($E84=Categories!$A$2,Categories!$B$2,IF($E84=Categories!$A$3,Categories!$B$3,IF($E84=Categories!$A$4,Categories!$B$4,IF($E84=Categories!$A$5,Categories!$B$5,IF($E84=Categories!$A$6,Categories!$B$6,IF($E84=Categories!$A$7,Categories!$B$7,IF($E84=Categories!$A$8,Categories!$B$8,IF($E84=Categories!$A$9,Categories!$B$9,IF($E84=Categories!$A$10,Categories!$B$10,IF($E84=Categories!$A$11,Categories!$B$11,IF($E84=Categories!$A$12,Categories!$B$12,IF($E84=Categories!$A$13,Categories!$B$13,IF($E84=Categories!$A$14,Categories!$B$14,IF($E84=Categories!$A$15,Categories!$B$15,IF($E84=Categories!$A$16,Categories!$B$16,IF($E84=Categories!$A$17,Categories!$B$17,IF($E84=Categories!$A$18,Categories!$B$18,IF($E84=Categories!$A$19,Categories!$B$19)))))))))))))))))))</f>
        <v>0</v>
      </c>
      <c r="G84" s="9" t="str">
        <f t="shared" si="19"/>
        <v/>
      </c>
      <c r="H84" s="1" t="str">
        <f t="shared" si="20"/>
        <v/>
      </c>
      <c r="I84" s="1" t="str">
        <f t="shared" si="21"/>
        <v/>
      </c>
      <c r="J84" s="1" t="str">
        <f t="shared" si="22"/>
        <v/>
      </c>
      <c r="K84" s="13" t="str">
        <f t="shared" si="23"/>
        <v/>
      </c>
      <c r="L84" s="9" t="str">
        <f t="shared" si="24"/>
        <v/>
      </c>
      <c r="M84" s="1" t="str">
        <f t="shared" si="25"/>
        <v/>
      </c>
      <c r="N84" s="1" t="str">
        <f t="shared" si="26"/>
        <v/>
      </c>
      <c r="O84" s="1" t="str">
        <f t="shared" si="27"/>
        <v/>
      </c>
      <c r="P84" s="1" t="str">
        <f t="shared" si="28"/>
        <v/>
      </c>
      <c r="Q84" s="1" t="str">
        <f t="shared" si="29"/>
        <v/>
      </c>
      <c r="R84" s="1" t="str">
        <f t="shared" si="30"/>
        <v/>
      </c>
      <c r="S84" s="1" t="str">
        <f t="shared" si="31"/>
        <v/>
      </c>
      <c r="T84" s="1" t="str">
        <f t="shared" si="32"/>
        <v/>
      </c>
      <c r="U84" s="1" t="str">
        <f t="shared" si="33"/>
        <v/>
      </c>
      <c r="V84" s="1" t="str">
        <f t="shared" si="34"/>
        <v/>
      </c>
      <c r="W84" s="26" t="str">
        <f t="shared" si="35"/>
        <v/>
      </c>
      <c r="X84" s="13" t="str">
        <f t="shared" si="36"/>
        <v/>
      </c>
      <c r="Y84" s="9">
        <f t="shared" si="37"/>
        <v>0</v>
      </c>
    </row>
    <row r="85" spans="1:25" x14ac:dyDescent="0.25">
      <c r="A85" s="28"/>
      <c r="B85" s="29"/>
      <c r="C85" s="30"/>
      <c r="D85" s="31"/>
      <c r="E85" s="29" t="s">
        <v>16</v>
      </c>
      <c r="F85" s="13" t="b">
        <f>IF($E85=Categories!$A$1,"",IF($E85=Categories!$A$2,Categories!$B$2,IF($E85=Categories!$A$3,Categories!$B$3,IF($E85=Categories!$A$4,Categories!$B$4,IF($E85=Categories!$A$5,Categories!$B$5,IF($E85=Categories!$A$6,Categories!$B$6,IF($E85=Categories!$A$7,Categories!$B$7,IF($E85=Categories!$A$8,Categories!$B$8,IF($E85=Categories!$A$9,Categories!$B$9,IF($E85=Categories!$A$10,Categories!$B$10,IF($E85=Categories!$A$11,Categories!$B$11,IF($E85=Categories!$A$12,Categories!$B$12,IF($E85=Categories!$A$13,Categories!$B$13,IF($E85=Categories!$A$14,Categories!$B$14,IF($E85=Categories!$A$15,Categories!$B$15,IF($E85=Categories!$A$16,Categories!$B$16,IF($E85=Categories!$A$17,Categories!$B$17,IF($E85=Categories!$A$18,Categories!$B$18,IF($E85=Categories!$A$19,Categories!$B$19)))))))))))))))))))</f>
        <v>0</v>
      </c>
      <c r="G85" s="9" t="str">
        <f t="shared" si="19"/>
        <v/>
      </c>
      <c r="H85" s="1" t="str">
        <f t="shared" si="20"/>
        <v/>
      </c>
      <c r="I85" s="1" t="str">
        <f t="shared" si="21"/>
        <v/>
      </c>
      <c r="J85" s="1" t="str">
        <f t="shared" si="22"/>
        <v/>
      </c>
      <c r="K85" s="13" t="str">
        <f t="shared" si="23"/>
        <v/>
      </c>
      <c r="L85" s="9" t="str">
        <f t="shared" si="24"/>
        <v/>
      </c>
      <c r="M85" s="1" t="str">
        <f t="shared" si="25"/>
        <v/>
      </c>
      <c r="N85" s="1" t="str">
        <f t="shared" si="26"/>
        <v/>
      </c>
      <c r="O85" s="1" t="str">
        <f t="shared" si="27"/>
        <v/>
      </c>
      <c r="P85" s="1" t="str">
        <f t="shared" si="28"/>
        <v/>
      </c>
      <c r="Q85" s="1" t="str">
        <f t="shared" si="29"/>
        <v/>
      </c>
      <c r="R85" s="1" t="str">
        <f t="shared" si="30"/>
        <v/>
      </c>
      <c r="S85" s="1" t="str">
        <f t="shared" si="31"/>
        <v/>
      </c>
      <c r="T85" s="1" t="str">
        <f t="shared" si="32"/>
        <v/>
      </c>
      <c r="U85" s="1" t="str">
        <f t="shared" si="33"/>
        <v/>
      </c>
      <c r="V85" s="1" t="str">
        <f t="shared" si="34"/>
        <v/>
      </c>
      <c r="W85" s="26" t="str">
        <f t="shared" si="35"/>
        <v/>
      </c>
      <c r="X85" s="13" t="str">
        <f t="shared" si="36"/>
        <v/>
      </c>
      <c r="Y85" s="9">
        <f t="shared" si="37"/>
        <v>0</v>
      </c>
    </row>
    <row r="86" spans="1:25" x14ac:dyDescent="0.25">
      <c r="A86" s="28"/>
      <c r="B86" s="29"/>
      <c r="C86" s="30"/>
      <c r="D86" s="31"/>
      <c r="E86" s="29" t="s">
        <v>16</v>
      </c>
      <c r="F86" s="13" t="b">
        <f>IF($E86=Categories!$A$1,"",IF($E86=Categories!$A$2,Categories!$B$2,IF($E86=Categories!$A$3,Categories!$B$3,IF($E86=Categories!$A$4,Categories!$B$4,IF($E86=Categories!$A$5,Categories!$B$5,IF($E86=Categories!$A$6,Categories!$B$6,IF($E86=Categories!$A$7,Categories!$B$7,IF($E86=Categories!$A$8,Categories!$B$8,IF($E86=Categories!$A$9,Categories!$B$9,IF($E86=Categories!$A$10,Categories!$B$10,IF($E86=Categories!$A$11,Categories!$B$11,IF($E86=Categories!$A$12,Categories!$B$12,IF($E86=Categories!$A$13,Categories!$B$13,IF($E86=Categories!$A$14,Categories!$B$14,IF($E86=Categories!$A$15,Categories!$B$15,IF($E86=Categories!$A$16,Categories!$B$16,IF($E86=Categories!$A$17,Categories!$B$17,IF($E86=Categories!$A$18,Categories!$B$18,IF($E86=Categories!$A$19,Categories!$B$19)))))))))))))))))))</f>
        <v>0</v>
      </c>
      <c r="G86" s="9" t="str">
        <f t="shared" si="19"/>
        <v/>
      </c>
      <c r="H86" s="1" t="str">
        <f t="shared" si="20"/>
        <v/>
      </c>
      <c r="I86" s="1" t="str">
        <f t="shared" si="21"/>
        <v/>
      </c>
      <c r="J86" s="1" t="str">
        <f t="shared" si="22"/>
        <v/>
      </c>
      <c r="K86" s="13" t="str">
        <f t="shared" si="23"/>
        <v/>
      </c>
      <c r="L86" s="9" t="str">
        <f t="shared" si="24"/>
        <v/>
      </c>
      <c r="M86" s="1" t="str">
        <f t="shared" si="25"/>
        <v/>
      </c>
      <c r="N86" s="1" t="str">
        <f t="shared" si="26"/>
        <v/>
      </c>
      <c r="O86" s="1" t="str">
        <f t="shared" si="27"/>
        <v/>
      </c>
      <c r="P86" s="1" t="str">
        <f t="shared" si="28"/>
        <v/>
      </c>
      <c r="Q86" s="1" t="str">
        <f t="shared" si="29"/>
        <v/>
      </c>
      <c r="R86" s="1" t="str">
        <f t="shared" si="30"/>
        <v/>
      </c>
      <c r="S86" s="1" t="str">
        <f t="shared" si="31"/>
        <v/>
      </c>
      <c r="T86" s="1" t="str">
        <f t="shared" si="32"/>
        <v/>
      </c>
      <c r="U86" s="1" t="str">
        <f t="shared" si="33"/>
        <v/>
      </c>
      <c r="V86" s="1" t="str">
        <f t="shared" si="34"/>
        <v/>
      </c>
      <c r="W86" s="26" t="str">
        <f t="shared" si="35"/>
        <v/>
      </c>
      <c r="X86" s="13" t="str">
        <f t="shared" si="36"/>
        <v/>
      </c>
      <c r="Y86" s="9">
        <f t="shared" si="37"/>
        <v>0</v>
      </c>
    </row>
    <row r="87" spans="1:25" x14ac:dyDescent="0.25">
      <c r="A87" s="28"/>
      <c r="B87" s="29"/>
      <c r="C87" s="30"/>
      <c r="D87" s="31"/>
      <c r="E87" s="29" t="s">
        <v>16</v>
      </c>
      <c r="F87" s="13" t="b">
        <f>IF($E87=Categories!$A$1,"",IF($E87=Categories!$A$2,Categories!$B$2,IF($E87=Categories!$A$3,Categories!$B$3,IF($E87=Categories!$A$4,Categories!$B$4,IF($E87=Categories!$A$5,Categories!$B$5,IF($E87=Categories!$A$6,Categories!$B$6,IF($E87=Categories!$A$7,Categories!$B$7,IF($E87=Categories!$A$8,Categories!$B$8,IF($E87=Categories!$A$9,Categories!$B$9,IF($E87=Categories!$A$10,Categories!$B$10,IF($E87=Categories!$A$11,Categories!$B$11,IF($E87=Categories!$A$12,Categories!$B$12,IF($E87=Categories!$A$13,Categories!$B$13,IF($E87=Categories!$A$14,Categories!$B$14,IF($E87=Categories!$A$15,Categories!$B$15,IF($E87=Categories!$A$16,Categories!$B$16,IF($E87=Categories!$A$17,Categories!$B$17,IF($E87=Categories!$A$18,Categories!$B$18,IF($E87=Categories!$A$19,Categories!$B$19)))))))))))))))))))</f>
        <v>0</v>
      </c>
      <c r="G87" s="9" t="str">
        <f t="shared" si="19"/>
        <v/>
      </c>
      <c r="H87" s="1" t="str">
        <f t="shared" si="20"/>
        <v/>
      </c>
      <c r="I87" s="1" t="str">
        <f t="shared" si="21"/>
        <v/>
      </c>
      <c r="J87" s="1" t="str">
        <f t="shared" si="22"/>
        <v/>
      </c>
      <c r="K87" s="13" t="str">
        <f t="shared" si="23"/>
        <v/>
      </c>
      <c r="L87" s="9" t="str">
        <f t="shared" si="24"/>
        <v/>
      </c>
      <c r="M87" s="1" t="str">
        <f t="shared" si="25"/>
        <v/>
      </c>
      <c r="N87" s="1" t="str">
        <f t="shared" si="26"/>
        <v/>
      </c>
      <c r="O87" s="1" t="str">
        <f t="shared" si="27"/>
        <v/>
      </c>
      <c r="P87" s="1" t="str">
        <f t="shared" si="28"/>
        <v/>
      </c>
      <c r="Q87" s="1" t="str">
        <f t="shared" si="29"/>
        <v/>
      </c>
      <c r="R87" s="1" t="str">
        <f t="shared" si="30"/>
        <v/>
      </c>
      <c r="S87" s="1" t="str">
        <f t="shared" si="31"/>
        <v/>
      </c>
      <c r="T87" s="1" t="str">
        <f t="shared" si="32"/>
        <v/>
      </c>
      <c r="U87" s="1" t="str">
        <f t="shared" si="33"/>
        <v/>
      </c>
      <c r="V87" s="1" t="str">
        <f t="shared" si="34"/>
        <v/>
      </c>
      <c r="W87" s="26" t="str">
        <f t="shared" si="35"/>
        <v/>
      </c>
      <c r="X87" s="13" t="str">
        <f t="shared" si="36"/>
        <v/>
      </c>
      <c r="Y87" s="9">
        <f t="shared" si="37"/>
        <v>0</v>
      </c>
    </row>
    <row r="88" spans="1:25" x14ac:dyDescent="0.25">
      <c r="A88" s="28"/>
      <c r="B88" s="29"/>
      <c r="C88" s="30"/>
      <c r="D88" s="31"/>
      <c r="E88" s="29" t="s">
        <v>16</v>
      </c>
      <c r="F88" s="13" t="b">
        <f>IF($E88=Categories!$A$1,"",IF($E88=Categories!$A$2,Categories!$B$2,IF($E88=Categories!$A$3,Categories!$B$3,IF($E88=Categories!$A$4,Categories!$B$4,IF($E88=Categories!$A$5,Categories!$B$5,IF($E88=Categories!$A$6,Categories!$B$6,IF($E88=Categories!$A$7,Categories!$B$7,IF($E88=Categories!$A$8,Categories!$B$8,IF($E88=Categories!$A$9,Categories!$B$9,IF($E88=Categories!$A$10,Categories!$B$10,IF($E88=Categories!$A$11,Categories!$B$11,IF($E88=Categories!$A$12,Categories!$B$12,IF($E88=Categories!$A$13,Categories!$B$13,IF($E88=Categories!$A$14,Categories!$B$14,IF($E88=Categories!$A$15,Categories!$B$15,IF($E88=Categories!$A$16,Categories!$B$16,IF($E88=Categories!$A$17,Categories!$B$17,IF($E88=Categories!$A$18,Categories!$B$18,IF($E88=Categories!$A$19,Categories!$B$19)))))))))))))))))))</f>
        <v>0</v>
      </c>
      <c r="G88" s="9" t="str">
        <f t="shared" si="19"/>
        <v/>
      </c>
      <c r="H88" s="1" t="str">
        <f t="shared" si="20"/>
        <v/>
      </c>
      <c r="I88" s="1" t="str">
        <f t="shared" si="21"/>
        <v/>
      </c>
      <c r="J88" s="1" t="str">
        <f t="shared" si="22"/>
        <v/>
      </c>
      <c r="K88" s="13" t="str">
        <f t="shared" si="23"/>
        <v/>
      </c>
      <c r="L88" s="9" t="str">
        <f t="shared" si="24"/>
        <v/>
      </c>
      <c r="M88" s="1" t="str">
        <f t="shared" si="25"/>
        <v/>
      </c>
      <c r="N88" s="1" t="str">
        <f t="shared" si="26"/>
        <v/>
      </c>
      <c r="O88" s="1" t="str">
        <f t="shared" si="27"/>
        <v/>
      </c>
      <c r="P88" s="1" t="str">
        <f t="shared" si="28"/>
        <v/>
      </c>
      <c r="Q88" s="1" t="str">
        <f t="shared" si="29"/>
        <v/>
      </c>
      <c r="R88" s="1" t="str">
        <f t="shared" si="30"/>
        <v/>
      </c>
      <c r="S88" s="1" t="str">
        <f t="shared" si="31"/>
        <v/>
      </c>
      <c r="T88" s="1" t="str">
        <f t="shared" si="32"/>
        <v/>
      </c>
      <c r="U88" s="1" t="str">
        <f t="shared" si="33"/>
        <v/>
      </c>
      <c r="V88" s="1" t="str">
        <f t="shared" si="34"/>
        <v/>
      </c>
      <c r="W88" s="26" t="str">
        <f t="shared" si="35"/>
        <v/>
      </c>
      <c r="X88" s="13" t="str">
        <f t="shared" si="36"/>
        <v/>
      </c>
      <c r="Y88" s="9">
        <f t="shared" si="37"/>
        <v>0</v>
      </c>
    </row>
    <row r="89" spans="1:25" x14ac:dyDescent="0.25">
      <c r="A89" s="28"/>
      <c r="B89" s="29"/>
      <c r="C89" s="30"/>
      <c r="D89" s="31"/>
      <c r="E89" s="29" t="s">
        <v>16</v>
      </c>
      <c r="F89" s="13" t="b">
        <f>IF($E89=Categories!$A$1,"",IF($E89=Categories!$A$2,Categories!$B$2,IF($E89=Categories!$A$3,Categories!$B$3,IF($E89=Categories!$A$4,Categories!$B$4,IF($E89=Categories!$A$5,Categories!$B$5,IF($E89=Categories!$A$6,Categories!$B$6,IF($E89=Categories!$A$7,Categories!$B$7,IF($E89=Categories!$A$8,Categories!$B$8,IF($E89=Categories!$A$9,Categories!$B$9,IF($E89=Categories!$A$10,Categories!$B$10,IF($E89=Categories!$A$11,Categories!$B$11,IF($E89=Categories!$A$12,Categories!$B$12,IF($E89=Categories!$A$13,Categories!$B$13,IF($E89=Categories!$A$14,Categories!$B$14,IF($E89=Categories!$A$15,Categories!$B$15,IF($E89=Categories!$A$16,Categories!$B$16,IF($E89=Categories!$A$17,Categories!$B$17,IF($E89=Categories!$A$18,Categories!$B$18,IF($E89=Categories!$A$19,Categories!$B$19)))))))))))))))))))</f>
        <v>0</v>
      </c>
      <c r="G89" s="9" t="str">
        <f t="shared" si="19"/>
        <v/>
      </c>
      <c r="H89" s="1" t="str">
        <f t="shared" si="20"/>
        <v/>
      </c>
      <c r="I89" s="1" t="str">
        <f t="shared" si="21"/>
        <v/>
      </c>
      <c r="J89" s="1" t="str">
        <f t="shared" si="22"/>
        <v/>
      </c>
      <c r="K89" s="13" t="str">
        <f t="shared" si="23"/>
        <v/>
      </c>
      <c r="L89" s="9" t="str">
        <f t="shared" si="24"/>
        <v/>
      </c>
      <c r="M89" s="1" t="str">
        <f t="shared" si="25"/>
        <v/>
      </c>
      <c r="N89" s="1" t="str">
        <f t="shared" si="26"/>
        <v/>
      </c>
      <c r="O89" s="1" t="str">
        <f t="shared" si="27"/>
        <v/>
      </c>
      <c r="P89" s="1" t="str">
        <f t="shared" si="28"/>
        <v/>
      </c>
      <c r="Q89" s="1" t="str">
        <f t="shared" si="29"/>
        <v/>
      </c>
      <c r="R89" s="1" t="str">
        <f t="shared" si="30"/>
        <v/>
      </c>
      <c r="S89" s="1" t="str">
        <f t="shared" si="31"/>
        <v/>
      </c>
      <c r="T89" s="1" t="str">
        <f t="shared" si="32"/>
        <v/>
      </c>
      <c r="U89" s="1" t="str">
        <f t="shared" si="33"/>
        <v/>
      </c>
      <c r="V89" s="1" t="str">
        <f t="shared" si="34"/>
        <v/>
      </c>
      <c r="W89" s="26" t="str">
        <f t="shared" si="35"/>
        <v/>
      </c>
      <c r="X89" s="13" t="str">
        <f t="shared" si="36"/>
        <v/>
      </c>
      <c r="Y89" s="9">
        <f t="shared" si="37"/>
        <v>0</v>
      </c>
    </row>
    <row r="90" spans="1:25" x14ac:dyDescent="0.25">
      <c r="A90" s="28"/>
      <c r="B90" s="29"/>
      <c r="C90" s="30"/>
      <c r="D90" s="31"/>
      <c r="E90" s="29" t="s">
        <v>16</v>
      </c>
      <c r="F90" s="13" t="b">
        <f>IF($E90=Categories!$A$1,"",IF($E90=Categories!$A$2,Categories!$B$2,IF($E90=Categories!$A$3,Categories!$B$3,IF($E90=Categories!$A$4,Categories!$B$4,IF($E90=Categories!$A$5,Categories!$B$5,IF($E90=Categories!$A$6,Categories!$B$6,IF($E90=Categories!$A$7,Categories!$B$7,IF($E90=Categories!$A$8,Categories!$B$8,IF($E90=Categories!$A$9,Categories!$B$9,IF($E90=Categories!$A$10,Categories!$B$10,IF($E90=Categories!$A$11,Categories!$B$11,IF($E90=Categories!$A$12,Categories!$B$12,IF($E90=Categories!$A$13,Categories!$B$13,IF($E90=Categories!$A$14,Categories!$B$14,IF($E90=Categories!$A$15,Categories!$B$15,IF($E90=Categories!$A$16,Categories!$B$16,IF($E90=Categories!$A$17,Categories!$B$17,IF($E90=Categories!$A$18,Categories!$B$18,IF($E90=Categories!$A$19,Categories!$B$19)))))))))))))))))))</f>
        <v>0</v>
      </c>
      <c r="G90" s="9" t="str">
        <f t="shared" si="19"/>
        <v/>
      </c>
      <c r="H90" s="1" t="str">
        <f t="shared" si="20"/>
        <v/>
      </c>
      <c r="I90" s="1" t="str">
        <f t="shared" si="21"/>
        <v/>
      </c>
      <c r="J90" s="1" t="str">
        <f t="shared" si="22"/>
        <v/>
      </c>
      <c r="K90" s="13" t="str">
        <f t="shared" si="23"/>
        <v/>
      </c>
      <c r="L90" s="9" t="str">
        <f t="shared" si="24"/>
        <v/>
      </c>
      <c r="M90" s="1" t="str">
        <f t="shared" si="25"/>
        <v/>
      </c>
      <c r="N90" s="1" t="str">
        <f t="shared" si="26"/>
        <v/>
      </c>
      <c r="O90" s="1" t="str">
        <f t="shared" si="27"/>
        <v/>
      </c>
      <c r="P90" s="1" t="str">
        <f t="shared" si="28"/>
        <v/>
      </c>
      <c r="Q90" s="1" t="str">
        <f t="shared" si="29"/>
        <v/>
      </c>
      <c r="R90" s="1" t="str">
        <f t="shared" si="30"/>
        <v/>
      </c>
      <c r="S90" s="1" t="str">
        <f t="shared" si="31"/>
        <v/>
      </c>
      <c r="T90" s="1" t="str">
        <f t="shared" si="32"/>
        <v/>
      </c>
      <c r="U90" s="1" t="str">
        <f t="shared" si="33"/>
        <v/>
      </c>
      <c r="V90" s="1" t="str">
        <f t="shared" si="34"/>
        <v/>
      </c>
      <c r="W90" s="26" t="str">
        <f t="shared" si="35"/>
        <v/>
      </c>
      <c r="X90" s="13" t="str">
        <f t="shared" si="36"/>
        <v/>
      </c>
      <c r="Y90" s="9">
        <f t="shared" si="37"/>
        <v>0</v>
      </c>
    </row>
    <row r="91" spans="1:25" x14ac:dyDescent="0.25">
      <c r="A91" s="28"/>
      <c r="B91" s="29"/>
      <c r="C91" s="30"/>
      <c r="D91" s="31"/>
      <c r="E91" s="29" t="s">
        <v>16</v>
      </c>
      <c r="F91" s="13" t="b">
        <f>IF($E91=Categories!$A$1,"",IF($E91=Categories!$A$2,Categories!$B$2,IF($E91=Categories!$A$3,Categories!$B$3,IF($E91=Categories!$A$4,Categories!$B$4,IF($E91=Categories!$A$5,Categories!$B$5,IF($E91=Categories!$A$6,Categories!$B$6,IF($E91=Categories!$A$7,Categories!$B$7,IF($E91=Categories!$A$8,Categories!$B$8,IF($E91=Categories!$A$9,Categories!$B$9,IF($E91=Categories!$A$10,Categories!$B$10,IF($E91=Categories!$A$11,Categories!$B$11,IF($E91=Categories!$A$12,Categories!$B$12,IF($E91=Categories!$A$13,Categories!$B$13,IF($E91=Categories!$A$14,Categories!$B$14,IF($E91=Categories!$A$15,Categories!$B$15,IF($E91=Categories!$A$16,Categories!$B$16,IF($E91=Categories!$A$17,Categories!$B$17,IF($E91=Categories!$A$18,Categories!$B$18,IF($E91=Categories!$A$19,Categories!$B$19)))))))))))))))))))</f>
        <v>0</v>
      </c>
      <c r="G91" s="9" t="str">
        <f t="shared" si="19"/>
        <v/>
      </c>
      <c r="H91" s="1" t="str">
        <f t="shared" si="20"/>
        <v/>
      </c>
      <c r="I91" s="1" t="str">
        <f t="shared" si="21"/>
        <v/>
      </c>
      <c r="J91" s="1" t="str">
        <f t="shared" si="22"/>
        <v/>
      </c>
      <c r="K91" s="13" t="str">
        <f t="shared" si="23"/>
        <v/>
      </c>
      <c r="L91" s="9" t="str">
        <f t="shared" si="24"/>
        <v/>
      </c>
      <c r="M91" s="1" t="str">
        <f t="shared" si="25"/>
        <v/>
      </c>
      <c r="N91" s="1" t="str">
        <f t="shared" si="26"/>
        <v/>
      </c>
      <c r="O91" s="1" t="str">
        <f t="shared" si="27"/>
        <v/>
      </c>
      <c r="P91" s="1" t="str">
        <f t="shared" si="28"/>
        <v/>
      </c>
      <c r="Q91" s="1" t="str">
        <f t="shared" si="29"/>
        <v/>
      </c>
      <c r="R91" s="1" t="str">
        <f t="shared" si="30"/>
        <v/>
      </c>
      <c r="S91" s="1" t="str">
        <f t="shared" si="31"/>
        <v/>
      </c>
      <c r="T91" s="1" t="str">
        <f t="shared" si="32"/>
        <v/>
      </c>
      <c r="U91" s="1" t="str">
        <f t="shared" si="33"/>
        <v/>
      </c>
      <c r="V91" s="1" t="str">
        <f t="shared" si="34"/>
        <v/>
      </c>
      <c r="W91" s="26" t="str">
        <f t="shared" si="35"/>
        <v/>
      </c>
      <c r="X91" s="13" t="str">
        <f t="shared" si="36"/>
        <v/>
      </c>
      <c r="Y91" s="9">
        <f t="shared" si="37"/>
        <v>0</v>
      </c>
    </row>
    <row r="92" spans="1:25" x14ac:dyDescent="0.25">
      <c r="A92" s="28"/>
      <c r="B92" s="29"/>
      <c r="C92" s="30"/>
      <c r="D92" s="31"/>
      <c r="E92" s="29" t="s">
        <v>16</v>
      </c>
      <c r="F92" s="13" t="b">
        <f>IF($E92=Categories!$A$1,"",IF($E92=Categories!$A$2,Categories!$B$2,IF($E92=Categories!$A$3,Categories!$B$3,IF($E92=Categories!$A$4,Categories!$B$4,IF($E92=Categories!$A$5,Categories!$B$5,IF($E92=Categories!$A$6,Categories!$B$6,IF($E92=Categories!$A$7,Categories!$B$7,IF($E92=Categories!$A$8,Categories!$B$8,IF($E92=Categories!$A$9,Categories!$B$9,IF($E92=Categories!$A$10,Categories!$B$10,IF($E92=Categories!$A$11,Categories!$B$11,IF($E92=Categories!$A$12,Categories!$B$12,IF($E92=Categories!$A$13,Categories!$B$13,IF($E92=Categories!$A$14,Categories!$B$14,IF($E92=Categories!$A$15,Categories!$B$15,IF($E92=Categories!$A$16,Categories!$B$16,IF($E92=Categories!$A$17,Categories!$B$17,IF($E92=Categories!$A$18,Categories!$B$18,IF($E92=Categories!$A$19,Categories!$B$19)))))))))))))))))))</f>
        <v>0</v>
      </c>
      <c r="G92" s="9" t="str">
        <f t="shared" si="19"/>
        <v/>
      </c>
      <c r="H92" s="1" t="str">
        <f t="shared" si="20"/>
        <v/>
      </c>
      <c r="I92" s="1" t="str">
        <f t="shared" si="21"/>
        <v/>
      </c>
      <c r="J92" s="1" t="str">
        <f t="shared" si="22"/>
        <v/>
      </c>
      <c r="K92" s="13" t="str">
        <f t="shared" si="23"/>
        <v/>
      </c>
      <c r="L92" s="9" t="str">
        <f t="shared" si="24"/>
        <v/>
      </c>
      <c r="M92" s="1" t="str">
        <f t="shared" si="25"/>
        <v/>
      </c>
      <c r="N92" s="1" t="str">
        <f t="shared" si="26"/>
        <v/>
      </c>
      <c r="O92" s="1" t="str">
        <f t="shared" si="27"/>
        <v/>
      </c>
      <c r="P92" s="1" t="str">
        <f t="shared" si="28"/>
        <v/>
      </c>
      <c r="Q92" s="1" t="str">
        <f t="shared" si="29"/>
        <v/>
      </c>
      <c r="R92" s="1" t="str">
        <f t="shared" si="30"/>
        <v/>
      </c>
      <c r="S92" s="1" t="str">
        <f t="shared" si="31"/>
        <v/>
      </c>
      <c r="T92" s="1" t="str">
        <f t="shared" si="32"/>
        <v/>
      </c>
      <c r="U92" s="1" t="str">
        <f t="shared" si="33"/>
        <v/>
      </c>
      <c r="V92" s="1" t="str">
        <f t="shared" si="34"/>
        <v/>
      </c>
      <c r="W92" s="26" t="str">
        <f t="shared" si="35"/>
        <v/>
      </c>
      <c r="X92" s="13" t="str">
        <f t="shared" si="36"/>
        <v/>
      </c>
      <c r="Y92" s="9">
        <f t="shared" si="37"/>
        <v>0</v>
      </c>
    </row>
    <row r="93" spans="1:25" x14ac:dyDescent="0.25">
      <c r="A93" s="28"/>
      <c r="B93" s="29"/>
      <c r="C93" s="30"/>
      <c r="D93" s="31"/>
      <c r="E93" s="29" t="s">
        <v>16</v>
      </c>
      <c r="F93" s="13" t="b">
        <f>IF($E93=Categories!$A$1,"",IF($E93=Categories!$A$2,Categories!$B$2,IF($E93=Categories!$A$3,Categories!$B$3,IF($E93=Categories!$A$4,Categories!$B$4,IF($E93=Categories!$A$5,Categories!$B$5,IF($E93=Categories!$A$6,Categories!$B$6,IF($E93=Categories!$A$7,Categories!$B$7,IF($E93=Categories!$A$8,Categories!$B$8,IF($E93=Categories!$A$9,Categories!$B$9,IF($E93=Categories!$A$10,Categories!$B$10,IF($E93=Categories!$A$11,Categories!$B$11,IF($E93=Categories!$A$12,Categories!$B$12,IF($E93=Categories!$A$13,Categories!$B$13,IF($E93=Categories!$A$14,Categories!$B$14,IF($E93=Categories!$A$15,Categories!$B$15,IF($E93=Categories!$A$16,Categories!$B$16,IF($E93=Categories!$A$17,Categories!$B$17,IF($E93=Categories!$A$18,Categories!$B$18,IF($E93=Categories!$A$19,Categories!$B$19)))))))))))))))))))</f>
        <v>0</v>
      </c>
      <c r="G93" s="9" t="str">
        <f t="shared" si="19"/>
        <v/>
      </c>
      <c r="H93" s="1" t="str">
        <f t="shared" si="20"/>
        <v/>
      </c>
      <c r="I93" s="1" t="str">
        <f t="shared" si="21"/>
        <v/>
      </c>
      <c r="J93" s="1" t="str">
        <f t="shared" si="22"/>
        <v/>
      </c>
      <c r="K93" s="13" t="str">
        <f t="shared" si="23"/>
        <v/>
      </c>
      <c r="L93" s="9" t="str">
        <f t="shared" si="24"/>
        <v/>
      </c>
      <c r="M93" s="1" t="str">
        <f t="shared" si="25"/>
        <v/>
      </c>
      <c r="N93" s="1" t="str">
        <f t="shared" si="26"/>
        <v/>
      </c>
      <c r="O93" s="1" t="str">
        <f t="shared" si="27"/>
        <v/>
      </c>
      <c r="P93" s="1" t="str">
        <f t="shared" si="28"/>
        <v/>
      </c>
      <c r="Q93" s="1" t="str">
        <f t="shared" si="29"/>
        <v/>
      </c>
      <c r="R93" s="1" t="str">
        <f t="shared" si="30"/>
        <v/>
      </c>
      <c r="S93" s="1" t="str">
        <f t="shared" si="31"/>
        <v/>
      </c>
      <c r="T93" s="1" t="str">
        <f t="shared" si="32"/>
        <v/>
      </c>
      <c r="U93" s="1" t="str">
        <f t="shared" si="33"/>
        <v/>
      </c>
      <c r="V93" s="1" t="str">
        <f t="shared" si="34"/>
        <v/>
      </c>
      <c r="W93" s="26" t="str">
        <f t="shared" si="35"/>
        <v/>
      </c>
      <c r="X93" s="13" t="str">
        <f t="shared" si="36"/>
        <v/>
      </c>
      <c r="Y93" s="9">
        <f t="shared" si="37"/>
        <v>0</v>
      </c>
    </row>
    <row r="94" spans="1:25" x14ac:dyDescent="0.25">
      <c r="A94" s="28"/>
      <c r="B94" s="29"/>
      <c r="C94" s="30"/>
      <c r="D94" s="31"/>
      <c r="E94" s="29" t="s">
        <v>16</v>
      </c>
      <c r="F94" s="13" t="b">
        <f>IF($E94=Categories!$A$1,"",IF($E94=Categories!$A$2,Categories!$B$2,IF($E94=Categories!$A$3,Categories!$B$3,IF($E94=Categories!$A$4,Categories!$B$4,IF($E94=Categories!$A$5,Categories!$B$5,IF($E94=Categories!$A$6,Categories!$B$6,IF($E94=Categories!$A$7,Categories!$B$7,IF($E94=Categories!$A$8,Categories!$B$8,IF($E94=Categories!$A$9,Categories!$B$9,IF($E94=Categories!$A$10,Categories!$B$10,IF($E94=Categories!$A$11,Categories!$B$11,IF($E94=Categories!$A$12,Categories!$B$12,IF($E94=Categories!$A$13,Categories!$B$13,IF($E94=Categories!$A$14,Categories!$B$14,IF($E94=Categories!$A$15,Categories!$B$15,IF($E94=Categories!$A$16,Categories!$B$16,IF($E94=Categories!$A$17,Categories!$B$17,IF($E94=Categories!$A$18,Categories!$B$18,IF($E94=Categories!$A$19,Categories!$B$19)))))))))))))))))))</f>
        <v>0</v>
      </c>
      <c r="G94" s="9" t="str">
        <f t="shared" si="19"/>
        <v/>
      </c>
      <c r="H94" s="1" t="str">
        <f t="shared" si="20"/>
        <v/>
      </c>
      <c r="I94" s="1" t="str">
        <f t="shared" si="21"/>
        <v/>
      </c>
      <c r="J94" s="1" t="str">
        <f t="shared" si="22"/>
        <v/>
      </c>
      <c r="K94" s="13" t="str">
        <f t="shared" si="23"/>
        <v/>
      </c>
      <c r="L94" s="9" t="str">
        <f t="shared" si="24"/>
        <v/>
      </c>
      <c r="M94" s="1" t="str">
        <f t="shared" si="25"/>
        <v/>
      </c>
      <c r="N94" s="1" t="str">
        <f t="shared" si="26"/>
        <v/>
      </c>
      <c r="O94" s="1" t="str">
        <f t="shared" si="27"/>
        <v/>
      </c>
      <c r="P94" s="1" t="str">
        <f t="shared" si="28"/>
        <v/>
      </c>
      <c r="Q94" s="1" t="str">
        <f t="shared" si="29"/>
        <v/>
      </c>
      <c r="R94" s="1" t="str">
        <f t="shared" si="30"/>
        <v/>
      </c>
      <c r="S94" s="1" t="str">
        <f t="shared" si="31"/>
        <v/>
      </c>
      <c r="T94" s="1" t="str">
        <f t="shared" si="32"/>
        <v/>
      </c>
      <c r="U94" s="1" t="str">
        <f t="shared" si="33"/>
        <v/>
      </c>
      <c r="V94" s="1" t="str">
        <f t="shared" si="34"/>
        <v/>
      </c>
      <c r="W94" s="26" t="str">
        <f t="shared" si="35"/>
        <v/>
      </c>
      <c r="X94" s="13" t="str">
        <f t="shared" si="36"/>
        <v/>
      </c>
      <c r="Y94" s="9">
        <f t="shared" si="37"/>
        <v>0</v>
      </c>
    </row>
    <row r="95" spans="1:25" x14ac:dyDescent="0.25">
      <c r="A95" s="28"/>
      <c r="B95" s="29"/>
      <c r="C95" s="30"/>
      <c r="D95" s="31"/>
      <c r="E95" s="29" t="s">
        <v>16</v>
      </c>
      <c r="F95" s="13" t="b">
        <f>IF($E95=Categories!$A$1,"",IF($E95=Categories!$A$2,Categories!$B$2,IF($E95=Categories!$A$3,Categories!$B$3,IF($E95=Categories!$A$4,Categories!$B$4,IF($E95=Categories!$A$5,Categories!$B$5,IF($E95=Categories!$A$6,Categories!$B$6,IF($E95=Categories!$A$7,Categories!$B$7,IF($E95=Categories!$A$8,Categories!$B$8,IF($E95=Categories!$A$9,Categories!$B$9,IF($E95=Categories!$A$10,Categories!$B$10,IF($E95=Categories!$A$11,Categories!$B$11,IF($E95=Categories!$A$12,Categories!$B$12,IF($E95=Categories!$A$13,Categories!$B$13,IF($E95=Categories!$A$14,Categories!$B$14,IF($E95=Categories!$A$15,Categories!$B$15,IF($E95=Categories!$A$16,Categories!$B$16,IF($E95=Categories!$A$17,Categories!$B$17,IF($E95=Categories!$A$18,Categories!$B$18,IF($E95=Categories!$A$19,Categories!$B$19)))))))))))))))))))</f>
        <v>0</v>
      </c>
      <c r="G95" s="9" t="str">
        <f t="shared" si="19"/>
        <v/>
      </c>
      <c r="H95" s="1" t="str">
        <f t="shared" si="20"/>
        <v/>
      </c>
      <c r="I95" s="1" t="str">
        <f t="shared" si="21"/>
        <v/>
      </c>
      <c r="J95" s="1" t="str">
        <f t="shared" si="22"/>
        <v/>
      </c>
      <c r="K95" s="13" t="str">
        <f t="shared" si="23"/>
        <v/>
      </c>
      <c r="L95" s="9" t="str">
        <f t="shared" si="24"/>
        <v/>
      </c>
      <c r="M95" s="1" t="str">
        <f t="shared" si="25"/>
        <v/>
      </c>
      <c r="N95" s="1" t="str">
        <f t="shared" si="26"/>
        <v/>
      </c>
      <c r="O95" s="1" t="str">
        <f t="shared" si="27"/>
        <v/>
      </c>
      <c r="P95" s="1" t="str">
        <f t="shared" si="28"/>
        <v/>
      </c>
      <c r="Q95" s="1" t="str">
        <f t="shared" si="29"/>
        <v/>
      </c>
      <c r="R95" s="1" t="str">
        <f t="shared" si="30"/>
        <v/>
      </c>
      <c r="S95" s="1" t="str">
        <f t="shared" si="31"/>
        <v/>
      </c>
      <c r="T95" s="1" t="str">
        <f t="shared" si="32"/>
        <v/>
      </c>
      <c r="U95" s="1" t="str">
        <f t="shared" si="33"/>
        <v/>
      </c>
      <c r="V95" s="1" t="str">
        <f t="shared" si="34"/>
        <v/>
      </c>
      <c r="W95" s="26" t="str">
        <f t="shared" si="35"/>
        <v/>
      </c>
      <c r="X95" s="13" t="str">
        <f t="shared" si="36"/>
        <v/>
      </c>
      <c r="Y95" s="9">
        <f t="shared" si="37"/>
        <v>0</v>
      </c>
    </row>
    <row r="96" spans="1:25" x14ac:dyDescent="0.25">
      <c r="A96" s="11"/>
      <c r="B96" s="16" t="s">
        <v>30</v>
      </c>
      <c r="C96" s="11"/>
      <c r="D96" s="11"/>
      <c r="E96" s="11"/>
      <c r="F96" s="21"/>
      <c r="G96" s="18">
        <f>SUM(G6:G95)</f>
        <v>0</v>
      </c>
      <c r="H96" s="18">
        <f t="shared" ref="H96:X96" si="38">SUM(H6:H95)</f>
        <v>0</v>
      </c>
      <c r="I96" s="18">
        <f t="shared" si="38"/>
        <v>0</v>
      </c>
      <c r="J96" s="18">
        <f t="shared" si="38"/>
        <v>0</v>
      </c>
      <c r="K96" s="19">
        <f t="shared" si="38"/>
        <v>0</v>
      </c>
      <c r="L96" s="20">
        <f t="shared" si="38"/>
        <v>0</v>
      </c>
      <c r="M96" s="18">
        <f t="shared" si="38"/>
        <v>0</v>
      </c>
      <c r="N96" s="18">
        <f t="shared" si="38"/>
        <v>0</v>
      </c>
      <c r="O96" s="18">
        <f t="shared" si="38"/>
        <v>0</v>
      </c>
      <c r="P96" s="18">
        <f t="shared" si="38"/>
        <v>0</v>
      </c>
      <c r="Q96" s="18">
        <f t="shared" si="38"/>
        <v>0</v>
      </c>
      <c r="R96" s="18">
        <f t="shared" si="38"/>
        <v>0</v>
      </c>
      <c r="S96" s="18">
        <f t="shared" si="38"/>
        <v>0</v>
      </c>
      <c r="T96" s="18">
        <f t="shared" si="38"/>
        <v>0</v>
      </c>
      <c r="U96" s="18">
        <f t="shared" si="38"/>
        <v>0</v>
      </c>
      <c r="V96" s="18">
        <f t="shared" si="38"/>
        <v>0</v>
      </c>
      <c r="W96" s="18">
        <f t="shared" si="38"/>
        <v>0</v>
      </c>
      <c r="X96" s="18">
        <f t="shared" si="38"/>
        <v>0</v>
      </c>
      <c r="Y96" s="18"/>
    </row>
  </sheetData>
  <mergeCells count="1">
    <mergeCell ref="A4:E4"/>
  </mergeCells>
  <printOptions gridLines="1"/>
  <pageMargins left="0.23622047244094491" right="0.23622047244094491" top="0.74803149606299213" bottom="0.74803149606299213" header="0.31496062992125984" footer="0.31496062992125984"/>
  <pageSetup paperSize="9" scale="50" fitToHeight="2" orientation="landscape" r:id="rId1"/>
  <extLst>
    <ext xmlns:x14="http://schemas.microsoft.com/office/spreadsheetml/2009/9/main" uri="{CCE6A557-97BC-4b89-ADB6-D9C93CAAB3DF}">
      <x14:dataValidations xmlns:xm="http://schemas.microsoft.com/office/excel/2006/main" count="1">
        <x14:dataValidation type="list" allowBlank="1" showErrorMessage="1" xr:uid="{00000000-0002-0000-0A00-000000000000}">
          <x14:formula1>
            <xm:f>Categories!$A$1:$A$19</xm:f>
          </x14:formula1>
          <xm:sqref>E6:E95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Y96"/>
  <sheetViews>
    <sheetView workbookViewId="0">
      <pane xSplit="6" ySplit="5" topLeftCell="G6" activePane="bottomRight" state="frozen"/>
      <selection activeCell="B78" sqref="B78"/>
      <selection pane="topRight" activeCell="B78" sqref="B78"/>
      <selection pane="bottomLeft" activeCell="B78" sqref="B78"/>
      <selection pane="bottomRight" activeCell="B78" sqref="B78"/>
    </sheetView>
  </sheetViews>
  <sheetFormatPr defaultRowHeight="15" x14ac:dyDescent="0.25"/>
  <cols>
    <col min="1" max="1" width="10.7109375" bestFit="1" customWidth="1"/>
    <col min="2" max="2" width="13.7109375" customWidth="1"/>
    <col min="3" max="3" width="12" customWidth="1"/>
    <col min="5" max="5" width="15.28515625" customWidth="1"/>
    <col min="6" max="6" width="12.7109375" hidden="1" customWidth="1"/>
    <col min="7" max="25" width="11.7109375" customWidth="1"/>
  </cols>
  <sheetData>
    <row r="1" spans="1:25" ht="23.25" x14ac:dyDescent="0.35">
      <c r="A1" s="3" t="s">
        <v>49</v>
      </c>
      <c r="D1" s="8" t="str">
        <f>Instructions!C3</f>
        <v>Lucy's Tailored Tails</v>
      </c>
      <c r="Y1" s="9"/>
    </row>
    <row r="2" spans="1:25" ht="15" customHeight="1" x14ac:dyDescent="0.35">
      <c r="A2" s="3"/>
      <c r="D2" s="8"/>
      <c r="Y2" s="9"/>
    </row>
    <row r="3" spans="1:25" x14ac:dyDescent="0.25">
      <c r="R3" t="s">
        <v>0</v>
      </c>
      <c r="Y3" s="9">
        <f>IF(Instructions!C7="October",Instructions!C6,Sept!Y95)</f>
        <v>0</v>
      </c>
    </row>
    <row r="4" spans="1:25" x14ac:dyDescent="0.25">
      <c r="A4" s="39" t="s">
        <v>111</v>
      </c>
      <c r="B4" s="40"/>
      <c r="C4" s="40"/>
      <c r="D4" s="40"/>
      <c r="E4" s="41"/>
      <c r="F4" s="12"/>
      <c r="G4" s="17" t="s">
        <v>31</v>
      </c>
      <c r="H4" s="11"/>
      <c r="I4" s="11"/>
      <c r="J4" s="11"/>
      <c r="K4" s="12"/>
      <c r="L4" s="17" t="s">
        <v>33</v>
      </c>
      <c r="M4" s="11"/>
      <c r="N4" s="11"/>
      <c r="O4" s="11"/>
      <c r="P4" s="11"/>
      <c r="Q4" s="11"/>
      <c r="R4" s="11"/>
      <c r="S4" s="11"/>
      <c r="T4" s="11"/>
      <c r="U4" s="11"/>
      <c r="V4" s="11"/>
      <c r="W4" s="21"/>
      <c r="X4" s="12"/>
      <c r="Y4" s="10"/>
    </row>
    <row r="5" spans="1:25" ht="30" x14ac:dyDescent="0.25">
      <c r="A5" s="34" t="s">
        <v>1</v>
      </c>
      <c r="B5" s="35" t="s">
        <v>39</v>
      </c>
      <c r="C5" s="34" t="s">
        <v>2</v>
      </c>
      <c r="D5" s="34" t="s">
        <v>3</v>
      </c>
      <c r="E5" s="34" t="s">
        <v>105</v>
      </c>
      <c r="F5" s="12"/>
      <c r="G5" s="10" t="str">
        <f>Categories!A2</f>
        <v>Shop Sales</v>
      </c>
      <c r="H5" s="11" t="str">
        <f>Categories!A3</f>
        <v>Income 2</v>
      </c>
      <c r="I5" s="11" t="str">
        <f>Categories!A4</f>
        <v>Income 3</v>
      </c>
      <c r="J5" s="11" t="str">
        <f>Categories!A5</f>
        <v>Income 4</v>
      </c>
      <c r="K5" s="12" t="str">
        <f>Categories!A6</f>
        <v>Income 5</v>
      </c>
      <c r="L5" s="10" t="str">
        <f>Categories!A7</f>
        <v>Website Fees</v>
      </c>
      <c r="M5" s="11" t="str">
        <f>Categories!A8</f>
        <v>Exp 2</v>
      </c>
      <c r="N5" s="11" t="str">
        <f>Categories!A9</f>
        <v>Exp 3</v>
      </c>
      <c r="O5" s="11" t="str">
        <f>Categories!A10</f>
        <v>Exp 4</v>
      </c>
      <c r="P5" s="11" t="str">
        <f>Categories!A11</f>
        <v>Exp 5</v>
      </c>
      <c r="Q5" s="11" t="str">
        <f>Categories!A12</f>
        <v>Exp 6</v>
      </c>
      <c r="R5" s="11" t="str">
        <f>Categories!A13</f>
        <v>Exp 7</v>
      </c>
      <c r="S5" s="11" t="str">
        <f>Categories!A14</f>
        <v>Exp 8</v>
      </c>
      <c r="T5" s="11" t="str">
        <f>Categories!A15</f>
        <v>Exp 9</v>
      </c>
      <c r="U5" s="11" t="str">
        <f>Categories!A16</f>
        <v>Exp 10</v>
      </c>
      <c r="V5" s="11" t="str">
        <f>Categories!A17</f>
        <v>Exp 11</v>
      </c>
      <c r="W5" s="21" t="str">
        <f>Categories!A18</f>
        <v>Exp 12</v>
      </c>
      <c r="X5" s="12" t="str">
        <f>Categories!A19</f>
        <v>Exp 13</v>
      </c>
      <c r="Y5" s="10" t="s">
        <v>4</v>
      </c>
    </row>
    <row r="6" spans="1:25" x14ac:dyDescent="0.25">
      <c r="A6" s="28"/>
      <c r="B6" s="29"/>
      <c r="C6" s="30"/>
      <c r="D6" s="31"/>
      <c r="E6" s="29" t="s">
        <v>16</v>
      </c>
      <c r="F6" s="13" t="b">
        <f>IF($E6=Categories!$A$1,"",IF($E6=Categories!$A$2,Categories!$B$2,IF($E6=Categories!$A$3,Categories!$B$3,IF($E6=Categories!$A$4,Categories!$B$4,IF($E6=Categories!$A$5,Categories!$B$5,IF($E6=Categories!$A$6,Categories!$B$6,IF($E6=Categories!$A$7,Categories!$B$7,IF($E6=Categories!$A$8,Categories!$B$8,IF($E6=Categories!$A$9,Categories!$B$9,IF($E6=Categories!$A$10,Categories!$B$10,IF($E6=Categories!$A$11,Categories!$B$11,IF($E6=Categories!$A$12,Categories!$B$12,IF($E6=Categories!$A$13,Categories!$B$13,IF($E6=Categories!$A$14,Categories!$B$14,IF($E6=Categories!$A$15,Categories!$B$15,IF($E6=Categories!$A$16,Categories!$B$16,IF($E6=Categories!$A$17,Categories!$B$17,IF($E6=Categories!$A$18,Categories!$B$18,IF($E6=Categories!$A$19,Categories!$B$19)))))))))))))))))))</f>
        <v>0</v>
      </c>
      <c r="G6" s="9" t="str">
        <f>IF($F6="Inc1",$D6,"")</f>
        <v/>
      </c>
      <c r="H6" s="1" t="str">
        <f>IF($F6="Inc2",$D6,"")</f>
        <v/>
      </c>
      <c r="I6" s="1" t="str">
        <f>IF($F6="Int",$D6,"")</f>
        <v/>
      </c>
      <c r="J6" s="1" t="str">
        <f>IF($F6="Inc4",$D6,"")</f>
        <v/>
      </c>
      <c r="K6" s="13" t="str">
        <f>IF($F6="Inc5",$D6,"")</f>
        <v/>
      </c>
      <c r="L6" s="9" t="str">
        <f>IF($F6="ExpA",$D6,"")</f>
        <v/>
      </c>
      <c r="M6" s="1" t="str">
        <f>IF($F6="ExpB",$D6,"")</f>
        <v/>
      </c>
      <c r="N6" s="1" t="str">
        <f>IF($F6="ExpC",$D6,"")</f>
        <v/>
      </c>
      <c r="O6" s="1" t="str">
        <f>IF($F6="ExpD",$D6,"")</f>
        <v/>
      </c>
      <c r="P6" s="1" t="str">
        <f>IF($F6="ExpE",$D6,"")</f>
        <v/>
      </c>
      <c r="Q6" s="1" t="str">
        <f>IF($F6="ExpF",$D6,"")</f>
        <v/>
      </c>
      <c r="R6" s="1" t="str">
        <f>IF($F6="ExpG",$D6,"")</f>
        <v/>
      </c>
      <c r="S6" s="1" t="str">
        <f>IF($F6="ExpH",$D6,"")</f>
        <v/>
      </c>
      <c r="T6" s="1" t="str">
        <f>IF($F6="ExpI",$D6,"")</f>
        <v/>
      </c>
      <c r="U6" s="1" t="str">
        <f>IF($F6="ExpJ",$D6,"")</f>
        <v/>
      </c>
      <c r="V6" s="1" t="str">
        <f>IF($F6="ExpK",$D6,"")</f>
        <v/>
      </c>
      <c r="W6" s="26" t="str">
        <f>IF($F6="ExpL",$D6,"")</f>
        <v/>
      </c>
      <c r="X6" s="13" t="str">
        <f>IF($F6="Expm",$D6,"")</f>
        <v/>
      </c>
      <c r="Y6" s="9">
        <f>$Y$3+SUM(G6:K6)-SUM(L6:X6)</f>
        <v>0</v>
      </c>
    </row>
    <row r="7" spans="1:25" x14ac:dyDescent="0.25">
      <c r="A7" s="28"/>
      <c r="B7" s="29"/>
      <c r="C7" s="30"/>
      <c r="D7" s="31"/>
      <c r="E7" s="29" t="s">
        <v>16</v>
      </c>
      <c r="F7" s="13" t="b">
        <f>IF($E7=Categories!$A$1,"",IF($E7=Categories!$A$2,Categories!$B$2,IF($E7=Categories!$A$3,Categories!$B$3,IF($E7=Categories!$A$4,Categories!$B$4,IF($E7=Categories!$A$5,Categories!$B$5,IF($E7=Categories!$A$6,Categories!$B$6,IF($E7=Categories!$A$7,Categories!$B$7,IF($E7=Categories!$A$8,Categories!$B$8,IF($E7=Categories!$A$9,Categories!$B$9,IF($E7=Categories!$A$10,Categories!$B$10,IF($E7=Categories!$A$11,Categories!$B$11,IF($E7=Categories!$A$12,Categories!$B$12,IF($E7=Categories!$A$13,Categories!$B$13,IF($E7=Categories!$A$14,Categories!$B$14,IF($E7=Categories!$A$15,Categories!$B$15,IF($E7=Categories!$A$16,Categories!$B$16,IF($E7=Categories!$A$17,Categories!$B$17,IF($E7=Categories!$A$18,Categories!$B$18,IF($E7=Categories!$A$19,Categories!$B$19)))))))))))))))))))</f>
        <v>0</v>
      </c>
      <c r="G7" s="9" t="str">
        <f t="shared" ref="G7:G70" si="0">IF($F7="Inc1",$D7,"")</f>
        <v/>
      </c>
      <c r="H7" s="1" t="str">
        <f t="shared" ref="H7:H70" si="1">IF($F7="Inc2",$D7,"")</f>
        <v/>
      </c>
      <c r="I7" s="1" t="str">
        <f t="shared" ref="I7:I70" si="2">IF($F7="Int",$D7,"")</f>
        <v/>
      </c>
      <c r="J7" s="1" t="str">
        <f t="shared" ref="J7:J70" si="3">IF($F7="Inc4",$D7,"")</f>
        <v/>
      </c>
      <c r="K7" s="13" t="str">
        <f t="shared" ref="K7:K70" si="4">IF($F7="Inc5",$D7,"")</f>
        <v/>
      </c>
      <c r="L7" s="9" t="str">
        <f t="shared" ref="L7:L70" si="5">IF($F7="ExpA",$D7,"")</f>
        <v/>
      </c>
      <c r="M7" s="1" t="str">
        <f t="shared" ref="M7:M70" si="6">IF($F7="ExpB",$D7,"")</f>
        <v/>
      </c>
      <c r="N7" s="1" t="str">
        <f t="shared" ref="N7:N70" si="7">IF($F7="ExpC",$D7,"")</f>
        <v/>
      </c>
      <c r="O7" s="1" t="str">
        <f t="shared" ref="O7:O70" si="8">IF($F7="ExpD",$D7,"")</f>
        <v/>
      </c>
      <c r="P7" s="1" t="str">
        <f t="shared" ref="P7:P70" si="9">IF($F7="ExpE",$D7,"")</f>
        <v/>
      </c>
      <c r="Q7" s="1" t="str">
        <f t="shared" ref="Q7:Q70" si="10">IF($F7="ExpF",$D7,"")</f>
        <v/>
      </c>
      <c r="R7" s="1" t="str">
        <f t="shared" ref="R7:R70" si="11">IF($F7="ExpG",$D7,"")</f>
        <v/>
      </c>
      <c r="S7" s="1" t="str">
        <f t="shared" ref="S7:S70" si="12">IF($F7="ExpH",$D7,"")</f>
        <v/>
      </c>
      <c r="T7" s="1" t="str">
        <f t="shared" ref="T7:T70" si="13">IF($F7="ExpI",$D7,"")</f>
        <v/>
      </c>
      <c r="U7" s="1" t="str">
        <f t="shared" ref="U7:U70" si="14">IF($F7="ExpJ",$D7,"")</f>
        <v/>
      </c>
      <c r="V7" s="1" t="str">
        <f t="shared" ref="V7:V70" si="15">IF($F7="ExpK",$D7,"")</f>
        <v/>
      </c>
      <c r="W7" s="26" t="str">
        <f t="shared" ref="W7:W70" si="16">IF($F7="ExpL",$D7,"")</f>
        <v/>
      </c>
      <c r="X7" s="13" t="str">
        <f t="shared" ref="X7:X70" si="17">IF($F7="Expm",$D7,"")</f>
        <v/>
      </c>
      <c r="Y7" s="9">
        <f>Y6+SUM(G7:K7)-SUM(L7:X7)</f>
        <v>0</v>
      </c>
    </row>
    <row r="8" spans="1:25" x14ac:dyDescent="0.25">
      <c r="A8" s="28"/>
      <c r="B8" s="29"/>
      <c r="C8" s="30"/>
      <c r="D8" s="31"/>
      <c r="E8" s="29" t="s">
        <v>16</v>
      </c>
      <c r="F8" s="13" t="b">
        <f>IF($E8=Categories!$A$1,"",IF($E8=Categories!$A$2,Categories!$B$2,IF($E8=Categories!$A$3,Categories!$B$3,IF($E8=Categories!$A$4,Categories!$B$4,IF($E8=Categories!$A$5,Categories!$B$5,IF($E8=Categories!$A$6,Categories!$B$6,IF($E8=Categories!$A$7,Categories!$B$7,IF($E8=Categories!$A$8,Categories!$B$8,IF($E8=Categories!$A$9,Categories!$B$9,IF($E8=Categories!$A$10,Categories!$B$10,IF($E8=Categories!$A$11,Categories!$B$11,IF($E8=Categories!$A$12,Categories!$B$12,IF($E8=Categories!$A$13,Categories!$B$13,IF($E8=Categories!$A$14,Categories!$B$14,IF($E8=Categories!$A$15,Categories!$B$15,IF($E8=Categories!$A$16,Categories!$B$16,IF($E8=Categories!$A$17,Categories!$B$17,IF($E8=Categories!$A$18,Categories!$B$18,IF($E8=Categories!$A$19,Categories!$B$19)))))))))))))))))))</f>
        <v>0</v>
      </c>
      <c r="G8" s="9" t="str">
        <f t="shared" si="0"/>
        <v/>
      </c>
      <c r="H8" s="1" t="str">
        <f t="shared" si="1"/>
        <v/>
      </c>
      <c r="I8" s="1" t="str">
        <f t="shared" si="2"/>
        <v/>
      </c>
      <c r="J8" s="1" t="str">
        <f t="shared" si="3"/>
        <v/>
      </c>
      <c r="K8" s="13" t="str">
        <f t="shared" si="4"/>
        <v/>
      </c>
      <c r="L8" s="9" t="str">
        <f t="shared" si="5"/>
        <v/>
      </c>
      <c r="M8" s="1" t="str">
        <f t="shared" si="6"/>
        <v/>
      </c>
      <c r="N8" s="1" t="str">
        <f t="shared" si="7"/>
        <v/>
      </c>
      <c r="O8" s="1" t="str">
        <f t="shared" si="8"/>
        <v/>
      </c>
      <c r="P8" s="1" t="str">
        <f t="shared" si="9"/>
        <v/>
      </c>
      <c r="Q8" s="1" t="str">
        <f t="shared" si="10"/>
        <v/>
      </c>
      <c r="R8" s="1" t="str">
        <f t="shared" si="11"/>
        <v/>
      </c>
      <c r="S8" s="1" t="str">
        <f t="shared" si="12"/>
        <v/>
      </c>
      <c r="T8" s="1" t="str">
        <f t="shared" si="13"/>
        <v/>
      </c>
      <c r="U8" s="1" t="str">
        <f t="shared" si="14"/>
        <v/>
      </c>
      <c r="V8" s="1" t="str">
        <f t="shared" si="15"/>
        <v/>
      </c>
      <c r="W8" s="26" t="str">
        <f t="shared" si="16"/>
        <v/>
      </c>
      <c r="X8" s="13" t="str">
        <f t="shared" si="17"/>
        <v/>
      </c>
      <c r="Y8" s="9">
        <f t="shared" ref="Y8:Y71" si="18">Y7+SUM(G8:K8)-SUM(L8:X8)</f>
        <v>0</v>
      </c>
    </row>
    <row r="9" spans="1:25" x14ac:dyDescent="0.25">
      <c r="A9" s="28"/>
      <c r="B9" s="29"/>
      <c r="C9" s="30"/>
      <c r="D9" s="31"/>
      <c r="E9" s="29" t="s">
        <v>16</v>
      </c>
      <c r="F9" s="13" t="b">
        <f>IF($E9=Categories!$A$1,"",IF($E9=Categories!$A$2,Categories!$B$2,IF($E9=Categories!$A$3,Categories!$B$3,IF($E9=Categories!$A$4,Categories!$B$4,IF($E9=Categories!$A$5,Categories!$B$5,IF($E9=Categories!$A$6,Categories!$B$6,IF($E9=Categories!$A$7,Categories!$B$7,IF($E9=Categories!$A$8,Categories!$B$8,IF($E9=Categories!$A$9,Categories!$B$9,IF($E9=Categories!$A$10,Categories!$B$10,IF($E9=Categories!$A$11,Categories!$B$11,IF($E9=Categories!$A$12,Categories!$B$12,IF($E9=Categories!$A$13,Categories!$B$13,IF($E9=Categories!$A$14,Categories!$B$14,IF($E9=Categories!$A$15,Categories!$B$15,IF($E9=Categories!$A$16,Categories!$B$16,IF($E9=Categories!$A$17,Categories!$B$17,IF($E9=Categories!$A$18,Categories!$B$18,IF($E9=Categories!$A$19,Categories!$B$19)))))))))))))))))))</f>
        <v>0</v>
      </c>
      <c r="G9" s="9" t="str">
        <f t="shared" si="0"/>
        <v/>
      </c>
      <c r="H9" s="1" t="str">
        <f t="shared" si="1"/>
        <v/>
      </c>
      <c r="I9" s="1" t="str">
        <f t="shared" si="2"/>
        <v/>
      </c>
      <c r="J9" s="1" t="str">
        <f t="shared" si="3"/>
        <v/>
      </c>
      <c r="K9" s="13" t="str">
        <f t="shared" si="4"/>
        <v/>
      </c>
      <c r="L9" s="9" t="str">
        <f t="shared" si="5"/>
        <v/>
      </c>
      <c r="M9" s="1" t="str">
        <f t="shared" si="6"/>
        <v/>
      </c>
      <c r="N9" s="1" t="str">
        <f t="shared" si="7"/>
        <v/>
      </c>
      <c r="O9" s="1" t="str">
        <f t="shared" si="8"/>
        <v/>
      </c>
      <c r="P9" s="1" t="str">
        <f t="shared" si="9"/>
        <v/>
      </c>
      <c r="Q9" s="1" t="str">
        <f t="shared" si="10"/>
        <v/>
      </c>
      <c r="R9" s="1" t="str">
        <f t="shared" si="11"/>
        <v/>
      </c>
      <c r="S9" s="1" t="str">
        <f t="shared" si="12"/>
        <v/>
      </c>
      <c r="T9" s="1" t="str">
        <f t="shared" si="13"/>
        <v/>
      </c>
      <c r="U9" s="1" t="str">
        <f t="shared" si="14"/>
        <v/>
      </c>
      <c r="V9" s="1" t="str">
        <f t="shared" si="15"/>
        <v/>
      </c>
      <c r="W9" s="26" t="str">
        <f t="shared" si="16"/>
        <v/>
      </c>
      <c r="X9" s="13" t="str">
        <f t="shared" si="17"/>
        <v/>
      </c>
      <c r="Y9" s="9">
        <f t="shared" si="18"/>
        <v>0</v>
      </c>
    </row>
    <row r="10" spans="1:25" x14ac:dyDescent="0.25">
      <c r="A10" s="28"/>
      <c r="B10" s="29"/>
      <c r="C10" s="30"/>
      <c r="D10" s="31"/>
      <c r="E10" s="29" t="s">
        <v>16</v>
      </c>
      <c r="F10" s="13" t="b">
        <f>IF($E10=Categories!$A$1,"",IF($E10=Categories!$A$2,Categories!$B$2,IF($E10=Categories!$A$3,Categories!$B$3,IF($E10=Categories!$A$4,Categories!$B$4,IF($E10=Categories!$A$5,Categories!$B$5,IF($E10=Categories!$A$6,Categories!$B$6,IF($E10=Categories!$A$7,Categories!$B$7,IF($E10=Categories!$A$8,Categories!$B$8,IF($E10=Categories!$A$9,Categories!$B$9,IF($E10=Categories!$A$10,Categories!$B$10,IF($E10=Categories!$A$11,Categories!$B$11,IF($E10=Categories!$A$12,Categories!$B$12,IF($E10=Categories!$A$13,Categories!$B$13,IF($E10=Categories!$A$14,Categories!$B$14,IF($E10=Categories!$A$15,Categories!$B$15,IF($E10=Categories!$A$16,Categories!$B$16,IF($E10=Categories!$A$17,Categories!$B$17,IF($E10=Categories!$A$18,Categories!$B$18,IF($E10=Categories!$A$19,Categories!$B$19)))))))))))))))))))</f>
        <v>0</v>
      </c>
      <c r="G10" s="9" t="str">
        <f t="shared" si="0"/>
        <v/>
      </c>
      <c r="H10" s="1" t="str">
        <f t="shared" si="1"/>
        <v/>
      </c>
      <c r="I10" s="1" t="str">
        <f t="shared" si="2"/>
        <v/>
      </c>
      <c r="J10" s="1" t="str">
        <f t="shared" si="3"/>
        <v/>
      </c>
      <c r="K10" s="13" t="str">
        <f t="shared" si="4"/>
        <v/>
      </c>
      <c r="L10" s="9" t="str">
        <f t="shared" si="5"/>
        <v/>
      </c>
      <c r="M10" s="1" t="str">
        <f t="shared" si="6"/>
        <v/>
      </c>
      <c r="N10" s="1" t="str">
        <f t="shared" si="7"/>
        <v/>
      </c>
      <c r="O10" s="1" t="str">
        <f t="shared" si="8"/>
        <v/>
      </c>
      <c r="P10" s="1" t="str">
        <f t="shared" si="9"/>
        <v/>
      </c>
      <c r="Q10" s="1" t="str">
        <f t="shared" si="10"/>
        <v/>
      </c>
      <c r="R10" s="1" t="str">
        <f t="shared" si="11"/>
        <v/>
      </c>
      <c r="S10" s="1" t="str">
        <f t="shared" si="12"/>
        <v/>
      </c>
      <c r="T10" s="1" t="str">
        <f t="shared" si="13"/>
        <v/>
      </c>
      <c r="U10" s="1" t="str">
        <f t="shared" si="14"/>
        <v/>
      </c>
      <c r="V10" s="1" t="str">
        <f t="shared" si="15"/>
        <v/>
      </c>
      <c r="W10" s="26" t="str">
        <f t="shared" si="16"/>
        <v/>
      </c>
      <c r="X10" s="13" t="str">
        <f t="shared" si="17"/>
        <v/>
      </c>
      <c r="Y10" s="9">
        <f t="shared" si="18"/>
        <v>0</v>
      </c>
    </row>
    <row r="11" spans="1:25" x14ac:dyDescent="0.25">
      <c r="A11" s="28"/>
      <c r="B11" s="29"/>
      <c r="C11" s="30"/>
      <c r="D11" s="31"/>
      <c r="E11" s="29" t="s">
        <v>16</v>
      </c>
      <c r="F11" s="13" t="b">
        <f>IF($E11=Categories!$A$1,"",IF($E11=Categories!$A$2,Categories!$B$2,IF($E11=Categories!$A$3,Categories!$B$3,IF($E11=Categories!$A$4,Categories!$B$4,IF($E11=Categories!$A$5,Categories!$B$5,IF($E11=Categories!$A$6,Categories!$B$6,IF($E11=Categories!$A$7,Categories!$B$7,IF($E11=Categories!$A$8,Categories!$B$8,IF($E11=Categories!$A$9,Categories!$B$9,IF($E11=Categories!$A$10,Categories!$B$10,IF($E11=Categories!$A$11,Categories!$B$11,IF($E11=Categories!$A$12,Categories!$B$12,IF($E11=Categories!$A$13,Categories!$B$13,IF($E11=Categories!$A$14,Categories!$B$14,IF($E11=Categories!$A$15,Categories!$B$15,IF($E11=Categories!$A$16,Categories!$B$16,IF($E11=Categories!$A$17,Categories!$B$17,IF($E11=Categories!$A$18,Categories!$B$18,IF($E11=Categories!$A$19,Categories!$B$19)))))))))))))))))))</f>
        <v>0</v>
      </c>
      <c r="G11" s="9" t="str">
        <f t="shared" si="0"/>
        <v/>
      </c>
      <c r="H11" s="1" t="str">
        <f t="shared" si="1"/>
        <v/>
      </c>
      <c r="I11" s="1" t="str">
        <f t="shared" si="2"/>
        <v/>
      </c>
      <c r="J11" s="1" t="str">
        <f t="shared" si="3"/>
        <v/>
      </c>
      <c r="K11" s="13" t="str">
        <f t="shared" si="4"/>
        <v/>
      </c>
      <c r="L11" s="9" t="str">
        <f t="shared" si="5"/>
        <v/>
      </c>
      <c r="M11" s="1" t="str">
        <f t="shared" si="6"/>
        <v/>
      </c>
      <c r="N11" s="1" t="str">
        <f t="shared" si="7"/>
        <v/>
      </c>
      <c r="O11" s="1" t="str">
        <f t="shared" si="8"/>
        <v/>
      </c>
      <c r="P11" s="1" t="str">
        <f t="shared" si="9"/>
        <v/>
      </c>
      <c r="Q11" s="1" t="str">
        <f t="shared" si="10"/>
        <v/>
      </c>
      <c r="R11" s="1" t="str">
        <f t="shared" si="11"/>
        <v/>
      </c>
      <c r="S11" s="1" t="str">
        <f t="shared" si="12"/>
        <v/>
      </c>
      <c r="T11" s="1" t="str">
        <f t="shared" si="13"/>
        <v/>
      </c>
      <c r="U11" s="1" t="str">
        <f t="shared" si="14"/>
        <v/>
      </c>
      <c r="V11" s="1" t="str">
        <f t="shared" si="15"/>
        <v/>
      </c>
      <c r="W11" s="26" t="str">
        <f t="shared" si="16"/>
        <v/>
      </c>
      <c r="X11" s="13" t="str">
        <f t="shared" si="17"/>
        <v/>
      </c>
      <c r="Y11" s="9">
        <f t="shared" si="18"/>
        <v>0</v>
      </c>
    </row>
    <row r="12" spans="1:25" x14ac:dyDescent="0.25">
      <c r="A12" s="28"/>
      <c r="B12" s="29"/>
      <c r="C12" s="30"/>
      <c r="D12" s="31"/>
      <c r="E12" s="29" t="s">
        <v>16</v>
      </c>
      <c r="F12" s="13" t="b">
        <f>IF($E12=Categories!$A$1,"",IF($E12=Categories!$A$2,Categories!$B$2,IF($E12=Categories!$A$3,Categories!$B$3,IF($E12=Categories!$A$4,Categories!$B$4,IF($E12=Categories!$A$5,Categories!$B$5,IF($E12=Categories!$A$6,Categories!$B$6,IF($E12=Categories!$A$7,Categories!$B$7,IF($E12=Categories!$A$8,Categories!$B$8,IF($E12=Categories!$A$9,Categories!$B$9,IF($E12=Categories!$A$10,Categories!$B$10,IF($E12=Categories!$A$11,Categories!$B$11,IF($E12=Categories!$A$12,Categories!$B$12,IF($E12=Categories!$A$13,Categories!$B$13,IF($E12=Categories!$A$14,Categories!$B$14,IF($E12=Categories!$A$15,Categories!$B$15,IF($E12=Categories!$A$16,Categories!$B$16,IF($E12=Categories!$A$17,Categories!$B$17,IF($E12=Categories!$A$18,Categories!$B$18,IF($E12=Categories!$A$19,Categories!$B$19)))))))))))))))))))</f>
        <v>0</v>
      </c>
      <c r="G12" s="9" t="str">
        <f t="shared" si="0"/>
        <v/>
      </c>
      <c r="H12" s="1" t="str">
        <f t="shared" si="1"/>
        <v/>
      </c>
      <c r="I12" s="1" t="str">
        <f t="shared" si="2"/>
        <v/>
      </c>
      <c r="J12" s="1" t="str">
        <f t="shared" si="3"/>
        <v/>
      </c>
      <c r="K12" s="13" t="str">
        <f t="shared" si="4"/>
        <v/>
      </c>
      <c r="L12" s="9" t="str">
        <f t="shared" si="5"/>
        <v/>
      </c>
      <c r="M12" s="1" t="str">
        <f t="shared" si="6"/>
        <v/>
      </c>
      <c r="N12" s="1" t="str">
        <f t="shared" si="7"/>
        <v/>
      </c>
      <c r="O12" s="1" t="str">
        <f t="shared" si="8"/>
        <v/>
      </c>
      <c r="P12" s="1" t="str">
        <f t="shared" si="9"/>
        <v/>
      </c>
      <c r="Q12" s="1" t="str">
        <f t="shared" si="10"/>
        <v/>
      </c>
      <c r="R12" s="1" t="str">
        <f t="shared" si="11"/>
        <v/>
      </c>
      <c r="S12" s="1" t="str">
        <f t="shared" si="12"/>
        <v/>
      </c>
      <c r="T12" s="1" t="str">
        <f t="shared" si="13"/>
        <v/>
      </c>
      <c r="U12" s="1" t="str">
        <f t="shared" si="14"/>
        <v/>
      </c>
      <c r="V12" s="1" t="str">
        <f t="shared" si="15"/>
        <v/>
      </c>
      <c r="W12" s="26" t="str">
        <f t="shared" si="16"/>
        <v/>
      </c>
      <c r="X12" s="13" t="str">
        <f t="shared" si="17"/>
        <v/>
      </c>
      <c r="Y12" s="9">
        <f t="shared" si="18"/>
        <v>0</v>
      </c>
    </row>
    <row r="13" spans="1:25" x14ac:dyDescent="0.25">
      <c r="A13" s="28"/>
      <c r="B13" s="29"/>
      <c r="C13" s="30"/>
      <c r="D13" s="31"/>
      <c r="E13" s="29" t="s">
        <v>16</v>
      </c>
      <c r="F13" s="13" t="b">
        <f>IF($E13=Categories!$A$1,"",IF($E13=Categories!$A$2,Categories!$B$2,IF($E13=Categories!$A$3,Categories!$B$3,IF($E13=Categories!$A$4,Categories!$B$4,IF($E13=Categories!$A$5,Categories!$B$5,IF($E13=Categories!$A$6,Categories!$B$6,IF($E13=Categories!$A$7,Categories!$B$7,IF($E13=Categories!$A$8,Categories!$B$8,IF($E13=Categories!$A$9,Categories!$B$9,IF($E13=Categories!$A$10,Categories!$B$10,IF($E13=Categories!$A$11,Categories!$B$11,IF($E13=Categories!$A$12,Categories!$B$12,IF($E13=Categories!$A$13,Categories!$B$13,IF($E13=Categories!$A$14,Categories!$B$14,IF($E13=Categories!$A$15,Categories!$B$15,IF($E13=Categories!$A$16,Categories!$B$16,IF($E13=Categories!$A$17,Categories!$B$17,IF($E13=Categories!$A$18,Categories!$B$18,IF($E13=Categories!$A$19,Categories!$B$19)))))))))))))))))))</f>
        <v>0</v>
      </c>
      <c r="G13" s="9" t="str">
        <f t="shared" si="0"/>
        <v/>
      </c>
      <c r="H13" s="1" t="str">
        <f t="shared" si="1"/>
        <v/>
      </c>
      <c r="I13" s="1" t="str">
        <f t="shared" si="2"/>
        <v/>
      </c>
      <c r="J13" s="1" t="str">
        <f t="shared" si="3"/>
        <v/>
      </c>
      <c r="K13" s="13" t="str">
        <f t="shared" si="4"/>
        <v/>
      </c>
      <c r="L13" s="9" t="str">
        <f t="shared" si="5"/>
        <v/>
      </c>
      <c r="M13" s="1" t="str">
        <f t="shared" si="6"/>
        <v/>
      </c>
      <c r="N13" s="1" t="str">
        <f t="shared" si="7"/>
        <v/>
      </c>
      <c r="O13" s="1" t="str">
        <f t="shared" si="8"/>
        <v/>
      </c>
      <c r="P13" s="1" t="str">
        <f t="shared" si="9"/>
        <v/>
      </c>
      <c r="Q13" s="1" t="str">
        <f t="shared" si="10"/>
        <v/>
      </c>
      <c r="R13" s="1" t="str">
        <f t="shared" si="11"/>
        <v/>
      </c>
      <c r="S13" s="1" t="str">
        <f t="shared" si="12"/>
        <v/>
      </c>
      <c r="T13" s="1" t="str">
        <f t="shared" si="13"/>
        <v/>
      </c>
      <c r="U13" s="1" t="str">
        <f t="shared" si="14"/>
        <v/>
      </c>
      <c r="V13" s="1" t="str">
        <f t="shared" si="15"/>
        <v/>
      </c>
      <c r="W13" s="26" t="str">
        <f t="shared" si="16"/>
        <v/>
      </c>
      <c r="X13" s="13" t="str">
        <f t="shared" si="17"/>
        <v/>
      </c>
      <c r="Y13" s="9">
        <f t="shared" si="18"/>
        <v>0</v>
      </c>
    </row>
    <row r="14" spans="1:25" x14ac:dyDescent="0.25">
      <c r="A14" s="28"/>
      <c r="B14" s="29"/>
      <c r="C14" s="30"/>
      <c r="D14" s="31"/>
      <c r="E14" s="29" t="s">
        <v>16</v>
      </c>
      <c r="F14" s="13" t="b">
        <f>IF($E14=Categories!$A$1,"",IF($E14=Categories!$A$2,Categories!$B$2,IF($E14=Categories!$A$3,Categories!$B$3,IF($E14=Categories!$A$4,Categories!$B$4,IF($E14=Categories!$A$5,Categories!$B$5,IF($E14=Categories!$A$6,Categories!$B$6,IF($E14=Categories!$A$7,Categories!$B$7,IF($E14=Categories!$A$8,Categories!$B$8,IF($E14=Categories!$A$9,Categories!$B$9,IF($E14=Categories!$A$10,Categories!$B$10,IF($E14=Categories!$A$11,Categories!$B$11,IF($E14=Categories!$A$12,Categories!$B$12,IF($E14=Categories!$A$13,Categories!$B$13,IF($E14=Categories!$A$14,Categories!$B$14,IF($E14=Categories!$A$15,Categories!$B$15,IF($E14=Categories!$A$16,Categories!$B$16,IF($E14=Categories!$A$17,Categories!$B$17,IF($E14=Categories!$A$18,Categories!$B$18,IF($E14=Categories!$A$19,Categories!$B$19)))))))))))))))))))</f>
        <v>0</v>
      </c>
      <c r="G14" s="9" t="str">
        <f t="shared" si="0"/>
        <v/>
      </c>
      <c r="H14" s="1" t="str">
        <f t="shared" si="1"/>
        <v/>
      </c>
      <c r="I14" s="1" t="str">
        <f t="shared" si="2"/>
        <v/>
      </c>
      <c r="J14" s="1" t="str">
        <f t="shared" si="3"/>
        <v/>
      </c>
      <c r="K14" s="13" t="str">
        <f t="shared" si="4"/>
        <v/>
      </c>
      <c r="L14" s="9" t="str">
        <f t="shared" si="5"/>
        <v/>
      </c>
      <c r="M14" s="1" t="str">
        <f t="shared" si="6"/>
        <v/>
      </c>
      <c r="N14" s="1" t="str">
        <f t="shared" si="7"/>
        <v/>
      </c>
      <c r="O14" s="1" t="str">
        <f t="shared" si="8"/>
        <v/>
      </c>
      <c r="P14" s="1" t="str">
        <f t="shared" si="9"/>
        <v/>
      </c>
      <c r="Q14" s="1" t="str">
        <f t="shared" si="10"/>
        <v/>
      </c>
      <c r="R14" s="1" t="str">
        <f t="shared" si="11"/>
        <v/>
      </c>
      <c r="S14" s="1" t="str">
        <f t="shared" si="12"/>
        <v/>
      </c>
      <c r="T14" s="1" t="str">
        <f t="shared" si="13"/>
        <v/>
      </c>
      <c r="U14" s="1" t="str">
        <f t="shared" si="14"/>
        <v/>
      </c>
      <c r="V14" s="1" t="str">
        <f t="shared" si="15"/>
        <v/>
      </c>
      <c r="W14" s="26" t="str">
        <f t="shared" si="16"/>
        <v/>
      </c>
      <c r="X14" s="13" t="str">
        <f t="shared" si="17"/>
        <v/>
      </c>
      <c r="Y14" s="9">
        <f t="shared" si="18"/>
        <v>0</v>
      </c>
    </row>
    <row r="15" spans="1:25" x14ac:dyDescent="0.25">
      <c r="A15" s="28"/>
      <c r="B15" s="29"/>
      <c r="C15" s="30"/>
      <c r="D15" s="31"/>
      <c r="E15" s="29" t="s">
        <v>16</v>
      </c>
      <c r="F15" s="13" t="b">
        <f>IF($E15=Categories!$A$1,"",IF($E15=Categories!$A$2,Categories!$B$2,IF($E15=Categories!$A$3,Categories!$B$3,IF($E15=Categories!$A$4,Categories!$B$4,IF($E15=Categories!$A$5,Categories!$B$5,IF($E15=Categories!$A$6,Categories!$B$6,IF($E15=Categories!$A$7,Categories!$B$7,IF($E15=Categories!$A$8,Categories!$B$8,IF($E15=Categories!$A$9,Categories!$B$9,IF($E15=Categories!$A$10,Categories!$B$10,IF($E15=Categories!$A$11,Categories!$B$11,IF($E15=Categories!$A$12,Categories!$B$12,IF($E15=Categories!$A$13,Categories!$B$13,IF($E15=Categories!$A$14,Categories!$B$14,IF($E15=Categories!$A$15,Categories!$B$15,IF($E15=Categories!$A$16,Categories!$B$16,IF($E15=Categories!$A$17,Categories!$B$17,IF($E15=Categories!$A$18,Categories!$B$18,IF($E15=Categories!$A$19,Categories!$B$19)))))))))))))))))))</f>
        <v>0</v>
      </c>
      <c r="G15" s="9" t="str">
        <f t="shared" si="0"/>
        <v/>
      </c>
      <c r="H15" s="1" t="str">
        <f t="shared" si="1"/>
        <v/>
      </c>
      <c r="I15" s="1" t="str">
        <f t="shared" si="2"/>
        <v/>
      </c>
      <c r="J15" s="1" t="str">
        <f t="shared" si="3"/>
        <v/>
      </c>
      <c r="K15" s="13" t="str">
        <f t="shared" si="4"/>
        <v/>
      </c>
      <c r="L15" s="9" t="str">
        <f t="shared" si="5"/>
        <v/>
      </c>
      <c r="M15" s="1" t="str">
        <f t="shared" si="6"/>
        <v/>
      </c>
      <c r="N15" s="1" t="str">
        <f t="shared" si="7"/>
        <v/>
      </c>
      <c r="O15" s="1" t="str">
        <f t="shared" si="8"/>
        <v/>
      </c>
      <c r="P15" s="1" t="str">
        <f t="shared" si="9"/>
        <v/>
      </c>
      <c r="Q15" s="1" t="str">
        <f t="shared" si="10"/>
        <v/>
      </c>
      <c r="R15" s="1" t="str">
        <f t="shared" si="11"/>
        <v/>
      </c>
      <c r="S15" s="1" t="str">
        <f t="shared" si="12"/>
        <v/>
      </c>
      <c r="T15" s="1" t="str">
        <f t="shared" si="13"/>
        <v/>
      </c>
      <c r="U15" s="1" t="str">
        <f t="shared" si="14"/>
        <v/>
      </c>
      <c r="V15" s="1" t="str">
        <f t="shared" si="15"/>
        <v/>
      </c>
      <c r="W15" s="26" t="str">
        <f t="shared" si="16"/>
        <v/>
      </c>
      <c r="X15" s="13" t="str">
        <f t="shared" si="17"/>
        <v/>
      </c>
      <c r="Y15" s="9">
        <f t="shared" si="18"/>
        <v>0</v>
      </c>
    </row>
    <row r="16" spans="1:25" x14ac:dyDescent="0.25">
      <c r="A16" s="28"/>
      <c r="B16" s="29"/>
      <c r="C16" s="30"/>
      <c r="D16" s="31"/>
      <c r="E16" s="29" t="s">
        <v>16</v>
      </c>
      <c r="F16" s="13" t="b">
        <f>IF($E16=Categories!$A$1,"",IF($E16=Categories!$A$2,Categories!$B$2,IF($E16=Categories!$A$3,Categories!$B$3,IF($E16=Categories!$A$4,Categories!$B$4,IF($E16=Categories!$A$5,Categories!$B$5,IF($E16=Categories!$A$6,Categories!$B$6,IF($E16=Categories!$A$7,Categories!$B$7,IF($E16=Categories!$A$8,Categories!$B$8,IF($E16=Categories!$A$9,Categories!$B$9,IF($E16=Categories!$A$10,Categories!$B$10,IF($E16=Categories!$A$11,Categories!$B$11,IF($E16=Categories!$A$12,Categories!$B$12,IF($E16=Categories!$A$13,Categories!$B$13,IF($E16=Categories!$A$14,Categories!$B$14,IF($E16=Categories!$A$15,Categories!$B$15,IF($E16=Categories!$A$16,Categories!$B$16,IF($E16=Categories!$A$17,Categories!$B$17,IF($E16=Categories!$A$18,Categories!$B$18,IF($E16=Categories!$A$19,Categories!$B$19)))))))))))))))))))</f>
        <v>0</v>
      </c>
      <c r="G16" s="9" t="str">
        <f t="shared" si="0"/>
        <v/>
      </c>
      <c r="H16" s="1" t="str">
        <f t="shared" si="1"/>
        <v/>
      </c>
      <c r="I16" s="1" t="str">
        <f t="shared" si="2"/>
        <v/>
      </c>
      <c r="J16" s="1" t="str">
        <f t="shared" si="3"/>
        <v/>
      </c>
      <c r="K16" s="13" t="str">
        <f t="shared" si="4"/>
        <v/>
      </c>
      <c r="L16" s="9" t="str">
        <f t="shared" si="5"/>
        <v/>
      </c>
      <c r="M16" s="1" t="str">
        <f t="shared" si="6"/>
        <v/>
      </c>
      <c r="N16" s="1" t="str">
        <f t="shared" si="7"/>
        <v/>
      </c>
      <c r="O16" s="1" t="str">
        <f t="shared" si="8"/>
        <v/>
      </c>
      <c r="P16" s="1" t="str">
        <f t="shared" si="9"/>
        <v/>
      </c>
      <c r="Q16" s="1" t="str">
        <f t="shared" si="10"/>
        <v/>
      </c>
      <c r="R16" s="1" t="str">
        <f t="shared" si="11"/>
        <v/>
      </c>
      <c r="S16" s="1" t="str">
        <f t="shared" si="12"/>
        <v/>
      </c>
      <c r="T16" s="1" t="str">
        <f t="shared" si="13"/>
        <v/>
      </c>
      <c r="U16" s="1" t="str">
        <f t="shared" si="14"/>
        <v/>
      </c>
      <c r="V16" s="1" t="str">
        <f t="shared" si="15"/>
        <v/>
      </c>
      <c r="W16" s="26" t="str">
        <f t="shared" si="16"/>
        <v/>
      </c>
      <c r="X16" s="13" t="str">
        <f t="shared" si="17"/>
        <v/>
      </c>
      <c r="Y16" s="9">
        <f t="shared" si="18"/>
        <v>0</v>
      </c>
    </row>
    <row r="17" spans="1:25" x14ac:dyDescent="0.25">
      <c r="A17" s="28"/>
      <c r="B17" s="29"/>
      <c r="C17" s="30"/>
      <c r="D17" s="31"/>
      <c r="E17" s="29" t="s">
        <v>16</v>
      </c>
      <c r="F17" s="13" t="b">
        <f>IF($E17=Categories!$A$1,"",IF($E17=Categories!$A$2,Categories!$B$2,IF($E17=Categories!$A$3,Categories!$B$3,IF($E17=Categories!$A$4,Categories!$B$4,IF($E17=Categories!$A$5,Categories!$B$5,IF($E17=Categories!$A$6,Categories!$B$6,IF($E17=Categories!$A$7,Categories!$B$7,IF($E17=Categories!$A$8,Categories!$B$8,IF($E17=Categories!$A$9,Categories!$B$9,IF($E17=Categories!$A$10,Categories!$B$10,IF($E17=Categories!$A$11,Categories!$B$11,IF($E17=Categories!$A$12,Categories!$B$12,IF($E17=Categories!$A$13,Categories!$B$13,IF($E17=Categories!$A$14,Categories!$B$14,IF($E17=Categories!$A$15,Categories!$B$15,IF($E17=Categories!$A$16,Categories!$B$16,IF($E17=Categories!$A$17,Categories!$B$17,IF($E17=Categories!$A$18,Categories!$B$18,IF($E17=Categories!$A$19,Categories!$B$19)))))))))))))))))))</f>
        <v>0</v>
      </c>
      <c r="G17" s="9" t="str">
        <f t="shared" si="0"/>
        <v/>
      </c>
      <c r="H17" s="1" t="str">
        <f t="shared" si="1"/>
        <v/>
      </c>
      <c r="I17" s="1" t="str">
        <f t="shared" si="2"/>
        <v/>
      </c>
      <c r="J17" s="1" t="str">
        <f t="shared" si="3"/>
        <v/>
      </c>
      <c r="K17" s="13" t="str">
        <f t="shared" si="4"/>
        <v/>
      </c>
      <c r="L17" s="9" t="str">
        <f t="shared" si="5"/>
        <v/>
      </c>
      <c r="M17" s="1" t="str">
        <f t="shared" si="6"/>
        <v/>
      </c>
      <c r="N17" s="1" t="str">
        <f t="shared" si="7"/>
        <v/>
      </c>
      <c r="O17" s="1" t="str">
        <f t="shared" si="8"/>
        <v/>
      </c>
      <c r="P17" s="1" t="str">
        <f t="shared" si="9"/>
        <v/>
      </c>
      <c r="Q17" s="1" t="str">
        <f t="shared" si="10"/>
        <v/>
      </c>
      <c r="R17" s="1" t="str">
        <f t="shared" si="11"/>
        <v/>
      </c>
      <c r="S17" s="1" t="str">
        <f t="shared" si="12"/>
        <v/>
      </c>
      <c r="T17" s="1" t="str">
        <f t="shared" si="13"/>
        <v/>
      </c>
      <c r="U17" s="1" t="str">
        <f t="shared" si="14"/>
        <v/>
      </c>
      <c r="V17" s="1" t="str">
        <f t="shared" si="15"/>
        <v/>
      </c>
      <c r="W17" s="26" t="str">
        <f t="shared" si="16"/>
        <v/>
      </c>
      <c r="X17" s="13" t="str">
        <f t="shared" si="17"/>
        <v/>
      </c>
      <c r="Y17" s="9">
        <f t="shared" si="18"/>
        <v>0</v>
      </c>
    </row>
    <row r="18" spans="1:25" x14ac:dyDescent="0.25">
      <c r="A18" s="28"/>
      <c r="B18" s="29"/>
      <c r="C18" s="30"/>
      <c r="D18" s="31"/>
      <c r="E18" s="29" t="s">
        <v>16</v>
      </c>
      <c r="F18" s="13" t="b">
        <f>IF($E18=Categories!$A$1,"",IF($E18=Categories!$A$2,Categories!$B$2,IF($E18=Categories!$A$3,Categories!$B$3,IF($E18=Categories!$A$4,Categories!$B$4,IF($E18=Categories!$A$5,Categories!$B$5,IF($E18=Categories!$A$6,Categories!$B$6,IF($E18=Categories!$A$7,Categories!$B$7,IF($E18=Categories!$A$8,Categories!$B$8,IF($E18=Categories!$A$9,Categories!$B$9,IF($E18=Categories!$A$10,Categories!$B$10,IF($E18=Categories!$A$11,Categories!$B$11,IF($E18=Categories!$A$12,Categories!$B$12,IF($E18=Categories!$A$13,Categories!$B$13,IF($E18=Categories!$A$14,Categories!$B$14,IF($E18=Categories!$A$15,Categories!$B$15,IF($E18=Categories!$A$16,Categories!$B$16,IF($E18=Categories!$A$17,Categories!$B$17,IF($E18=Categories!$A$18,Categories!$B$18,IF($E18=Categories!$A$19,Categories!$B$19)))))))))))))))))))</f>
        <v>0</v>
      </c>
      <c r="G18" s="9" t="str">
        <f t="shared" si="0"/>
        <v/>
      </c>
      <c r="H18" s="1" t="str">
        <f t="shared" si="1"/>
        <v/>
      </c>
      <c r="I18" s="1" t="str">
        <f t="shared" si="2"/>
        <v/>
      </c>
      <c r="J18" s="1" t="str">
        <f t="shared" si="3"/>
        <v/>
      </c>
      <c r="K18" s="13" t="str">
        <f t="shared" si="4"/>
        <v/>
      </c>
      <c r="L18" s="9" t="str">
        <f t="shared" si="5"/>
        <v/>
      </c>
      <c r="M18" s="1" t="str">
        <f t="shared" si="6"/>
        <v/>
      </c>
      <c r="N18" s="1" t="str">
        <f t="shared" si="7"/>
        <v/>
      </c>
      <c r="O18" s="1" t="str">
        <f t="shared" si="8"/>
        <v/>
      </c>
      <c r="P18" s="1" t="str">
        <f t="shared" si="9"/>
        <v/>
      </c>
      <c r="Q18" s="1" t="str">
        <f t="shared" si="10"/>
        <v/>
      </c>
      <c r="R18" s="1" t="str">
        <f t="shared" si="11"/>
        <v/>
      </c>
      <c r="S18" s="1" t="str">
        <f t="shared" si="12"/>
        <v/>
      </c>
      <c r="T18" s="1" t="str">
        <f t="shared" si="13"/>
        <v/>
      </c>
      <c r="U18" s="1" t="str">
        <f t="shared" si="14"/>
        <v/>
      </c>
      <c r="V18" s="1" t="str">
        <f t="shared" si="15"/>
        <v/>
      </c>
      <c r="W18" s="26" t="str">
        <f t="shared" si="16"/>
        <v/>
      </c>
      <c r="X18" s="13" t="str">
        <f t="shared" si="17"/>
        <v/>
      </c>
      <c r="Y18" s="9">
        <f t="shared" si="18"/>
        <v>0</v>
      </c>
    </row>
    <row r="19" spans="1:25" x14ac:dyDescent="0.25">
      <c r="A19" s="28"/>
      <c r="B19" s="29"/>
      <c r="C19" s="30"/>
      <c r="D19" s="31"/>
      <c r="E19" s="29" t="s">
        <v>16</v>
      </c>
      <c r="F19" s="13" t="b">
        <f>IF($E19=Categories!$A$1,"",IF($E19=Categories!$A$2,Categories!$B$2,IF($E19=Categories!$A$3,Categories!$B$3,IF($E19=Categories!$A$4,Categories!$B$4,IF($E19=Categories!$A$5,Categories!$B$5,IF($E19=Categories!$A$6,Categories!$B$6,IF($E19=Categories!$A$7,Categories!$B$7,IF($E19=Categories!$A$8,Categories!$B$8,IF($E19=Categories!$A$9,Categories!$B$9,IF($E19=Categories!$A$10,Categories!$B$10,IF($E19=Categories!$A$11,Categories!$B$11,IF($E19=Categories!$A$12,Categories!$B$12,IF($E19=Categories!$A$13,Categories!$B$13,IF($E19=Categories!$A$14,Categories!$B$14,IF($E19=Categories!$A$15,Categories!$B$15,IF($E19=Categories!$A$16,Categories!$B$16,IF($E19=Categories!$A$17,Categories!$B$17,IF($E19=Categories!$A$18,Categories!$B$18,IF($E19=Categories!$A$19,Categories!$B$19)))))))))))))))))))</f>
        <v>0</v>
      </c>
      <c r="G19" s="9" t="str">
        <f t="shared" si="0"/>
        <v/>
      </c>
      <c r="H19" s="1" t="str">
        <f t="shared" si="1"/>
        <v/>
      </c>
      <c r="I19" s="1" t="str">
        <f t="shared" si="2"/>
        <v/>
      </c>
      <c r="J19" s="1" t="str">
        <f t="shared" si="3"/>
        <v/>
      </c>
      <c r="K19" s="13" t="str">
        <f t="shared" si="4"/>
        <v/>
      </c>
      <c r="L19" s="9" t="str">
        <f t="shared" si="5"/>
        <v/>
      </c>
      <c r="M19" s="1" t="str">
        <f t="shared" si="6"/>
        <v/>
      </c>
      <c r="N19" s="1" t="str">
        <f t="shared" si="7"/>
        <v/>
      </c>
      <c r="O19" s="1" t="str">
        <f t="shared" si="8"/>
        <v/>
      </c>
      <c r="P19" s="1" t="str">
        <f t="shared" si="9"/>
        <v/>
      </c>
      <c r="Q19" s="1" t="str">
        <f t="shared" si="10"/>
        <v/>
      </c>
      <c r="R19" s="1" t="str">
        <f t="shared" si="11"/>
        <v/>
      </c>
      <c r="S19" s="1" t="str">
        <f t="shared" si="12"/>
        <v/>
      </c>
      <c r="T19" s="1" t="str">
        <f t="shared" si="13"/>
        <v/>
      </c>
      <c r="U19" s="1" t="str">
        <f t="shared" si="14"/>
        <v/>
      </c>
      <c r="V19" s="1" t="str">
        <f t="shared" si="15"/>
        <v/>
      </c>
      <c r="W19" s="26" t="str">
        <f t="shared" si="16"/>
        <v/>
      </c>
      <c r="X19" s="13" t="str">
        <f t="shared" si="17"/>
        <v/>
      </c>
      <c r="Y19" s="9">
        <f t="shared" si="18"/>
        <v>0</v>
      </c>
    </row>
    <row r="20" spans="1:25" x14ac:dyDescent="0.25">
      <c r="A20" s="28"/>
      <c r="B20" s="29"/>
      <c r="C20" s="30"/>
      <c r="D20" s="31"/>
      <c r="E20" s="29" t="s">
        <v>16</v>
      </c>
      <c r="F20" s="13" t="b">
        <f>IF($E20=Categories!$A$1,"",IF($E20=Categories!$A$2,Categories!$B$2,IF($E20=Categories!$A$3,Categories!$B$3,IF($E20=Categories!$A$4,Categories!$B$4,IF($E20=Categories!$A$5,Categories!$B$5,IF($E20=Categories!$A$6,Categories!$B$6,IF($E20=Categories!$A$7,Categories!$B$7,IF($E20=Categories!$A$8,Categories!$B$8,IF($E20=Categories!$A$9,Categories!$B$9,IF($E20=Categories!$A$10,Categories!$B$10,IF($E20=Categories!$A$11,Categories!$B$11,IF($E20=Categories!$A$12,Categories!$B$12,IF($E20=Categories!$A$13,Categories!$B$13,IF($E20=Categories!$A$14,Categories!$B$14,IF($E20=Categories!$A$15,Categories!$B$15,IF($E20=Categories!$A$16,Categories!$B$16,IF($E20=Categories!$A$17,Categories!$B$17,IF($E20=Categories!$A$18,Categories!$B$18,IF($E20=Categories!$A$19,Categories!$B$19)))))))))))))))))))</f>
        <v>0</v>
      </c>
      <c r="G20" s="9" t="str">
        <f t="shared" si="0"/>
        <v/>
      </c>
      <c r="H20" s="1" t="str">
        <f t="shared" si="1"/>
        <v/>
      </c>
      <c r="I20" s="1" t="str">
        <f t="shared" si="2"/>
        <v/>
      </c>
      <c r="J20" s="1" t="str">
        <f t="shared" si="3"/>
        <v/>
      </c>
      <c r="K20" s="13" t="str">
        <f t="shared" si="4"/>
        <v/>
      </c>
      <c r="L20" s="9" t="str">
        <f t="shared" si="5"/>
        <v/>
      </c>
      <c r="M20" s="1" t="str">
        <f t="shared" si="6"/>
        <v/>
      </c>
      <c r="N20" s="1" t="str">
        <f t="shared" si="7"/>
        <v/>
      </c>
      <c r="O20" s="1" t="str">
        <f t="shared" si="8"/>
        <v/>
      </c>
      <c r="P20" s="1" t="str">
        <f t="shared" si="9"/>
        <v/>
      </c>
      <c r="Q20" s="1" t="str">
        <f t="shared" si="10"/>
        <v/>
      </c>
      <c r="R20" s="1" t="str">
        <f t="shared" si="11"/>
        <v/>
      </c>
      <c r="S20" s="1" t="str">
        <f t="shared" si="12"/>
        <v/>
      </c>
      <c r="T20" s="1" t="str">
        <f t="shared" si="13"/>
        <v/>
      </c>
      <c r="U20" s="1" t="str">
        <f t="shared" si="14"/>
        <v/>
      </c>
      <c r="V20" s="1" t="str">
        <f t="shared" si="15"/>
        <v/>
      </c>
      <c r="W20" s="26" t="str">
        <f t="shared" si="16"/>
        <v/>
      </c>
      <c r="X20" s="13" t="str">
        <f t="shared" si="17"/>
        <v/>
      </c>
      <c r="Y20" s="9">
        <f t="shared" si="18"/>
        <v>0</v>
      </c>
    </row>
    <row r="21" spans="1:25" x14ac:dyDescent="0.25">
      <c r="A21" s="28"/>
      <c r="B21" s="29"/>
      <c r="C21" s="30"/>
      <c r="D21" s="31"/>
      <c r="E21" s="29" t="s">
        <v>16</v>
      </c>
      <c r="F21" s="13" t="b">
        <f>IF($E21=Categories!$A$1,"",IF($E21=Categories!$A$2,Categories!$B$2,IF($E21=Categories!$A$3,Categories!$B$3,IF($E21=Categories!$A$4,Categories!$B$4,IF($E21=Categories!$A$5,Categories!$B$5,IF($E21=Categories!$A$6,Categories!$B$6,IF($E21=Categories!$A$7,Categories!$B$7,IF($E21=Categories!$A$8,Categories!$B$8,IF($E21=Categories!$A$9,Categories!$B$9,IF($E21=Categories!$A$10,Categories!$B$10,IF($E21=Categories!$A$11,Categories!$B$11,IF($E21=Categories!$A$12,Categories!$B$12,IF($E21=Categories!$A$13,Categories!$B$13,IF($E21=Categories!$A$14,Categories!$B$14,IF($E21=Categories!$A$15,Categories!$B$15,IF($E21=Categories!$A$16,Categories!$B$16,IF($E21=Categories!$A$17,Categories!$B$17,IF($E21=Categories!$A$18,Categories!$B$18,IF($E21=Categories!$A$19,Categories!$B$19)))))))))))))))))))</f>
        <v>0</v>
      </c>
      <c r="G21" s="9" t="str">
        <f t="shared" si="0"/>
        <v/>
      </c>
      <c r="H21" s="1" t="str">
        <f t="shared" si="1"/>
        <v/>
      </c>
      <c r="I21" s="1" t="str">
        <f t="shared" si="2"/>
        <v/>
      </c>
      <c r="J21" s="1" t="str">
        <f t="shared" si="3"/>
        <v/>
      </c>
      <c r="K21" s="13" t="str">
        <f t="shared" si="4"/>
        <v/>
      </c>
      <c r="L21" s="9" t="str">
        <f t="shared" si="5"/>
        <v/>
      </c>
      <c r="M21" s="1" t="str">
        <f t="shared" si="6"/>
        <v/>
      </c>
      <c r="N21" s="1" t="str">
        <f t="shared" si="7"/>
        <v/>
      </c>
      <c r="O21" s="1" t="str">
        <f t="shared" si="8"/>
        <v/>
      </c>
      <c r="P21" s="1" t="str">
        <f t="shared" si="9"/>
        <v/>
      </c>
      <c r="Q21" s="1" t="str">
        <f t="shared" si="10"/>
        <v/>
      </c>
      <c r="R21" s="1" t="str">
        <f t="shared" si="11"/>
        <v/>
      </c>
      <c r="S21" s="1" t="str">
        <f t="shared" si="12"/>
        <v/>
      </c>
      <c r="T21" s="1" t="str">
        <f t="shared" si="13"/>
        <v/>
      </c>
      <c r="U21" s="1" t="str">
        <f t="shared" si="14"/>
        <v/>
      </c>
      <c r="V21" s="1" t="str">
        <f t="shared" si="15"/>
        <v/>
      </c>
      <c r="W21" s="26" t="str">
        <f t="shared" si="16"/>
        <v/>
      </c>
      <c r="X21" s="13" t="str">
        <f t="shared" si="17"/>
        <v/>
      </c>
      <c r="Y21" s="9">
        <f t="shared" si="18"/>
        <v>0</v>
      </c>
    </row>
    <row r="22" spans="1:25" x14ac:dyDescent="0.25">
      <c r="A22" s="28"/>
      <c r="B22" s="29"/>
      <c r="C22" s="30"/>
      <c r="D22" s="31"/>
      <c r="E22" s="29" t="s">
        <v>16</v>
      </c>
      <c r="F22" s="13" t="b">
        <f>IF($E22=Categories!$A$1,"",IF($E22=Categories!$A$2,Categories!$B$2,IF($E22=Categories!$A$3,Categories!$B$3,IF($E22=Categories!$A$4,Categories!$B$4,IF($E22=Categories!$A$5,Categories!$B$5,IF($E22=Categories!$A$6,Categories!$B$6,IF($E22=Categories!$A$7,Categories!$B$7,IF($E22=Categories!$A$8,Categories!$B$8,IF($E22=Categories!$A$9,Categories!$B$9,IF($E22=Categories!$A$10,Categories!$B$10,IF($E22=Categories!$A$11,Categories!$B$11,IF($E22=Categories!$A$12,Categories!$B$12,IF($E22=Categories!$A$13,Categories!$B$13,IF($E22=Categories!$A$14,Categories!$B$14,IF($E22=Categories!$A$15,Categories!$B$15,IF($E22=Categories!$A$16,Categories!$B$16,IF($E22=Categories!$A$17,Categories!$B$17,IF($E22=Categories!$A$18,Categories!$B$18,IF($E22=Categories!$A$19,Categories!$B$19)))))))))))))))))))</f>
        <v>0</v>
      </c>
      <c r="G22" s="9" t="str">
        <f t="shared" si="0"/>
        <v/>
      </c>
      <c r="H22" s="1" t="str">
        <f t="shared" si="1"/>
        <v/>
      </c>
      <c r="I22" s="1" t="str">
        <f t="shared" si="2"/>
        <v/>
      </c>
      <c r="J22" s="1" t="str">
        <f t="shared" si="3"/>
        <v/>
      </c>
      <c r="K22" s="13" t="str">
        <f t="shared" si="4"/>
        <v/>
      </c>
      <c r="L22" s="9" t="str">
        <f t="shared" si="5"/>
        <v/>
      </c>
      <c r="M22" s="1" t="str">
        <f t="shared" si="6"/>
        <v/>
      </c>
      <c r="N22" s="1" t="str">
        <f t="shared" si="7"/>
        <v/>
      </c>
      <c r="O22" s="1" t="str">
        <f t="shared" si="8"/>
        <v/>
      </c>
      <c r="P22" s="1" t="str">
        <f t="shared" si="9"/>
        <v/>
      </c>
      <c r="Q22" s="1" t="str">
        <f t="shared" si="10"/>
        <v/>
      </c>
      <c r="R22" s="1" t="str">
        <f t="shared" si="11"/>
        <v/>
      </c>
      <c r="S22" s="1" t="str">
        <f t="shared" si="12"/>
        <v/>
      </c>
      <c r="T22" s="1" t="str">
        <f t="shared" si="13"/>
        <v/>
      </c>
      <c r="U22" s="1" t="str">
        <f t="shared" si="14"/>
        <v/>
      </c>
      <c r="V22" s="1" t="str">
        <f t="shared" si="15"/>
        <v/>
      </c>
      <c r="W22" s="26" t="str">
        <f t="shared" si="16"/>
        <v/>
      </c>
      <c r="X22" s="13" t="str">
        <f t="shared" si="17"/>
        <v/>
      </c>
      <c r="Y22" s="9">
        <f t="shared" si="18"/>
        <v>0</v>
      </c>
    </row>
    <row r="23" spans="1:25" x14ac:dyDescent="0.25">
      <c r="A23" s="28"/>
      <c r="B23" s="29"/>
      <c r="C23" s="30"/>
      <c r="D23" s="31"/>
      <c r="E23" s="29" t="s">
        <v>16</v>
      </c>
      <c r="F23" s="13" t="b">
        <f>IF($E23=Categories!$A$1,"",IF($E23=Categories!$A$2,Categories!$B$2,IF($E23=Categories!$A$3,Categories!$B$3,IF($E23=Categories!$A$4,Categories!$B$4,IF($E23=Categories!$A$5,Categories!$B$5,IF($E23=Categories!$A$6,Categories!$B$6,IF($E23=Categories!$A$7,Categories!$B$7,IF($E23=Categories!$A$8,Categories!$B$8,IF($E23=Categories!$A$9,Categories!$B$9,IF($E23=Categories!$A$10,Categories!$B$10,IF($E23=Categories!$A$11,Categories!$B$11,IF($E23=Categories!$A$12,Categories!$B$12,IF($E23=Categories!$A$13,Categories!$B$13,IF($E23=Categories!$A$14,Categories!$B$14,IF($E23=Categories!$A$15,Categories!$B$15,IF($E23=Categories!$A$16,Categories!$B$16,IF($E23=Categories!$A$17,Categories!$B$17,IF($E23=Categories!$A$18,Categories!$B$18,IF($E23=Categories!$A$19,Categories!$B$19)))))))))))))))))))</f>
        <v>0</v>
      </c>
      <c r="G23" s="9" t="str">
        <f t="shared" si="0"/>
        <v/>
      </c>
      <c r="H23" s="1" t="str">
        <f t="shared" si="1"/>
        <v/>
      </c>
      <c r="I23" s="1" t="str">
        <f t="shared" si="2"/>
        <v/>
      </c>
      <c r="J23" s="1" t="str">
        <f t="shared" si="3"/>
        <v/>
      </c>
      <c r="K23" s="13" t="str">
        <f t="shared" si="4"/>
        <v/>
      </c>
      <c r="L23" s="9" t="str">
        <f t="shared" si="5"/>
        <v/>
      </c>
      <c r="M23" s="1" t="str">
        <f t="shared" si="6"/>
        <v/>
      </c>
      <c r="N23" s="1" t="str">
        <f t="shared" si="7"/>
        <v/>
      </c>
      <c r="O23" s="1" t="str">
        <f t="shared" si="8"/>
        <v/>
      </c>
      <c r="P23" s="1" t="str">
        <f t="shared" si="9"/>
        <v/>
      </c>
      <c r="Q23" s="1" t="str">
        <f t="shared" si="10"/>
        <v/>
      </c>
      <c r="R23" s="1" t="str">
        <f t="shared" si="11"/>
        <v/>
      </c>
      <c r="S23" s="1" t="str">
        <f t="shared" si="12"/>
        <v/>
      </c>
      <c r="T23" s="1" t="str">
        <f t="shared" si="13"/>
        <v/>
      </c>
      <c r="U23" s="1" t="str">
        <f t="shared" si="14"/>
        <v/>
      </c>
      <c r="V23" s="1" t="str">
        <f t="shared" si="15"/>
        <v/>
      </c>
      <c r="W23" s="26" t="str">
        <f t="shared" si="16"/>
        <v/>
      </c>
      <c r="X23" s="13" t="str">
        <f t="shared" si="17"/>
        <v/>
      </c>
      <c r="Y23" s="9">
        <f t="shared" si="18"/>
        <v>0</v>
      </c>
    </row>
    <row r="24" spans="1:25" x14ac:dyDescent="0.25">
      <c r="A24" s="28"/>
      <c r="B24" s="29"/>
      <c r="C24" s="30"/>
      <c r="D24" s="31"/>
      <c r="E24" s="29" t="s">
        <v>16</v>
      </c>
      <c r="F24" s="13" t="b">
        <f>IF($E24=Categories!$A$1,"",IF($E24=Categories!$A$2,Categories!$B$2,IF($E24=Categories!$A$3,Categories!$B$3,IF($E24=Categories!$A$4,Categories!$B$4,IF($E24=Categories!$A$5,Categories!$B$5,IF($E24=Categories!$A$6,Categories!$B$6,IF($E24=Categories!$A$7,Categories!$B$7,IF($E24=Categories!$A$8,Categories!$B$8,IF($E24=Categories!$A$9,Categories!$B$9,IF($E24=Categories!$A$10,Categories!$B$10,IF($E24=Categories!$A$11,Categories!$B$11,IF($E24=Categories!$A$12,Categories!$B$12,IF($E24=Categories!$A$13,Categories!$B$13,IF($E24=Categories!$A$14,Categories!$B$14,IF($E24=Categories!$A$15,Categories!$B$15,IF($E24=Categories!$A$16,Categories!$B$16,IF($E24=Categories!$A$17,Categories!$B$17,IF($E24=Categories!$A$18,Categories!$B$18,IF($E24=Categories!$A$19,Categories!$B$19)))))))))))))))))))</f>
        <v>0</v>
      </c>
      <c r="G24" s="9" t="str">
        <f t="shared" si="0"/>
        <v/>
      </c>
      <c r="H24" s="1" t="str">
        <f t="shared" si="1"/>
        <v/>
      </c>
      <c r="I24" s="1" t="str">
        <f t="shared" si="2"/>
        <v/>
      </c>
      <c r="J24" s="1" t="str">
        <f t="shared" si="3"/>
        <v/>
      </c>
      <c r="K24" s="13" t="str">
        <f t="shared" si="4"/>
        <v/>
      </c>
      <c r="L24" s="9" t="str">
        <f t="shared" si="5"/>
        <v/>
      </c>
      <c r="M24" s="1" t="str">
        <f t="shared" si="6"/>
        <v/>
      </c>
      <c r="N24" s="1" t="str">
        <f t="shared" si="7"/>
        <v/>
      </c>
      <c r="O24" s="1" t="str">
        <f t="shared" si="8"/>
        <v/>
      </c>
      <c r="P24" s="1" t="str">
        <f t="shared" si="9"/>
        <v/>
      </c>
      <c r="Q24" s="1" t="str">
        <f t="shared" si="10"/>
        <v/>
      </c>
      <c r="R24" s="1" t="str">
        <f t="shared" si="11"/>
        <v/>
      </c>
      <c r="S24" s="1" t="str">
        <f t="shared" si="12"/>
        <v/>
      </c>
      <c r="T24" s="1" t="str">
        <f t="shared" si="13"/>
        <v/>
      </c>
      <c r="U24" s="1" t="str">
        <f t="shared" si="14"/>
        <v/>
      </c>
      <c r="V24" s="1" t="str">
        <f t="shared" si="15"/>
        <v/>
      </c>
      <c r="W24" s="26" t="str">
        <f t="shared" si="16"/>
        <v/>
      </c>
      <c r="X24" s="13" t="str">
        <f t="shared" si="17"/>
        <v/>
      </c>
      <c r="Y24" s="9">
        <f t="shared" si="18"/>
        <v>0</v>
      </c>
    </row>
    <row r="25" spans="1:25" x14ac:dyDescent="0.25">
      <c r="A25" s="28"/>
      <c r="B25" s="29"/>
      <c r="C25" s="30"/>
      <c r="D25" s="31"/>
      <c r="E25" s="29" t="s">
        <v>16</v>
      </c>
      <c r="F25" s="13" t="b">
        <f>IF($E25=Categories!$A$1,"",IF($E25=Categories!$A$2,Categories!$B$2,IF($E25=Categories!$A$3,Categories!$B$3,IF($E25=Categories!$A$4,Categories!$B$4,IF($E25=Categories!$A$5,Categories!$B$5,IF($E25=Categories!$A$6,Categories!$B$6,IF($E25=Categories!$A$7,Categories!$B$7,IF($E25=Categories!$A$8,Categories!$B$8,IF($E25=Categories!$A$9,Categories!$B$9,IF($E25=Categories!$A$10,Categories!$B$10,IF($E25=Categories!$A$11,Categories!$B$11,IF($E25=Categories!$A$12,Categories!$B$12,IF($E25=Categories!$A$13,Categories!$B$13,IF($E25=Categories!$A$14,Categories!$B$14,IF($E25=Categories!$A$15,Categories!$B$15,IF($E25=Categories!$A$16,Categories!$B$16,IF($E25=Categories!$A$17,Categories!$B$17,IF($E25=Categories!$A$18,Categories!$B$18,IF($E25=Categories!$A$19,Categories!$B$19)))))))))))))))))))</f>
        <v>0</v>
      </c>
      <c r="G25" s="9" t="str">
        <f t="shared" si="0"/>
        <v/>
      </c>
      <c r="H25" s="1" t="str">
        <f t="shared" si="1"/>
        <v/>
      </c>
      <c r="I25" s="1" t="str">
        <f t="shared" si="2"/>
        <v/>
      </c>
      <c r="J25" s="1" t="str">
        <f t="shared" si="3"/>
        <v/>
      </c>
      <c r="K25" s="13" t="str">
        <f t="shared" si="4"/>
        <v/>
      </c>
      <c r="L25" s="9" t="str">
        <f t="shared" si="5"/>
        <v/>
      </c>
      <c r="M25" s="1" t="str">
        <f t="shared" si="6"/>
        <v/>
      </c>
      <c r="N25" s="1" t="str">
        <f t="shared" si="7"/>
        <v/>
      </c>
      <c r="O25" s="1" t="str">
        <f t="shared" si="8"/>
        <v/>
      </c>
      <c r="P25" s="1" t="str">
        <f t="shared" si="9"/>
        <v/>
      </c>
      <c r="Q25" s="1" t="str">
        <f t="shared" si="10"/>
        <v/>
      </c>
      <c r="R25" s="1" t="str">
        <f t="shared" si="11"/>
        <v/>
      </c>
      <c r="S25" s="1" t="str">
        <f t="shared" si="12"/>
        <v/>
      </c>
      <c r="T25" s="1" t="str">
        <f t="shared" si="13"/>
        <v/>
      </c>
      <c r="U25" s="1" t="str">
        <f t="shared" si="14"/>
        <v/>
      </c>
      <c r="V25" s="1" t="str">
        <f t="shared" si="15"/>
        <v/>
      </c>
      <c r="W25" s="26" t="str">
        <f t="shared" si="16"/>
        <v/>
      </c>
      <c r="X25" s="13" t="str">
        <f t="shared" si="17"/>
        <v/>
      </c>
      <c r="Y25" s="9">
        <f t="shared" si="18"/>
        <v>0</v>
      </c>
    </row>
    <row r="26" spans="1:25" x14ac:dyDescent="0.25">
      <c r="A26" s="28"/>
      <c r="B26" s="29"/>
      <c r="C26" s="30"/>
      <c r="D26" s="31"/>
      <c r="E26" s="29" t="s">
        <v>16</v>
      </c>
      <c r="F26" s="13" t="b">
        <f>IF($E26=Categories!$A$1,"",IF($E26=Categories!$A$2,Categories!$B$2,IF($E26=Categories!$A$3,Categories!$B$3,IF($E26=Categories!$A$4,Categories!$B$4,IF($E26=Categories!$A$5,Categories!$B$5,IF($E26=Categories!$A$6,Categories!$B$6,IF($E26=Categories!$A$7,Categories!$B$7,IF($E26=Categories!$A$8,Categories!$B$8,IF($E26=Categories!$A$9,Categories!$B$9,IF($E26=Categories!$A$10,Categories!$B$10,IF($E26=Categories!$A$11,Categories!$B$11,IF($E26=Categories!$A$12,Categories!$B$12,IF($E26=Categories!$A$13,Categories!$B$13,IF($E26=Categories!$A$14,Categories!$B$14,IF($E26=Categories!$A$15,Categories!$B$15,IF($E26=Categories!$A$16,Categories!$B$16,IF($E26=Categories!$A$17,Categories!$B$17,IF($E26=Categories!$A$18,Categories!$B$18,IF($E26=Categories!$A$19,Categories!$B$19)))))))))))))))))))</f>
        <v>0</v>
      </c>
      <c r="G26" s="9" t="str">
        <f t="shared" si="0"/>
        <v/>
      </c>
      <c r="H26" s="1" t="str">
        <f t="shared" si="1"/>
        <v/>
      </c>
      <c r="I26" s="1" t="str">
        <f t="shared" si="2"/>
        <v/>
      </c>
      <c r="J26" s="1" t="str">
        <f t="shared" si="3"/>
        <v/>
      </c>
      <c r="K26" s="13" t="str">
        <f t="shared" si="4"/>
        <v/>
      </c>
      <c r="L26" s="9" t="str">
        <f t="shared" si="5"/>
        <v/>
      </c>
      <c r="M26" s="1" t="str">
        <f t="shared" si="6"/>
        <v/>
      </c>
      <c r="N26" s="1" t="str">
        <f t="shared" si="7"/>
        <v/>
      </c>
      <c r="O26" s="1" t="str">
        <f t="shared" si="8"/>
        <v/>
      </c>
      <c r="P26" s="1" t="str">
        <f t="shared" si="9"/>
        <v/>
      </c>
      <c r="Q26" s="1" t="str">
        <f t="shared" si="10"/>
        <v/>
      </c>
      <c r="R26" s="1" t="str">
        <f t="shared" si="11"/>
        <v/>
      </c>
      <c r="S26" s="1" t="str">
        <f t="shared" si="12"/>
        <v/>
      </c>
      <c r="T26" s="1" t="str">
        <f t="shared" si="13"/>
        <v/>
      </c>
      <c r="U26" s="1" t="str">
        <f t="shared" si="14"/>
        <v/>
      </c>
      <c r="V26" s="1" t="str">
        <f t="shared" si="15"/>
        <v/>
      </c>
      <c r="W26" s="26" t="str">
        <f t="shared" si="16"/>
        <v/>
      </c>
      <c r="X26" s="13" t="str">
        <f t="shared" si="17"/>
        <v/>
      </c>
      <c r="Y26" s="9">
        <f t="shared" si="18"/>
        <v>0</v>
      </c>
    </row>
    <row r="27" spans="1:25" x14ac:dyDescent="0.25">
      <c r="A27" s="28"/>
      <c r="B27" s="29"/>
      <c r="C27" s="30"/>
      <c r="D27" s="31"/>
      <c r="E27" s="29" t="s">
        <v>16</v>
      </c>
      <c r="F27" s="13" t="b">
        <f>IF($E27=Categories!$A$1,"",IF($E27=Categories!$A$2,Categories!$B$2,IF($E27=Categories!$A$3,Categories!$B$3,IF($E27=Categories!$A$4,Categories!$B$4,IF($E27=Categories!$A$5,Categories!$B$5,IF($E27=Categories!$A$6,Categories!$B$6,IF($E27=Categories!$A$7,Categories!$B$7,IF($E27=Categories!$A$8,Categories!$B$8,IF($E27=Categories!$A$9,Categories!$B$9,IF($E27=Categories!$A$10,Categories!$B$10,IF($E27=Categories!$A$11,Categories!$B$11,IF($E27=Categories!$A$12,Categories!$B$12,IF($E27=Categories!$A$13,Categories!$B$13,IF($E27=Categories!$A$14,Categories!$B$14,IF($E27=Categories!$A$15,Categories!$B$15,IF($E27=Categories!$A$16,Categories!$B$16,IF($E27=Categories!$A$17,Categories!$B$17,IF($E27=Categories!$A$18,Categories!$B$18,IF($E27=Categories!$A$19,Categories!$B$19)))))))))))))))))))</f>
        <v>0</v>
      </c>
      <c r="G27" s="9" t="str">
        <f t="shared" si="0"/>
        <v/>
      </c>
      <c r="H27" s="1" t="str">
        <f t="shared" si="1"/>
        <v/>
      </c>
      <c r="I27" s="1" t="str">
        <f t="shared" si="2"/>
        <v/>
      </c>
      <c r="J27" s="1" t="str">
        <f t="shared" si="3"/>
        <v/>
      </c>
      <c r="K27" s="13" t="str">
        <f t="shared" si="4"/>
        <v/>
      </c>
      <c r="L27" s="9" t="str">
        <f t="shared" si="5"/>
        <v/>
      </c>
      <c r="M27" s="1" t="str">
        <f t="shared" si="6"/>
        <v/>
      </c>
      <c r="N27" s="1" t="str">
        <f t="shared" si="7"/>
        <v/>
      </c>
      <c r="O27" s="1" t="str">
        <f t="shared" si="8"/>
        <v/>
      </c>
      <c r="P27" s="1" t="str">
        <f t="shared" si="9"/>
        <v/>
      </c>
      <c r="Q27" s="1" t="str">
        <f t="shared" si="10"/>
        <v/>
      </c>
      <c r="R27" s="1" t="str">
        <f t="shared" si="11"/>
        <v/>
      </c>
      <c r="S27" s="1" t="str">
        <f t="shared" si="12"/>
        <v/>
      </c>
      <c r="T27" s="1" t="str">
        <f t="shared" si="13"/>
        <v/>
      </c>
      <c r="U27" s="1" t="str">
        <f t="shared" si="14"/>
        <v/>
      </c>
      <c r="V27" s="1" t="str">
        <f t="shared" si="15"/>
        <v/>
      </c>
      <c r="W27" s="26" t="str">
        <f t="shared" si="16"/>
        <v/>
      </c>
      <c r="X27" s="13" t="str">
        <f t="shared" si="17"/>
        <v/>
      </c>
      <c r="Y27" s="9">
        <f t="shared" si="18"/>
        <v>0</v>
      </c>
    </row>
    <row r="28" spans="1:25" x14ac:dyDescent="0.25">
      <c r="A28" s="28"/>
      <c r="B28" s="29"/>
      <c r="C28" s="30"/>
      <c r="D28" s="31"/>
      <c r="E28" s="29" t="s">
        <v>16</v>
      </c>
      <c r="F28" s="13" t="b">
        <f>IF($E28=Categories!$A$1,"",IF($E28=Categories!$A$2,Categories!$B$2,IF($E28=Categories!$A$3,Categories!$B$3,IF($E28=Categories!$A$4,Categories!$B$4,IF($E28=Categories!$A$5,Categories!$B$5,IF($E28=Categories!$A$6,Categories!$B$6,IF($E28=Categories!$A$7,Categories!$B$7,IF($E28=Categories!$A$8,Categories!$B$8,IF($E28=Categories!$A$9,Categories!$B$9,IF($E28=Categories!$A$10,Categories!$B$10,IF($E28=Categories!$A$11,Categories!$B$11,IF($E28=Categories!$A$12,Categories!$B$12,IF($E28=Categories!$A$13,Categories!$B$13,IF($E28=Categories!$A$14,Categories!$B$14,IF($E28=Categories!$A$15,Categories!$B$15,IF($E28=Categories!$A$16,Categories!$B$16,IF($E28=Categories!$A$17,Categories!$B$17,IF($E28=Categories!$A$18,Categories!$B$18,IF($E28=Categories!$A$19,Categories!$B$19)))))))))))))))))))</f>
        <v>0</v>
      </c>
      <c r="G28" s="9" t="str">
        <f t="shared" si="0"/>
        <v/>
      </c>
      <c r="H28" s="1" t="str">
        <f t="shared" si="1"/>
        <v/>
      </c>
      <c r="I28" s="1" t="str">
        <f t="shared" si="2"/>
        <v/>
      </c>
      <c r="J28" s="1" t="str">
        <f t="shared" si="3"/>
        <v/>
      </c>
      <c r="K28" s="13" t="str">
        <f t="shared" si="4"/>
        <v/>
      </c>
      <c r="L28" s="9" t="str">
        <f t="shared" si="5"/>
        <v/>
      </c>
      <c r="M28" s="1" t="str">
        <f t="shared" si="6"/>
        <v/>
      </c>
      <c r="N28" s="1" t="str">
        <f t="shared" si="7"/>
        <v/>
      </c>
      <c r="O28" s="1" t="str">
        <f t="shared" si="8"/>
        <v/>
      </c>
      <c r="P28" s="1" t="str">
        <f t="shared" si="9"/>
        <v/>
      </c>
      <c r="Q28" s="1" t="str">
        <f t="shared" si="10"/>
        <v/>
      </c>
      <c r="R28" s="1" t="str">
        <f t="shared" si="11"/>
        <v/>
      </c>
      <c r="S28" s="1" t="str">
        <f t="shared" si="12"/>
        <v/>
      </c>
      <c r="T28" s="1" t="str">
        <f t="shared" si="13"/>
        <v/>
      </c>
      <c r="U28" s="1" t="str">
        <f t="shared" si="14"/>
        <v/>
      </c>
      <c r="V28" s="1" t="str">
        <f t="shared" si="15"/>
        <v/>
      </c>
      <c r="W28" s="26" t="str">
        <f t="shared" si="16"/>
        <v/>
      </c>
      <c r="X28" s="13" t="str">
        <f t="shared" si="17"/>
        <v/>
      </c>
      <c r="Y28" s="9">
        <f t="shared" si="18"/>
        <v>0</v>
      </c>
    </row>
    <row r="29" spans="1:25" x14ac:dyDescent="0.25">
      <c r="A29" s="28"/>
      <c r="B29" s="29"/>
      <c r="C29" s="30"/>
      <c r="D29" s="31"/>
      <c r="E29" s="29" t="s">
        <v>16</v>
      </c>
      <c r="F29" s="13" t="b">
        <f>IF($E29=Categories!$A$1,"",IF($E29=Categories!$A$2,Categories!$B$2,IF($E29=Categories!$A$3,Categories!$B$3,IF($E29=Categories!$A$4,Categories!$B$4,IF($E29=Categories!$A$5,Categories!$B$5,IF($E29=Categories!$A$6,Categories!$B$6,IF($E29=Categories!$A$7,Categories!$B$7,IF($E29=Categories!$A$8,Categories!$B$8,IF($E29=Categories!$A$9,Categories!$B$9,IF($E29=Categories!$A$10,Categories!$B$10,IF($E29=Categories!$A$11,Categories!$B$11,IF($E29=Categories!$A$12,Categories!$B$12,IF($E29=Categories!$A$13,Categories!$B$13,IF($E29=Categories!$A$14,Categories!$B$14,IF($E29=Categories!$A$15,Categories!$B$15,IF($E29=Categories!$A$16,Categories!$B$16,IF($E29=Categories!$A$17,Categories!$B$17,IF($E29=Categories!$A$18,Categories!$B$18,IF($E29=Categories!$A$19,Categories!$B$19)))))))))))))))))))</f>
        <v>0</v>
      </c>
      <c r="G29" s="9" t="str">
        <f t="shared" si="0"/>
        <v/>
      </c>
      <c r="H29" s="1" t="str">
        <f t="shared" si="1"/>
        <v/>
      </c>
      <c r="I29" s="1" t="str">
        <f t="shared" si="2"/>
        <v/>
      </c>
      <c r="J29" s="1" t="str">
        <f t="shared" si="3"/>
        <v/>
      </c>
      <c r="K29" s="13" t="str">
        <f t="shared" si="4"/>
        <v/>
      </c>
      <c r="L29" s="9" t="str">
        <f t="shared" si="5"/>
        <v/>
      </c>
      <c r="M29" s="1" t="str">
        <f t="shared" si="6"/>
        <v/>
      </c>
      <c r="N29" s="1" t="str">
        <f t="shared" si="7"/>
        <v/>
      </c>
      <c r="O29" s="1" t="str">
        <f t="shared" si="8"/>
        <v/>
      </c>
      <c r="P29" s="1" t="str">
        <f t="shared" si="9"/>
        <v/>
      </c>
      <c r="Q29" s="1" t="str">
        <f t="shared" si="10"/>
        <v/>
      </c>
      <c r="R29" s="1" t="str">
        <f t="shared" si="11"/>
        <v/>
      </c>
      <c r="S29" s="1" t="str">
        <f t="shared" si="12"/>
        <v/>
      </c>
      <c r="T29" s="1" t="str">
        <f t="shared" si="13"/>
        <v/>
      </c>
      <c r="U29" s="1" t="str">
        <f t="shared" si="14"/>
        <v/>
      </c>
      <c r="V29" s="1" t="str">
        <f t="shared" si="15"/>
        <v/>
      </c>
      <c r="W29" s="26" t="str">
        <f t="shared" si="16"/>
        <v/>
      </c>
      <c r="X29" s="13" t="str">
        <f t="shared" si="17"/>
        <v/>
      </c>
      <c r="Y29" s="9">
        <f t="shared" si="18"/>
        <v>0</v>
      </c>
    </row>
    <row r="30" spans="1:25" x14ac:dyDescent="0.25">
      <c r="A30" s="28"/>
      <c r="B30" s="29"/>
      <c r="C30" s="30"/>
      <c r="D30" s="31"/>
      <c r="E30" s="29" t="s">
        <v>16</v>
      </c>
      <c r="F30" s="13" t="b">
        <f>IF($E30=Categories!$A$1,"",IF($E30=Categories!$A$2,Categories!$B$2,IF($E30=Categories!$A$3,Categories!$B$3,IF($E30=Categories!$A$4,Categories!$B$4,IF($E30=Categories!$A$5,Categories!$B$5,IF($E30=Categories!$A$6,Categories!$B$6,IF($E30=Categories!$A$7,Categories!$B$7,IF($E30=Categories!$A$8,Categories!$B$8,IF($E30=Categories!$A$9,Categories!$B$9,IF($E30=Categories!$A$10,Categories!$B$10,IF($E30=Categories!$A$11,Categories!$B$11,IF($E30=Categories!$A$12,Categories!$B$12,IF($E30=Categories!$A$13,Categories!$B$13,IF($E30=Categories!$A$14,Categories!$B$14,IF($E30=Categories!$A$15,Categories!$B$15,IF($E30=Categories!$A$16,Categories!$B$16,IF($E30=Categories!$A$17,Categories!$B$17,IF($E30=Categories!$A$18,Categories!$B$18,IF($E30=Categories!$A$19,Categories!$B$19)))))))))))))))))))</f>
        <v>0</v>
      </c>
      <c r="G30" s="9" t="str">
        <f t="shared" si="0"/>
        <v/>
      </c>
      <c r="H30" s="1" t="str">
        <f t="shared" si="1"/>
        <v/>
      </c>
      <c r="I30" s="1" t="str">
        <f t="shared" si="2"/>
        <v/>
      </c>
      <c r="J30" s="1" t="str">
        <f t="shared" si="3"/>
        <v/>
      </c>
      <c r="K30" s="13" t="str">
        <f t="shared" si="4"/>
        <v/>
      </c>
      <c r="L30" s="9" t="str">
        <f t="shared" si="5"/>
        <v/>
      </c>
      <c r="M30" s="1" t="str">
        <f t="shared" si="6"/>
        <v/>
      </c>
      <c r="N30" s="1" t="str">
        <f t="shared" si="7"/>
        <v/>
      </c>
      <c r="O30" s="1" t="str">
        <f t="shared" si="8"/>
        <v/>
      </c>
      <c r="P30" s="1" t="str">
        <f t="shared" si="9"/>
        <v/>
      </c>
      <c r="Q30" s="1" t="str">
        <f t="shared" si="10"/>
        <v/>
      </c>
      <c r="R30" s="1" t="str">
        <f t="shared" si="11"/>
        <v/>
      </c>
      <c r="S30" s="1" t="str">
        <f t="shared" si="12"/>
        <v/>
      </c>
      <c r="T30" s="1" t="str">
        <f t="shared" si="13"/>
        <v/>
      </c>
      <c r="U30" s="1" t="str">
        <f t="shared" si="14"/>
        <v/>
      </c>
      <c r="V30" s="1" t="str">
        <f t="shared" si="15"/>
        <v/>
      </c>
      <c r="W30" s="26" t="str">
        <f t="shared" si="16"/>
        <v/>
      </c>
      <c r="X30" s="13" t="str">
        <f t="shared" si="17"/>
        <v/>
      </c>
      <c r="Y30" s="9">
        <f t="shared" si="18"/>
        <v>0</v>
      </c>
    </row>
    <row r="31" spans="1:25" x14ac:dyDescent="0.25">
      <c r="A31" s="28"/>
      <c r="B31" s="29"/>
      <c r="C31" s="30"/>
      <c r="D31" s="31"/>
      <c r="E31" s="29" t="s">
        <v>16</v>
      </c>
      <c r="F31" s="13" t="b">
        <f>IF($E31=Categories!$A$1,"",IF($E31=Categories!$A$2,Categories!$B$2,IF($E31=Categories!$A$3,Categories!$B$3,IF($E31=Categories!$A$4,Categories!$B$4,IF($E31=Categories!$A$5,Categories!$B$5,IF($E31=Categories!$A$6,Categories!$B$6,IF($E31=Categories!$A$7,Categories!$B$7,IF($E31=Categories!$A$8,Categories!$B$8,IF($E31=Categories!$A$9,Categories!$B$9,IF($E31=Categories!$A$10,Categories!$B$10,IF($E31=Categories!$A$11,Categories!$B$11,IF($E31=Categories!$A$12,Categories!$B$12,IF($E31=Categories!$A$13,Categories!$B$13,IF($E31=Categories!$A$14,Categories!$B$14,IF($E31=Categories!$A$15,Categories!$B$15,IF($E31=Categories!$A$16,Categories!$B$16,IF($E31=Categories!$A$17,Categories!$B$17,IF($E31=Categories!$A$18,Categories!$B$18,IF($E31=Categories!$A$19,Categories!$B$19)))))))))))))))))))</f>
        <v>0</v>
      </c>
      <c r="G31" s="9" t="str">
        <f t="shared" si="0"/>
        <v/>
      </c>
      <c r="H31" s="1" t="str">
        <f t="shared" si="1"/>
        <v/>
      </c>
      <c r="I31" s="1" t="str">
        <f t="shared" si="2"/>
        <v/>
      </c>
      <c r="J31" s="1" t="str">
        <f t="shared" si="3"/>
        <v/>
      </c>
      <c r="K31" s="13" t="str">
        <f t="shared" si="4"/>
        <v/>
      </c>
      <c r="L31" s="9" t="str">
        <f t="shared" si="5"/>
        <v/>
      </c>
      <c r="M31" s="1" t="str">
        <f t="shared" si="6"/>
        <v/>
      </c>
      <c r="N31" s="1" t="str">
        <f t="shared" si="7"/>
        <v/>
      </c>
      <c r="O31" s="1" t="str">
        <f t="shared" si="8"/>
        <v/>
      </c>
      <c r="P31" s="1" t="str">
        <f t="shared" si="9"/>
        <v/>
      </c>
      <c r="Q31" s="1" t="str">
        <f t="shared" si="10"/>
        <v/>
      </c>
      <c r="R31" s="1" t="str">
        <f t="shared" si="11"/>
        <v/>
      </c>
      <c r="S31" s="1" t="str">
        <f t="shared" si="12"/>
        <v/>
      </c>
      <c r="T31" s="1" t="str">
        <f t="shared" si="13"/>
        <v/>
      </c>
      <c r="U31" s="1" t="str">
        <f t="shared" si="14"/>
        <v/>
      </c>
      <c r="V31" s="1" t="str">
        <f t="shared" si="15"/>
        <v/>
      </c>
      <c r="W31" s="26" t="str">
        <f t="shared" si="16"/>
        <v/>
      </c>
      <c r="X31" s="13" t="str">
        <f t="shared" si="17"/>
        <v/>
      </c>
      <c r="Y31" s="9">
        <f t="shared" si="18"/>
        <v>0</v>
      </c>
    </row>
    <row r="32" spans="1:25" x14ac:dyDescent="0.25">
      <c r="A32" s="28"/>
      <c r="B32" s="29"/>
      <c r="C32" s="30"/>
      <c r="D32" s="31"/>
      <c r="E32" s="29" t="s">
        <v>16</v>
      </c>
      <c r="F32" s="13" t="b">
        <f>IF($E32=Categories!$A$1,"",IF($E32=Categories!$A$2,Categories!$B$2,IF($E32=Categories!$A$3,Categories!$B$3,IF($E32=Categories!$A$4,Categories!$B$4,IF($E32=Categories!$A$5,Categories!$B$5,IF($E32=Categories!$A$6,Categories!$B$6,IF($E32=Categories!$A$7,Categories!$B$7,IF($E32=Categories!$A$8,Categories!$B$8,IF($E32=Categories!$A$9,Categories!$B$9,IF($E32=Categories!$A$10,Categories!$B$10,IF($E32=Categories!$A$11,Categories!$B$11,IF($E32=Categories!$A$12,Categories!$B$12,IF($E32=Categories!$A$13,Categories!$B$13,IF($E32=Categories!$A$14,Categories!$B$14,IF($E32=Categories!$A$15,Categories!$B$15,IF($E32=Categories!$A$16,Categories!$B$16,IF($E32=Categories!$A$17,Categories!$B$17,IF($E32=Categories!$A$18,Categories!$B$18,IF($E32=Categories!$A$19,Categories!$B$19)))))))))))))))))))</f>
        <v>0</v>
      </c>
      <c r="G32" s="9" t="str">
        <f t="shared" si="0"/>
        <v/>
      </c>
      <c r="H32" s="1" t="str">
        <f t="shared" si="1"/>
        <v/>
      </c>
      <c r="I32" s="1" t="str">
        <f t="shared" si="2"/>
        <v/>
      </c>
      <c r="J32" s="1" t="str">
        <f t="shared" si="3"/>
        <v/>
      </c>
      <c r="K32" s="13" t="str">
        <f t="shared" si="4"/>
        <v/>
      </c>
      <c r="L32" s="9" t="str">
        <f t="shared" si="5"/>
        <v/>
      </c>
      <c r="M32" s="1" t="str">
        <f t="shared" si="6"/>
        <v/>
      </c>
      <c r="N32" s="1" t="str">
        <f t="shared" si="7"/>
        <v/>
      </c>
      <c r="O32" s="1" t="str">
        <f t="shared" si="8"/>
        <v/>
      </c>
      <c r="P32" s="1" t="str">
        <f t="shared" si="9"/>
        <v/>
      </c>
      <c r="Q32" s="1" t="str">
        <f t="shared" si="10"/>
        <v/>
      </c>
      <c r="R32" s="1" t="str">
        <f t="shared" si="11"/>
        <v/>
      </c>
      <c r="S32" s="1" t="str">
        <f t="shared" si="12"/>
        <v/>
      </c>
      <c r="T32" s="1" t="str">
        <f t="shared" si="13"/>
        <v/>
      </c>
      <c r="U32" s="1" t="str">
        <f t="shared" si="14"/>
        <v/>
      </c>
      <c r="V32" s="1" t="str">
        <f t="shared" si="15"/>
        <v/>
      </c>
      <c r="W32" s="26" t="str">
        <f t="shared" si="16"/>
        <v/>
      </c>
      <c r="X32" s="13" t="str">
        <f t="shared" si="17"/>
        <v/>
      </c>
      <c r="Y32" s="9">
        <f t="shared" si="18"/>
        <v>0</v>
      </c>
    </row>
    <row r="33" spans="1:25" x14ac:dyDescent="0.25">
      <c r="A33" s="28"/>
      <c r="B33" s="29"/>
      <c r="C33" s="30"/>
      <c r="D33" s="31"/>
      <c r="E33" s="29" t="s">
        <v>16</v>
      </c>
      <c r="F33" s="13" t="b">
        <f>IF($E33=Categories!$A$1,"",IF($E33=Categories!$A$2,Categories!$B$2,IF($E33=Categories!$A$3,Categories!$B$3,IF($E33=Categories!$A$4,Categories!$B$4,IF($E33=Categories!$A$5,Categories!$B$5,IF($E33=Categories!$A$6,Categories!$B$6,IF($E33=Categories!$A$7,Categories!$B$7,IF($E33=Categories!$A$8,Categories!$B$8,IF($E33=Categories!$A$9,Categories!$B$9,IF($E33=Categories!$A$10,Categories!$B$10,IF($E33=Categories!$A$11,Categories!$B$11,IF($E33=Categories!$A$12,Categories!$B$12,IF($E33=Categories!$A$13,Categories!$B$13,IF($E33=Categories!$A$14,Categories!$B$14,IF($E33=Categories!$A$15,Categories!$B$15,IF($E33=Categories!$A$16,Categories!$B$16,IF($E33=Categories!$A$17,Categories!$B$17,IF($E33=Categories!$A$18,Categories!$B$18,IF($E33=Categories!$A$19,Categories!$B$19)))))))))))))))))))</f>
        <v>0</v>
      </c>
      <c r="G33" s="9" t="str">
        <f t="shared" si="0"/>
        <v/>
      </c>
      <c r="H33" s="1" t="str">
        <f t="shared" si="1"/>
        <v/>
      </c>
      <c r="I33" s="1" t="str">
        <f t="shared" si="2"/>
        <v/>
      </c>
      <c r="J33" s="1" t="str">
        <f t="shared" si="3"/>
        <v/>
      </c>
      <c r="K33" s="13" t="str">
        <f t="shared" si="4"/>
        <v/>
      </c>
      <c r="L33" s="9" t="str">
        <f t="shared" si="5"/>
        <v/>
      </c>
      <c r="M33" s="1" t="str">
        <f t="shared" si="6"/>
        <v/>
      </c>
      <c r="N33" s="1" t="str">
        <f t="shared" si="7"/>
        <v/>
      </c>
      <c r="O33" s="1" t="str">
        <f t="shared" si="8"/>
        <v/>
      </c>
      <c r="P33" s="1" t="str">
        <f t="shared" si="9"/>
        <v/>
      </c>
      <c r="Q33" s="1" t="str">
        <f t="shared" si="10"/>
        <v/>
      </c>
      <c r="R33" s="1" t="str">
        <f t="shared" si="11"/>
        <v/>
      </c>
      <c r="S33" s="1" t="str">
        <f t="shared" si="12"/>
        <v/>
      </c>
      <c r="T33" s="1" t="str">
        <f t="shared" si="13"/>
        <v/>
      </c>
      <c r="U33" s="1" t="str">
        <f t="shared" si="14"/>
        <v/>
      </c>
      <c r="V33" s="1" t="str">
        <f t="shared" si="15"/>
        <v/>
      </c>
      <c r="W33" s="26" t="str">
        <f t="shared" si="16"/>
        <v/>
      </c>
      <c r="X33" s="13" t="str">
        <f t="shared" si="17"/>
        <v/>
      </c>
      <c r="Y33" s="9">
        <f t="shared" si="18"/>
        <v>0</v>
      </c>
    </row>
    <row r="34" spans="1:25" x14ac:dyDescent="0.25">
      <c r="A34" s="28"/>
      <c r="B34" s="29"/>
      <c r="C34" s="30"/>
      <c r="D34" s="31"/>
      <c r="E34" s="29" t="s">
        <v>16</v>
      </c>
      <c r="F34" s="13" t="b">
        <f>IF($E34=Categories!$A$1,"",IF($E34=Categories!$A$2,Categories!$B$2,IF($E34=Categories!$A$3,Categories!$B$3,IF($E34=Categories!$A$4,Categories!$B$4,IF($E34=Categories!$A$5,Categories!$B$5,IF($E34=Categories!$A$6,Categories!$B$6,IF($E34=Categories!$A$7,Categories!$B$7,IF($E34=Categories!$A$8,Categories!$B$8,IF($E34=Categories!$A$9,Categories!$B$9,IF($E34=Categories!$A$10,Categories!$B$10,IF($E34=Categories!$A$11,Categories!$B$11,IF($E34=Categories!$A$12,Categories!$B$12,IF($E34=Categories!$A$13,Categories!$B$13,IF($E34=Categories!$A$14,Categories!$B$14,IF($E34=Categories!$A$15,Categories!$B$15,IF($E34=Categories!$A$16,Categories!$B$16,IF($E34=Categories!$A$17,Categories!$B$17,IF($E34=Categories!$A$18,Categories!$B$18,IF($E34=Categories!$A$19,Categories!$B$19)))))))))))))))))))</f>
        <v>0</v>
      </c>
      <c r="G34" s="9" t="str">
        <f t="shared" si="0"/>
        <v/>
      </c>
      <c r="H34" s="1" t="str">
        <f t="shared" si="1"/>
        <v/>
      </c>
      <c r="I34" s="1" t="str">
        <f t="shared" si="2"/>
        <v/>
      </c>
      <c r="J34" s="1" t="str">
        <f t="shared" si="3"/>
        <v/>
      </c>
      <c r="K34" s="13" t="str">
        <f t="shared" si="4"/>
        <v/>
      </c>
      <c r="L34" s="9" t="str">
        <f t="shared" si="5"/>
        <v/>
      </c>
      <c r="M34" s="1" t="str">
        <f t="shared" si="6"/>
        <v/>
      </c>
      <c r="N34" s="1" t="str">
        <f t="shared" si="7"/>
        <v/>
      </c>
      <c r="O34" s="1" t="str">
        <f t="shared" si="8"/>
        <v/>
      </c>
      <c r="P34" s="1" t="str">
        <f t="shared" si="9"/>
        <v/>
      </c>
      <c r="Q34" s="1" t="str">
        <f t="shared" si="10"/>
        <v/>
      </c>
      <c r="R34" s="1" t="str">
        <f t="shared" si="11"/>
        <v/>
      </c>
      <c r="S34" s="1" t="str">
        <f t="shared" si="12"/>
        <v/>
      </c>
      <c r="T34" s="1" t="str">
        <f t="shared" si="13"/>
        <v/>
      </c>
      <c r="U34" s="1" t="str">
        <f t="shared" si="14"/>
        <v/>
      </c>
      <c r="V34" s="1" t="str">
        <f t="shared" si="15"/>
        <v/>
      </c>
      <c r="W34" s="26" t="str">
        <f t="shared" si="16"/>
        <v/>
      </c>
      <c r="X34" s="13" t="str">
        <f t="shared" si="17"/>
        <v/>
      </c>
      <c r="Y34" s="9">
        <f t="shared" si="18"/>
        <v>0</v>
      </c>
    </row>
    <row r="35" spans="1:25" x14ac:dyDescent="0.25">
      <c r="A35" s="28"/>
      <c r="B35" s="29"/>
      <c r="C35" s="30"/>
      <c r="D35" s="31"/>
      <c r="E35" s="29" t="s">
        <v>16</v>
      </c>
      <c r="F35" s="13" t="b">
        <f>IF($E35=Categories!$A$1,"",IF($E35=Categories!$A$2,Categories!$B$2,IF($E35=Categories!$A$3,Categories!$B$3,IF($E35=Categories!$A$4,Categories!$B$4,IF($E35=Categories!$A$5,Categories!$B$5,IF($E35=Categories!$A$6,Categories!$B$6,IF($E35=Categories!$A$7,Categories!$B$7,IF($E35=Categories!$A$8,Categories!$B$8,IF($E35=Categories!$A$9,Categories!$B$9,IF($E35=Categories!$A$10,Categories!$B$10,IF($E35=Categories!$A$11,Categories!$B$11,IF($E35=Categories!$A$12,Categories!$B$12,IF($E35=Categories!$A$13,Categories!$B$13,IF($E35=Categories!$A$14,Categories!$B$14,IF($E35=Categories!$A$15,Categories!$B$15,IF($E35=Categories!$A$16,Categories!$B$16,IF($E35=Categories!$A$17,Categories!$B$17,IF($E35=Categories!$A$18,Categories!$B$18,IF($E35=Categories!$A$19,Categories!$B$19)))))))))))))))))))</f>
        <v>0</v>
      </c>
      <c r="G35" s="9" t="str">
        <f t="shared" si="0"/>
        <v/>
      </c>
      <c r="H35" s="1" t="str">
        <f t="shared" si="1"/>
        <v/>
      </c>
      <c r="I35" s="1" t="str">
        <f t="shared" si="2"/>
        <v/>
      </c>
      <c r="J35" s="1" t="str">
        <f t="shared" si="3"/>
        <v/>
      </c>
      <c r="K35" s="13" t="str">
        <f t="shared" si="4"/>
        <v/>
      </c>
      <c r="L35" s="9" t="str">
        <f t="shared" si="5"/>
        <v/>
      </c>
      <c r="M35" s="1" t="str">
        <f t="shared" si="6"/>
        <v/>
      </c>
      <c r="N35" s="1" t="str">
        <f t="shared" si="7"/>
        <v/>
      </c>
      <c r="O35" s="1" t="str">
        <f t="shared" si="8"/>
        <v/>
      </c>
      <c r="P35" s="1" t="str">
        <f t="shared" si="9"/>
        <v/>
      </c>
      <c r="Q35" s="1" t="str">
        <f t="shared" si="10"/>
        <v/>
      </c>
      <c r="R35" s="1" t="str">
        <f t="shared" si="11"/>
        <v/>
      </c>
      <c r="S35" s="1" t="str">
        <f t="shared" si="12"/>
        <v/>
      </c>
      <c r="T35" s="1" t="str">
        <f t="shared" si="13"/>
        <v/>
      </c>
      <c r="U35" s="1" t="str">
        <f t="shared" si="14"/>
        <v/>
      </c>
      <c r="V35" s="1" t="str">
        <f t="shared" si="15"/>
        <v/>
      </c>
      <c r="W35" s="26" t="str">
        <f t="shared" si="16"/>
        <v/>
      </c>
      <c r="X35" s="13" t="str">
        <f t="shared" si="17"/>
        <v/>
      </c>
      <c r="Y35" s="9">
        <f t="shared" si="18"/>
        <v>0</v>
      </c>
    </row>
    <row r="36" spans="1:25" x14ac:dyDescent="0.25">
      <c r="A36" s="28"/>
      <c r="B36" s="29"/>
      <c r="C36" s="30"/>
      <c r="D36" s="31"/>
      <c r="E36" s="29" t="s">
        <v>16</v>
      </c>
      <c r="F36" s="13" t="b">
        <f>IF($E36=Categories!$A$1,"",IF($E36=Categories!$A$2,Categories!$B$2,IF($E36=Categories!$A$3,Categories!$B$3,IF($E36=Categories!$A$4,Categories!$B$4,IF($E36=Categories!$A$5,Categories!$B$5,IF($E36=Categories!$A$6,Categories!$B$6,IF($E36=Categories!$A$7,Categories!$B$7,IF($E36=Categories!$A$8,Categories!$B$8,IF($E36=Categories!$A$9,Categories!$B$9,IF($E36=Categories!$A$10,Categories!$B$10,IF($E36=Categories!$A$11,Categories!$B$11,IF($E36=Categories!$A$12,Categories!$B$12,IF($E36=Categories!$A$13,Categories!$B$13,IF($E36=Categories!$A$14,Categories!$B$14,IF($E36=Categories!$A$15,Categories!$B$15,IF($E36=Categories!$A$16,Categories!$B$16,IF($E36=Categories!$A$17,Categories!$B$17,IF($E36=Categories!$A$18,Categories!$B$18,IF($E36=Categories!$A$19,Categories!$B$19)))))))))))))))))))</f>
        <v>0</v>
      </c>
      <c r="G36" s="9" t="str">
        <f t="shared" si="0"/>
        <v/>
      </c>
      <c r="H36" s="1" t="str">
        <f t="shared" si="1"/>
        <v/>
      </c>
      <c r="I36" s="1" t="str">
        <f t="shared" si="2"/>
        <v/>
      </c>
      <c r="J36" s="1" t="str">
        <f t="shared" si="3"/>
        <v/>
      </c>
      <c r="K36" s="13" t="str">
        <f t="shared" si="4"/>
        <v/>
      </c>
      <c r="L36" s="9" t="str">
        <f t="shared" si="5"/>
        <v/>
      </c>
      <c r="M36" s="1" t="str">
        <f t="shared" si="6"/>
        <v/>
      </c>
      <c r="N36" s="1" t="str">
        <f t="shared" si="7"/>
        <v/>
      </c>
      <c r="O36" s="1" t="str">
        <f t="shared" si="8"/>
        <v/>
      </c>
      <c r="P36" s="1" t="str">
        <f t="shared" si="9"/>
        <v/>
      </c>
      <c r="Q36" s="1" t="str">
        <f t="shared" si="10"/>
        <v/>
      </c>
      <c r="R36" s="1" t="str">
        <f t="shared" si="11"/>
        <v/>
      </c>
      <c r="S36" s="1" t="str">
        <f t="shared" si="12"/>
        <v/>
      </c>
      <c r="T36" s="1" t="str">
        <f t="shared" si="13"/>
        <v/>
      </c>
      <c r="U36" s="1" t="str">
        <f t="shared" si="14"/>
        <v/>
      </c>
      <c r="V36" s="1" t="str">
        <f t="shared" si="15"/>
        <v/>
      </c>
      <c r="W36" s="26" t="str">
        <f t="shared" si="16"/>
        <v/>
      </c>
      <c r="X36" s="13" t="str">
        <f t="shared" si="17"/>
        <v/>
      </c>
      <c r="Y36" s="9">
        <f t="shared" si="18"/>
        <v>0</v>
      </c>
    </row>
    <row r="37" spans="1:25" x14ac:dyDescent="0.25">
      <c r="A37" s="28"/>
      <c r="B37" s="29"/>
      <c r="C37" s="30"/>
      <c r="D37" s="31"/>
      <c r="E37" s="29" t="s">
        <v>16</v>
      </c>
      <c r="F37" s="13" t="b">
        <f>IF($E37=Categories!$A$1,"",IF($E37=Categories!$A$2,Categories!$B$2,IF($E37=Categories!$A$3,Categories!$B$3,IF($E37=Categories!$A$4,Categories!$B$4,IF($E37=Categories!$A$5,Categories!$B$5,IF($E37=Categories!$A$6,Categories!$B$6,IF($E37=Categories!$A$7,Categories!$B$7,IF($E37=Categories!$A$8,Categories!$B$8,IF($E37=Categories!$A$9,Categories!$B$9,IF($E37=Categories!$A$10,Categories!$B$10,IF($E37=Categories!$A$11,Categories!$B$11,IF($E37=Categories!$A$12,Categories!$B$12,IF($E37=Categories!$A$13,Categories!$B$13,IF($E37=Categories!$A$14,Categories!$B$14,IF($E37=Categories!$A$15,Categories!$B$15,IF($E37=Categories!$A$16,Categories!$B$16,IF($E37=Categories!$A$17,Categories!$B$17,IF($E37=Categories!$A$18,Categories!$B$18,IF($E37=Categories!$A$19,Categories!$B$19)))))))))))))))))))</f>
        <v>0</v>
      </c>
      <c r="G37" s="9" t="str">
        <f t="shared" si="0"/>
        <v/>
      </c>
      <c r="H37" s="1" t="str">
        <f t="shared" si="1"/>
        <v/>
      </c>
      <c r="I37" s="1" t="str">
        <f t="shared" si="2"/>
        <v/>
      </c>
      <c r="J37" s="1" t="str">
        <f t="shared" si="3"/>
        <v/>
      </c>
      <c r="K37" s="13" t="str">
        <f t="shared" si="4"/>
        <v/>
      </c>
      <c r="L37" s="9" t="str">
        <f t="shared" si="5"/>
        <v/>
      </c>
      <c r="M37" s="1" t="str">
        <f t="shared" si="6"/>
        <v/>
      </c>
      <c r="N37" s="1" t="str">
        <f t="shared" si="7"/>
        <v/>
      </c>
      <c r="O37" s="1" t="str">
        <f t="shared" si="8"/>
        <v/>
      </c>
      <c r="P37" s="1" t="str">
        <f t="shared" si="9"/>
        <v/>
      </c>
      <c r="Q37" s="1" t="str">
        <f t="shared" si="10"/>
        <v/>
      </c>
      <c r="R37" s="1" t="str">
        <f t="shared" si="11"/>
        <v/>
      </c>
      <c r="S37" s="1" t="str">
        <f t="shared" si="12"/>
        <v/>
      </c>
      <c r="T37" s="1" t="str">
        <f t="shared" si="13"/>
        <v/>
      </c>
      <c r="U37" s="1" t="str">
        <f t="shared" si="14"/>
        <v/>
      </c>
      <c r="V37" s="1" t="str">
        <f t="shared" si="15"/>
        <v/>
      </c>
      <c r="W37" s="26" t="str">
        <f t="shared" si="16"/>
        <v/>
      </c>
      <c r="X37" s="13" t="str">
        <f t="shared" si="17"/>
        <v/>
      </c>
      <c r="Y37" s="9">
        <f t="shared" si="18"/>
        <v>0</v>
      </c>
    </row>
    <row r="38" spans="1:25" x14ac:dyDescent="0.25">
      <c r="A38" s="28"/>
      <c r="B38" s="29"/>
      <c r="C38" s="30"/>
      <c r="D38" s="31"/>
      <c r="E38" s="29" t="s">
        <v>16</v>
      </c>
      <c r="F38" s="13" t="b">
        <f>IF($E38=Categories!$A$1,"",IF($E38=Categories!$A$2,Categories!$B$2,IF($E38=Categories!$A$3,Categories!$B$3,IF($E38=Categories!$A$4,Categories!$B$4,IF($E38=Categories!$A$5,Categories!$B$5,IF($E38=Categories!$A$6,Categories!$B$6,IF($E38=Categories!$A$7,Categories!$B$7,IF($E38=Categories!$A$8,Categories!$B$8,IF($E38=Categories!$A$9,Categories!$B$9,IF($E38=Categories!$A$10,Categories!$B$10,IF($E38=Categories!$A$11,Categories!$B$11,IF($E38=Categories!$A$12,Categories!$B$12,IF($E38=Categories!$A$13,Categories!$B$13,IF($E38=Categories!$A$14,Categories!$B$14,IF($E38=Categories!$A$15,Categories!$B$15,IF($E38=Categories!$A$16,Categories!$B$16,IF($E38=Categories!$A$17,Categories!$B$17,IF($E38=Categories!$A$18,Categories!$B$18,IF($E38=Categories!$A$19,Categories!$B$19)))))))))))))))))))</f>
        <v>0</v>
      </c>
      <c r="G38" s="9" t="str">
        <f t="shared" si="0"/>
        <v/>
      </c>
      <c r="H38" s="1" t="str">
        <f t="shared" si="1"/>
        <v/>
      </c>
      <c r="I38" s="1" t="str">
        <f t="shared" si="2"/>
        <v/>
      </c>
      <c r="J38" s="1" t="str">
        <f t="shared" si="3"/>
        <v/>
      </c>
      <c r="K38" s="13" t="str">
        <f t="shared" si="4"/>
        <v/>
      </c>
      <c r="L38" s="9" t="str">
        <f t="shared" si="5"/>
        <v/>
      </c>
      <c r="M38" s="1" t="str">
        <f t="shared" si="6"/>
        <v/>
      </c>
      <c r="N38" s="1" t="str">
        <f t="shared" si="7"/>
        <v/>
      </c>
      <c r="O38" s="1" t="str">
        <f t="shared" si="8"/>
        <v/>
      </c>
      <c r="P38" s="1" t="str">
        <f t="shared" si="9"/>
        <v/>
      </c>
      <c r="Q38" s="1" t="str">
        <f t="shared" si="10"/>
        <v/>
      </c>
      <c r="R38" s="1" t="str">
        <f t="shared" si="11"/>
        <v/>
      </c>
      <c r="S38" s="1" t="str">
        <f t="shared" si="12"/>
        <v/>
      </c>
      <c r="T38" s="1" t="str">
        <f t="shared" si="13"/>
        <v/>
      </c>
      <c r="U38" s="1" t="str">
        <f t="shared" si="14"/>
        <v/>
      </c>
      <c r="V38" s="1" t="str">
        <f t="shared" si="15"/>
        <v/>
      </c>
      <c r="W38" s="26" t="str">
        <f t="shared" si="16"/>
        <v/>
      </c>
      <c r="X38" s="13" t="str">
        <f t="shared" si="17"/>
        <v/>
      </c>
      <c r="Y38" s="9">
        <f t="shared" si="18"/>
        <v>0</v>
      </c>
    </row>
    <row r="39" spans="1:25" x14ac:dyDescent="0.25">
      <c r="A39" s="28"/>
      <c r="B39" s="29"/>
      <c r="C39" s="30"/>
      <c r="D39" s="31"/>
      <c r="E39" s="29" t="s">
        <v>16</v>
      </c>
      <c r="F39" s="13" t="b">
        <f>IF($E39=Categories!$A$1,"",IF($E39=Categories!$A$2,Categories!$B$2,IF($E39=Categories!$A$3,Categories!$B$3,IF($E39=Categories!$A$4,Categories!$B$4,IF($E39=Categories!$A$5,Categories!$B$5,IF($E39=Categories!$A$6,Categories!$B$6,IF($E39=Categories!$A$7,Categories!$B$7,IF($E39=Categories!$A$8,Categories!$B$8,IF($E39=Categories!$A$9,Categories!$B$9,IF($E39=Categories!$A$10,Categories!$B$10,IF($E39=Categories!$A$11,Categories!$B$11,IF($E39=Categories!$A$12,Categories!$B$12,IF($E39=Categories!$A$13,Categories!$B$13,IF($E39=Categories!$A$14,Categories!$B$14,IF($E39=Categories!$A$15,Categories!$B$15,IF($E39=Categories!$A$16,Categories!$B$16,IF($E39=Categories!$A$17,Categories!$B$17,IF($E39=Categories!$A$18,Categories!$B$18,IF($E39=Categories!$A$19,Categories!$B$19)))))))))))))))))))</f>
        <v>0</v>
      </c>
      <c r="G39" s="9" t="str">
        <f t="shared" si="0"/>
        <v/>
      </c>
      <c r="H39" s="1" t="str">
        <f t="shared" si="1"/>
        <v/>
      </c>
      <c r="I39" s="1" t="str">
        <f t="shared" si="2"/>
        <v/>
      </c>
      <c r="J39" s="1" t="str">
        <f t="shared" si="3"/>
        <v/>
      </c>
      <c r="K39" s="13" t="str">
        <f t="shared" si="4"/>
        <v/>
      </c>
      <c r="L39" s="9" t="str">
        <f t="shared" si="5"/>
        <v/>
      </c>
      <c r="M39" s="1" t="str">
        <f t="shared" si="6"/>
        <v/>
      </c>
      <c r="N39" s="1" t="str">
        <f t="shared" si="7"/>
        <v/>
      </c>
      <c r="O39" s="1" t="str">
        <f t="shared" si="8"/>
        <v/>
      </c>
      <c r="P39" s="1" t="str">
        <f t="shared" si="9"/>
        <v/>
      </c>
      <c r="Q39" s="1" t="str">
        <f t="shared" si="10"/>
        <v/>
      </c>
      <c r="R39" s="1" t="str">
        <f t="shared" si="11"/>
        <v/>
      </c>
      <c r="S39" s="1" t="str">
        <f t="shared" si="12"/>
        <v/>
      </c>
      <c r="T39" s="1" t="str">
        <f t="shared" si="13"/>
        <v/>
      </c>
      <c r="U39" s="1" t="str">
        <f t="shared" si="14"/>
        <v/>
      </c>
      <c r="V39" s="1" t="str">
        <f t="shared" si="15"/>
        <v/>
      </c>
      <c r="W39" s="26" t="str">
        <f t="shared" si="16"/>
        <v/>
      </c>
      <c r="X39" s="13" t="str">
        <f t="shared" si="17"/>
        <v/>
      </c>
      <c r="Y39" s="9">
        <f t="shared" si="18"/>
        <v>0</v>
      </c>
    </row>
    <row r="40" spans="1:25" x14ac:dyDescent="0.25">
      <c r="A40" s="28"/>
      <c r="B40" s="29"/>
      <c r="C40" s="30"/>
      <c r="D40" s="31"/>
      <c r="E40" s="29" t="s">
        <v>16</v>
      </c>
      <c r="F40" s="13" t="b">
        <f>IF($E40=Categories!$A$1,"",IF($E40=Categories!$A$2,Categories!$B$2,IF($E40=Categories!$A$3,Categories!$B$3,IF($E40=Categories!$A$4,Categories!$B$4,IF($E40=Categories!$A$5,Categories!$B$5,IF($E40=Categories!$A$6,Categories!$B$6,IF($E40=Categories!$A$7,Categories!$B$7,IF($E40=Categories!$A$8,Categories!$B$8,IF($E40=Categories!$A$9,Categories!$B$9,IF($E40=Categories!$A$10,Categories!$B$10,IF($E40=Categories!$A$11,Categories!$B$11,IF($E40=Categories!$A$12,Categories!$B$12,IF($E40=Categories!$A$13,Categories!$B$13,IF($E40=Categories!$A$14,Categories!$B$14,IF($E40=Categories!$A$15,Categories!$B$15,IF($E40=Categories!$A$16,Categories!$B$16,IF($E40=Categories!$A$17,Categories!$B$17,IF($E40=Categories!$A$18,Categories!$B$18,IF($E40=Categories!$A$19,Categories!$B$19)))))))))))))))))))</f>
        <v>0</v>
      </c>
      <c r="G40" s="9" t="str">
        <f t="shared" si="0"/>
        <v/>
      </c>
      <c r="H40" s="1" t="str">
        <f t="shared" si="1"/>
        <v/>
      </c>
      <c r="I40" s="1" t="str">
        <f t="shared" si="2"/>
        <v/>
      </c>
      <c r="J40" s="1" t="str">
        <f t="shared" si="3"/>
        <v/>
      </c>
      <c r="K40" s="13" t="str">
        <f t="shared" si="4"/>
        <v/>
      </c>
      <c r="L40" s="9" t="str">
        <f t="shared" si="5"/>
        <v/>
      </c>
      <c r="M40" s="1" t="str">
        <f t="shared" si="6"/>
        <v/>
      </c>
      <c r="N40" s="1" t="str">
        <f t="shared" si="7"/>
        <v/>
      </c>
      <c r="O40" s="1" t="str">
        <f t="shared" si="8"/>
        <v/>
      </c>
      <c r="P40" s="1" t="str">
        <f t="shared" si="9"/>
        <v/>
      </c>
      <c r="Q40" s="1" t="str">
        <f t="shared" si="10"/>
        <v/>
      </c>
      <c r="R40" s="1" t="str">
        <f t="shared" si="11"/>
        <v/>
      </c>
      <c r="S40" s="1" t="str">
        <f t="shared" si="12"/>
        <v/>
      </c>
      <c r="T40" s="1" t="str">
        <f t="shared" si="13"/>
        <v/>
      </c>
      <c r="U40" s="1" t="str">
        <f t="shared" si="14"/>
        <v/>
      </c>
      <c r="V40" s="1" t="str">
        <f t="shared" si="15"/>
        <v/>
      </c>
      <c r="W40" s="26" t="str">
        <f t="shared" si="16"/>
        <v/>
      </c>
      <c r="X40" s="13" t="str">
        <f t="shared" si="17"/>
        <v/>
      </c>
      <c r="Y40" s="9">
        <f t="shared" si="18"/>
        <v>0</v>
      </c>
    </row>
    <row r="41" spans="1:25" x14ac:dyDescent="0.25">
      <c r="A41" s="28"/>
      <c r="B41" s="29"/>
      <c r="C41" s="30"/>
      <c r="D41" s="31"/>
      <c r="E41" s="29" t="s">
        <v>16</v>
      </c>
      <c r="F41" s="13" t="b">
        <f>IF($E41=Categories!$A$1,"",IF($E41=Categories!$A$2,Categories!$B$2,IF($E41=Categories!$A$3,Categories!$B$3,IF($E41=Categories!$A$4,Categories!$B$4,IF($E41=Categories!$A$5,Categories!$B$5,IF($E41=Categories!$A$6,Categories!$B$6,IF($E41=Categories!$A$7,Categories!$B$7,IF($E41=Categories!$A$8,Categories!$B$8,IF($E41=Categories!$A$9,Categories!$B$9,IF($E41=Categories!$A$10,Categories!$B$10,IF($E41=Categories!$A$11,Categories!$B$11,IF($E41=Categories!$A$12,Categories!$B$12,IF($E41=Categories!$A$13,Categories!$B$13,IF($E41=Categories!$A$14,Categories!$B$14,IF($E41=Categories!$A$15,Categories!$B$15,IF($E41=Categories!$A$16,Categories!$B$16,IF($E41=Categories!$A$17,Categories!$B$17,IF($E41=Categories!$A$18,Categories!$B$18,IF($E41=Categories!$A$19,Categories!$B$19)))))))))))))))))))</f>
        <v>0</v>
      </c>
      <c r="G41" s="9" t="str">
        <f t="shared" si="0"/>
        <v/>
      </c>
      <c r="H41" s="1" t="str">
        <f t="shared" si="1"/>
        <v/>
      </c>
      <c r="I41" s="1" t="str">
        <f t="shared" si="2"/>
        <v/>
      </c>
      <c r="J41" s="1" t="str">
        <f t="shared" si="3"/>
        <v/>
      </c>
      <c r="K41" s="13" t="str">
        <f t="shared" si="4"/>
        <v/>
      </c>
      <c r="L41" s="9" t="str">
        <f t="shared" si="5"/>
        <v/>
      </c>
      <c r="M41" s="1" t="str">
        <f t="shared" si="6"/>
        <v/>
      </c>
      <c r="N41" s="1" t="str">
        <f t="shared" si="7"/>
        <v/>
      </c>
      <c r="O41" s="1" t="str">
        <f t="shared" si="8"/>
        <v/>
      </c>
      <c r="P41" s="1" t="str">
        <f t="shared" si="9"/>
        <v/>
      </c>
      <c r="Q41" s="1" t="str">
        <f t="shared" si="10"/>
        <v/>
      </c>
      <c r="R41" s="1" t="str">
        <f t="shared" si="11"/>
        <v/>
      </c>
      <c r="S41" s="1" t="str">
        <f t="shared" si="12"/>
        <v/>
      </c>
      <c r="T41" s="1" t="str">
        <f t="shared" si="13"/>
        <v/>
      </c>
      <c r="U41" s="1" t="str">
        <f t="shared" si="14"/>
        <v/>
      </c>
      <c r="V41" s="1" t="str">
        <f t="shared" si="15"/>
        <v/>
      </c>
      <c r="W41" s="26" t="str">
        <f t="shared" si="16"/>
        <v/>
      </c>
      <c r="X41" s="13" t="str">
        <f t="shared" si="17"/>
        <v/>
      </c>
      <c r="Y41" s="9">
        <f t="shared" si="18"/>
        <v>0</v>
      </c>
    </row>
    <row r="42" spans="1:25" x14ac:dyDescent="0.25">
      <c r="A42" s="28"/>
      <c r="B42" s="29"/>
      <c r="C42" s="30"/>
      <c r="D42" s="31"/>
      <c r="E42" s="29" t="s">
        <v>16</v>
      </c>
      <c r="F42" s="13" t="b">
        <f>IF($E42=Categories!$A$1,"",IF($E42=Categories!$A$2,Categories!$B$2,IF($E42=Categories!$A$3,Categories!$B$3,IF($E42=Categories!$A$4,Categories!$B$4,IF($E42=Categories!$A$5,Categories!$B$5,IF($E42=Categories!$A$6,Categories!$B$6,IF($E42=Categories!$A$7,Categories!$B$7,IF($E42=Categories!$A$8,Categories!$B$8,IF($E42=Categories!$A$9,Categories!$B$9,IF($E42=Categories!$A$10,Categories!$B$10,IF($E42=Categories!$A$11,Categories!$B$11,IF($E42=Categories!$A$12,Categories!$B$12,IF($E42=Categories!$A$13,Categories!$B$13,IF($E42=Categories!$A$14,Categories!$B$14,IF($E42=Categories!$A$15,Categories!$B$15,IF($E42=Categories!$A$16,Categories!$B$16,IF($E42=Categories!$A$17,Categories!$B$17,IF($E42=Categories!$A$18,Categories!$B$18,IF($E42=Categories!$A$19,Categories!$B$19)))))))))))))))))))</f>
        <v>0</v>
      </c>
      <c r="G42" s="9" t="str">
        <f t="shared" si="0"/>
        <v/>
      </c>
      <c r="H42" s="1" t="str">
        <f t="shared" si="1"/>
        <v/>
      </c>
      <c r="I42" s="1" t="str">
        <f t="shared" si="2"/>
        <v/>
      </c>
      <c r="J42" s="1" t="str">
        <f t="shared" si="3"/>
        <v/>
      </c>
      <c r="K42" s="13" t="str">
        <f t="shared" si="4"/>
        <v/>
      </c>
      <c r="L42" s="9" t="str">
        <f t="shared" si="5"/>
        <v/>
      </c>
      <c r="M42" s="1" t="str">
        <f t="shared" si="6"/>
        <v/>
      </c>
      <c r="N42" s="1" t="str">
        <f t="shared" si="7"/>
        <v/>
      </c>
      <c r="O42" s="1" t="str">
        <f t="shared" si="8"/>
        <v/>
      </c>
      <c r="P42" s="1" t="str">
        <f t="shared" si="9"/>
        <v/>
      </c>
      <c r="Q42" s="1" t="str">
        <f t="shared" si="10"/>
        <v/>
      </c>
      <c r="R42" s="1" t="str">
        <f t="shared" si="11"/>
        <v/>
      </c>
      <c r="S42" s="1" t="str">
        <f t="shared" si="12"/>
        <v/>
      </c>
      <c r="T42" s="1" t="str">
        <f t="shared" si="13"/>
        <v/>
      </c>
      <c r="U42" s="1" t="str">
        <f t="shared" si="14"/>
        <v/>
      </c>
      <c r="V42" s="1" t="str">
        <f t="shared" si="15"/>
        <v/>
      </c>
      <c r="W42" s="26" t="str">
        <f t="shared" si="16"/>
        <v/>
      </c>
      <c r="X42" s="13" t="str">
        <f t="shared" si="17"/>
        <v/>
      </c>
      <c r="Y42" s="9">
        <f t="shared" si="18"/>
        <v>0</v>
      </c>
    </row>
    <row r="43" spans="1:25" x14ac:dyDescent="0.25">
      <c r="A43" s="28"/>
      <c r="B43" s="29"/>
      <c r="C43" s="30"/>
      <c r="D43" s="31"/>
      <c r="E43" s="29" t="s">
        <v>16</v>
      </c>
      <c r="F43" s="13" t="b">
        <f>IF($E43=Categories!$A$1,"",IF($E43=Categories!$A$2,Categories!$B$2,IF($E43=Categories!$A$3,Categories!$B$3,IF($E43=Categories!$A$4,Categories!$B$4,IF($E43=Categories!$A$5,Categories!$B$5,IF($E43=Categories!$A$6,Categories!$B$6,IF($E43=Categories!$A$7,Categories!$B$7,IF($E43=Categories!$A$8,Categories!$B$8,IF($E43=Categories!$A$9,Categories!$B$9,IF($E43=Categories!$A$10,Categories!$B$10,IF($E43=Categories!$A$11,Categories!$B$11,IF($E43=Categories!$A$12,Categories!$B$12,IF($E43=Categories!$A$13,Categories!$B$13,IF($E43=Categories!$A$14,Categories!$B$14,IF($E43=Categories!$A$15,Categories!$B$15,IF($E43=Categories!$A$16,Categories!$B$16,IF($E43=Categories!$A$17,Categories!$B$17,IF($E43=Categories!$A$18,Categories!$B$18,IF($E43=Categories!$A$19,Categories!$B$19)))))))))))))))))))</f>
        <v>0</v>
      </c>
      <c r="G43" s="9" t="str">
        <f t="shared" si="0"/>
        <v/>
      </c>
      <c r="H43" s="1" t="str">
        <f t="shared" si="1"/>
        <v/>
      </c>
      <c r="I43" s="1" t="str">
        <f t="shared" si="2"/>
        <v/>
      </c>
      <c r="J43" s="1" t="str">
        <f t="shared" si="3"/>
        <v/>
      </c>
      <c r="K43" s="13" t="str">
        <f t="shared" si="4"/>
        <v/>
      </c>
      <c r="L43" s="9" t="str">
        <f t="shared" si="5"/>
        <v/>
      </c>
      <c r="M43" s="1" t="str">
        <f t="shared" si="6"/>
        <v/>
      </c>
      <c r="N43" s="1" t="str">
        <f t="shared" si="7"/>
        <v/>
      </c>
      <c r="O43" s="1" t="str">
        <f t="shared" si="8"/>
        <v/>
      </c>
      <c r="P43" s="1" t="str">
        <f t="shared" si="9"/>
        <v/>
      </c>
      <c r="Q43" s="1" t="str">
        <f t="shared" si="10"/>
        <v/>
      </c>
      <c r="R43" s="1" t="str">
        <f t="shared" si="11"/>
        <v/>
      </c>
      <c r="S43" s="1" t="str">
        <f t="shared" si="12"/>
        <v/>
      </c>
      <c r="T43" s="1" t="str">
        <f t="shared" si="13"/>
        <v/>
      </c>
      <c r="U43" s="1" t="str">
        <f t="shared" si="14"/>
        <v/>
      </c>
      <c r="V43" s="1" t="str">
        <f t="shared" si="15"/>
        <v/>
      </c>
      <c r="W43" s="26" t="str">
        <f t="shared" si="16"/>
        <v/>
      </c>
      <c r="X43" s="13" t="str">
        <f t="shared" si="17"/>
        <v/>
      </c>
      <c r="Y43" s="9">
        <f t="shared" si="18"/>
        <v>0</v>
      </c>
    </row>
    <row r="44" spans="1:25" x14ac:dyDescent="0.25">
      <c r="A44" s="28"/>
      <c r="B44" s="29"/>
      <c r="C44" s="30"/>
      <c r="D44" s="31"/>
      <c r="E44" s="29" t="s">
        <v>16</v>
      </c>
      <c r="F44" s="13" t="b">
        <f>IF($E44=Categories!$A$1,"",IF($E44=Categories!$A$2,Categories!$B$2,IF($E44=Categories!$A$3,Categories!$B$3,IF($E44=Categories!$A$4,Categories!$B$4,IF($E44=Categories!$A$5,Categories!$B$5,IF($E44=Categories!$A$6,Categories!$B$6,IF($E44=Categories!$A$7,Categories!$B$7,IF($E44=Categories!$A$8,Categories!$B$8,IF($E44=Categories!$A$9,Categories!$B$9,IF($E44=Categories!$A$10,Categories!$B$10,IF($E44=Categories!$A$11,Categories!$B$11,IF($E44=Categories!$A$12,Categories!$B$12,IF($E44=Categories!$A$13,Categories!$B$13,IF($E44=Categories!$A$14,Categories!$B$14,IF($E44=Categories!$A$15,Categories!$B$15,IF($E44=Categories!$A$16,Categories!$B$16,IF($E44=Categories!$A$17,Categories!$B$17,IF($E44=Categories!$A$18,Categories!$B$18,IF($E44=Categories!$A$19,Categories!$B$19)))))))))))))))))))</f>
        <v>0</v>
      </c>
      <c r="G44" s="9" t="str">
        <f t="shared" si="0"/>
        <v/>
      </c>
      <c r="H44" s="1" t="str">
        <f t="shared" si="1"/>
        <v/>
      </c>
      <c r="I44" s="1" t="str">
        <f t="shared" si="2"/>
        <v/>
      </c>
      <c r="J44" s="1" t="str">
        <f t="shared" si="3"/>
        <v/>
      </c>
      <c r="K44" s="13" t="str">
        <f t="shared" si="4"/>
        <v/>
      </c>
      <c r="L44" s="9" t="str">
        <f t="shared" si="5"/>
        <v/>
      </c>
      <c r="M44" s="1" t="str">
        <f t="shared" si="6"/>
        <v/>
      </c>
      <c r="N44" s="1" t="str">
        <f t="shared" si="7"/>
        <v/>
      </c>
      <c r="O44" s="1" t="str">
        <f t="shared" si="8"/>
        <v/>
      </c>
      <c r="P44" s="1" t="str">
        <f t="shared" si="9"/>
        <v/>
      </c>
      <c r="Q44" s="1" t="str">
        <f t="shared" si="10"/>
        <v/>
      </c>
      <c r="R44" s="1" t="str">
        <f t="shared" si="11"/>
        <v/>
      </c>
      <c r="S44" s="1" t="str">
        <f t="shared" si="12"/>
        <v/>
      </c>
      <c r="T44" s="1" t="str">
        <f t="shared" si="13"/>
        <v/>
      </c>
      <c r="U44" s="1" t="str">
        <f t="shared" si="14"/>
        <v/>
      </c>
      <c r="V44" s="1" t="str">
        <f t="shared" si="15"/>
        <v/>
      </c>
      <c r="W44" s="26" t="str">
        <f t="shared" si="16"/>
        <v/>
      </c>
      <c r="X44" s="13" t="str">
        <f t="shared" si="17"/>
        <v/>
      </c>
      <c r="Y44" s="9">
        <f t="shared" si="18"/>
        <v>0</v>
      </c>
    </row>
    <row r="45" spans="1:25" x14ac:dyDescent="0.25">
      <c r="A45" s="28"/>
      <c r="B45" s="29"/>
      <c r="C45" s="30"/>
      <c r="D45" s="31"/>
      <c r="E45" s="29" t="s">
        <v>16</v>
      </c>
      <c r="F45" s="13" t="b">
        <f>IF($E45=Categories!$A$1,"",IF($E45=Categories!$A$2,Categories!$B$2,IF($E45=Categories!$A$3,Categories!$B$3,IF($E45=Categories!$A$4,Categories!$B$4,IF($E45=Categories!$A$5,Categories!$B$5,IF($E45=Categories!$A$6,Categories!$B$6,IF($E45=Categories!$A$7,Categories!$B$7,IF($E45=Categories!$A$8,Categories!$B$8,IF($E45=Categories!$A$9,Categories!$B$9,IF($E45=Categories!$A$10,Categories!$B$10,IF($E45=Categories!$A$11,Categories!$B$11,IF($E45=Categories!$A$12,Categories!$B$12,IF($E45=Categories!$A$13,Categories!$B$13,IF($E45=Categories!$A$14,Categories!$B$14,IF($E45=Categories!$A$15,Categories!$B$15,IF($E45=Categories!$A$16,Categories!$B$16,IF($E45=Categories!$A$17,Categories!$B$17,IF($E45=Categories!$A$18,Categories!$B$18,IF($E45=Categories!$A$19,Categories!$B$19)))))))))))))))))))</f>
        <v>0</v>
      </c>
      <c r="G45" s="9" t="str">
        <f t="shared" si="0"/>
        <v/>
      </c>
      <c r="H45" s="1" t="str">
        <f t="shared" si="1"/>
        <v/>
      </c>
      <c r="I45" s="1" t="str">
        <f t="shared" si="2"/>
        <v/>
      </c>
      <c r="J45" s="1" t="str">
        <f t="shared" si="3"/>
        <v/>
      </c>
      <c r="K45" s="13" t="str">
        <f t="shared" si="4"/>
        <v/>
      </c>
      <c r="L45" s="9" t="str">
        <f t="shared" si="5"/>
        <v/>
      </c>
      <c r="M45" s="1" t="str">
        <f t="shared" si="6"/>
        <v/>
      </c>
      <c r="N45" s="1" t="str">
        <f t="shared" si="7"/>
        <v/>
      </c>
      <c r="O45" s="1" t="str">
        <f t="shared" si="8"/>
        <v/>
      </c>
      <c r="P45" s="1" t="str">
        <f t="shared" si="9"/>
        <v/>
      </c>
      <c r="Q45" s="1" t="str">
        <f t="shared" si="10"/>
        <v/>
      </c>
      <c r="R45" s="1" t="str">
        <f t="shared" si="11"/>
        <v/>
      </c>
      <c r="S45" s="1" t="str">
        <f t="shared" si="12"/>
        <v/>
      </c>
      <c r="T45" s="1" t="str">
        <f t="shared" si="13"/>
        <v/>
      </c>
      <c r="U45" s="1" t="str">
        <f t="shared" si="14"/>
        <v/>
      </c>
      <c r="V45" s="1" t="str">
        <f t="shared" si="15"/>
        <v/>
      </c>
      <c r="W45" s="26" t="str">
        <f t="shared" si="16"/>
        <v/>
      </c>
      <c r="X45" s="13" t="str">
        <f t="shared" si="17"/>
        <v/>
      </c>
      <c r="Y45" s="9">
        <f t="shared" si="18"/>
        <v>0</v>
      </c>
    </row>
    <row r="46" spans="1:25" x14ac:dyDescent="0.25">
      <c r="A46" s="28"/>
      <c r="B46" s="29"/>
      <c r="C46" s="30"/>
      <c r="D46" s="31"/>
      <c r="E46" s="29" t="s">
        <v>16</v>
      </c>
      <c r="F46" s="13" t="b">
        <f>IF($E46=Categories!$A$1,"",IF($E46=Categories!$A$2,Categories!$B$2,IF($E46=Categories!$A$3,Categories!$B$3,IF($E46=Categories!$A$4,Categories!$B$4,IF($E46=Categories!$A$5,Categories!$B$5,IF($E46=Categories!$A$6,Categories!$B$6,IF($E46=Categories!$A$7,Categories!$B$7,IF($E46=Categories!$A$8,Categories!$B$8,IF($E46=Categories!$A$9,Categories!$B$9,IF($E46=Categories!$A$10,Categories!$B$10,IF($E46=Categories!$A$11,Categories!$B$11,IF($E46=Categories!$A$12,Categories!$B$12,IF($E46=Categories!$A$13,Categories!$B$13,IF($E46=Categories!$A$14,Categories!$B$14,IF($E46=Categories!$A$15,Categories!$B$15,IF($E46=Categories!$A$16,Categories!$B$16,IF($E46=Categories!$A$17,Categories!$B$17,IF($E46=Categories!$A$18,Categories!$B$18,IF($E46=Categories!$A$19,Categories!$B$19)))))))))))))))))))</f>
        <v>0</v>
      </c>
      <c r="G46" s="9" t="str">
        <f t="shared" si="0"/>
        <v/>
      </c>
      <c r="H46" s="1" t="str">
        <f t="shared" si="1"/>
        <v/>
      </c>
      <c r="I46" s="1" t="str">
        <f t="shared" si="2"/>
        <v/>
      </c>
      <c r="J46" s="1" t="str">
        <f t="shared" si="3"/>
        <v/>
      </c>
      <c r="K46" s="13" t="str">
        <f t="shared" si="4"/>
        <v/>
      </c>
      <c r="L46" s="9" t="str">
        <f t="shared" si="5"/>
        <v/>
      </c>
      <c r="M46" s="1" t="str">
        <f t="shared" si="6"/>
        <v/>
      </c>
      <c r="N46" s="1" t="str">
        <f t="shared" si="7"/>
        <v/>
      </c>
      <c r="O46" s="1" t="str">
        <f t="shared" si="8"/>
        <v/>
      </c>
      <c r="P46" s="1" t="str">
        <f t="shared" si="9"/>
        <v/>
      </c>
      <c r="Q46" s="1" t="str">
        <f t="shared" si="10"/>
        <v/>
      </c>
      <c r="R46" s="1" t="str">
        <f t="shared" si="11"/>
        <v/>
      </c>
      <c r="S46" s="1" t="str">
        <f t="shared" si="12"/>
        <v/>
      </c>
      <c r="T46" s="1" t="str">
        <f t="shared" si="13"/>
        <v/>
      </c>
      <c r="U46" s="1" t="str">
        <f t="shared" si="14"/>
        <v/>
      </c>
      <c r="V46" s="1" t="str">
        <f t="shared" si="15"/>
        <v/>
      </c>
      <c r="W46" s="26" t="str">
        <f t="shared" si="16"/>
        <v/>
      </c>
      <c r="X46" s="13" t="str">
        <f t="shared" si="17"/>
        <v/>
      </c>
      <c r="Y46" s="9">
        <f t="shared" si="18"/>
        <v>0</v>
      </c>
    </row>
    <row r="47" spans="1:25" x14ac:dyDescent="0.25">
      <c r="A47" s="28"/>
      <c r="B47" s="29"/>
      <c r="C47" s="30"/>
      <c r="D47" s="31"/>
      <c r="E47" s="29" t="s">
        <v>16</v>
      </c>
      <c r="F47" s="13" t="b">
        <f>IF($E47=Categories!$A$1,"",IF($E47=Categories!$A$2,Categories!$B$2,IF($E47=Categories!$A$3,Categories!$B$3,IF($E47=Categories!$A$4,Categories!$B$4,IF($E47=Categories!$A$5,Categories!$B$5,IF($E47=Categories!$A$6,Categories!$B$6,IF($E47=Categories!$A$7,Categories!$B$7,IF($E47=Categories!$A$8,Categories!$B$8,IF($E47=Categories!$A$9,Categories!$B$9,IF($E47=Categories!$A$10,Categories!$B$10,IF($E47=Categories!$A$11,Categories!$B$11,IF($E47=Categories!$A$12,Categories!$B$12,IF($E47=Categories!$A$13,Categories!$B$13,IF($E47=Categories!$A$14,Categories!$B$14,IF($E47=Categories!$A$15,Categories!$B$15,IF($E47=Categories!$A$16,Categories!$B$16,IF($E47=Categories!$A$17,Categories!$B$17,IF($E47=Categories!$A$18,Categories!$B$18,IF($E47=Categories!$A$19,Categories!$B$19)))))))))))))))))))</f>
        <v>0</v>
      </c>
      <c r="G47" s="9" t="str">
        <f t="shared" si="0"/>
        <v/>
      </c>
      <c r="H47" s="1" t="str">
        <f t="shared" si="1"/>
        <v/>
      </c>
      <c r="I47" s="1" t="str">
        <f t="shared" si="2"/>
        <v/>
      </c>
      <c r="J47" s="1" t="str">
        <f t="shared" si="3"/>
        <v/>
      </c>
      <c r="K47" s="13" t="str">
        <f t="shared" si="4"/>
        <v/>
      </c>
      <c r="L47" s="9" t="str">
        <f t="shared" si="5"/>
        <v/>
      </c>
      <c r="M47" s="1" t="str">
        <f t="shared" si="6"/>
        <v/>
      </c>
      <c r="N47" s="1" t="str">
        <f t="shared" si="7"/>
        <v/>
      </c>
      <c r="O47" s="1" t="str">
        <f t="shared" si="8"/>
        <v/>
      </c>
      <c r="P47" s="1" t="str">
        <f t="shared" si="9"/>
        <v/>
      </c>
      <c r="Q47" s="1" t="str">
        <f t="shared" si="10"/>
        <v/>
      </c>
      <c r="R47" s="1" t="str">
        <f t="shared" si="11"/>
        <v/>
      </c>
      <c r="S47" s="1" t="str">
        <f t="shared" si="12"/>
        <v/>
      </c>
      <c r="T47" s="1" t="str">
        <f t="shared" si="13"/>
        <v/>
      </c>
      <c r="U47" s="1" t="str">
        <f t="shared" si="14"/>
        <v/>
      </c>
      <c r="V47" s="1" t="str">
        <f t="shared" si="15"/>
        <v/>
      </c>
      <c r="W47" s="26" t="str">
        <f t="shared" si="16"/>
        <v/>
      </c>
      <c r="X47" s="13" t="str">
        <f t="shared" si="17"/>
        <v/>
      </c>
      <c r="Y47" s="9">
        <f t="shared" si="18"/>
        <v>0</v>
      </c>
    </row>
    <row r="48" spans="1:25" x14ac:dyDescent="0.25">
      <c r="A48" s="28"/>
      <c r="B48" s="29"/>
      <c r="C48" s="30"/>
      <c r="D48" s="31"/>
      <c r="E48" s="29" t="s">
        <v>16</v>
      </c>
      <c r="F48" s="13" t="b">
        <f>IF($E48=Categories!$A$1,"",IF($E48=Categories!$A$2,Categories!$B$2,IF($E48=Categories!$A$3,Categories!$B$3,IF($E48=Categories!$A$4,Categories!$B$4,IF($E48=Categories!$A$5,Categories!$B$5,IF($E48=Categories!$A$6,Categories!$B$6,IF($E48=Categories!$A$7,Categories!$B$7,IF($E48=Categories!$A$8,Categories!$B$8,IF($E48=Categories!$A$9,Categories!$B$9,IF($E48=Categories!$A$10,Categories!$B$10,IF($E48=Categories!$A$11,Categories!$B$11,IF($E48=Categories!$A$12,Categories!$B$12,IF($E48=Categories!$A$13,Categories!$B$13,IF($E48=Categories!$A$14,Categories!$B$14,IF($E48=Categories!$A$15,Categories!$B$15,IF($E48=Categories!$A$16,Categories!$B$16,IF($E48=Categories!$A$17,Categories!$B$17,IF($E48=Categories!$A$18,Categories!$B$18,IF($E48=Categories!$A$19,Categories!$B$19)))))))))))))))))))</f>
        <v>0</v>
      </c>
      <c r="G48" s="9" t="str">
        <f t="shared" si="0"/>
        <v/>
      </c>
      <c r="H48" s="1" t="str">
        <f t="shared" si="1"/>
        <v/>
      </c>
      <c r="I48" s="1" t="str">
        <f t="shared" si="2"/>
        <v/>
      </c>
      <c r="J48" s="1" t="str">
        <f t="shared" si="3"/>
        <v/>
      </c>
      <c r="K48" s="13" t="str">
        <f t="shared" si="4"/>
        <v/>
      </c>
      <c r="L48" s="9" t="str">
        <f t="shared" si="5"/>
        <v/>
      </c>
      <c r="M48" s="1" t="str">
        <f t="shared" si="6"/>
        <v/>
      </c>
      <c r="N48" s="1" t="str">
        <f t="shared" si="7"/>
        <v/>
      </c>
      <c r="O48" s="1" t="str">
        <f t="shared" si="8"/>
        <v/>
      </c>
      <c r="P48" s="1" t="str">
        <f t="shared" si="9"/>
        <v/>
      </c>
      <c r="Q48" s="1" t="str">
        <f t="shared" si="10"/>
        <v/>
      </c>
      <c r="R48" s="1" t="str">
        <f t="shared" si="11"/>
        <v/>
      </c>
      <c r="S48" s="1" t="str">
        <f t="shared" si="12"/>
        <v/>
      </c>
      <c r="T48" s="1" t="str">
        <f t="shared" si="13"/>
        <v/>
      </c>
      <c r="U48" s="1" t="str">
        <f t="shared" si="14"/>
        <v/>
      </c>
      <c r="V48" s="1" t="str">
        <f t="shared" si="15"/>
        <v/>
      </c>
      <c r="W48" s="26" t="str">
        <f t="shared" si="16"/>
        <v/>
      </c>
      <c r="X48" s="13" t="str">
        <f t="shared" si="17"/>
        <v/>
      </c>
      <c r="Y48" s="9">
        <f t="shared" si="18"/>
        <v>0</v>
      </c>
    </row>
    <row r="49" spans="1:25" x14ac:dyDescent="0.25">
      <c r="A49" s="28"/>
      <c r="B49" s="29"/>
      <c r="C49" s="30"/>
      <c r="D49" s="31"/>
      <c r="E49" s="29" t="s">
        <v>16</v>
      </c>
      <c r="F49" s="13" t="b">
        <f>IF($E49=Categories!$A$1,"",IF($E49=Categories!$A$2,Categories!$B$2,IF($E49=Categories!$A$3,Categories!$B$3,IF($E49=Categories!$A$4,Categories!$B$4,IF($E49=Categories!$A$5,Categories!$B$5,IF($E49=Categories!$A$6,Categories!$B$6,IF($E49=Categories!$A$7,Categories!$B$7,IF($E49=Categories!$A$8,Categories!$B$8,IF($E49=Categories!$A$9,Categories!$B$9,IF($E49=Categories!$A$10,Categories!$B$10,IF($E49=Categories!$A$11,Categories!$B$11,IF($E49=Categories!$A$12,Categories!$B$12,IF($E49=Categories!$A$13,Categories!$B$13,IF($E49=Categories!$A$14,Categories!$B$14,IF($E49=Categories!$A$15,Categories!$B$15,IF($E49=Categories!$A$16,Categories!$B$16,IF($E49=Categories!$A$17,Categories!$B$17,IF($E49=Categories!$A$18,Categories!$B$18,IF($E49=Categories!$A$19,Categories!$B$19)))))))))))))))))))</f>
        <v>0</v>
      </c>
      <c r="G49" s="9" t="str">
        <f t="shared" si="0"/>
        <v/>
      </c>
      <c r="H49" s="1" t="str">
        <f t="shared" si="1"/>
        <v/>
      </c>
      <c r="I49" s="1" t="str">
        <f t="shared" si="2"/>
        <v/>
      </c>
      <c r="J49" s="1" t="str">
        <f t="shared" si="3"/>
        <v/>
      </c>
      <c r="K49" s="13" t="str">
        <f t="shared" si="4"/>
        <v/>
      </c>
      <c r="L49" s="9" t="str">
        <f t="shared" si="5"/>
        <v/>
      </c>
      <c r="M49" s="1" t="str">
        <f t="shared" si="6"/>
        <v/>
      </c>
      <c r="N49" s="1" t="str">
        <f t="shared" si="7"/>
        <v/>
      </c>
      <c r="O49" s="1" t="str">
        <f t="shared" si="8"/>
        <v/>
      </c>
      <c r="P49" s="1" t="str">
        <f t="shared" si="9"/>
        <v/>
      </c>
      <c r="Q49" s="1" t="str">
        <f t="shared" si="10"/>
        <v/>
      </c>
      <c r="R49" s="1" t="str">
        <f t="shared" si="11"/>
        <v/>
      </c>
      <c r="S49" s="1" t="str">
        <f t="shared" si="12"/>
        <v/>
      </c>
      <c r="T49" s="1" t="str">
        <f t="shared" si="13"/>
        <v/>
      </c>
      <c r="U49" s="1" t="str">
        <f t="shared" si="14"/>
        <v/>
      </c>
      <c r="V49" s="1" t="str">
        <f t="shared" si="15"/>
        <v/>
      </c>
      <c r="W49" s="26" t="str">
        <f t="shared" si="16"/>
        <v/>
      </c>
      <c r="X49" s="13" t="str">
        <f t="shared" si="17"/>
        <v/>
      </c>
      <c r="Y49" s="9">
        <f t="shared" si="18"/>
        <v>0</v>
      </c>
    </row>
    <row r="50" spans="1:25" x14ac:dyDescent="0.25">
      <c r="A50" s="28"/>
      <c r="B50" s="29"/>
      <c r="C50" s="30"/>
      <c r="D50" s="31"/>
      <c r="E50" s="29" t="s">
        <v>16</v>
      </c>
      <c r="F50" s="13" t="b">
        <f>IF($E50=Categories!$A$1,"",IF($E50=Categories!$A$2,Categories!$B$2,IF($E50=Categories!$A$3,Categories!$B$3,IF($E50=Categories!$A$4,Categories!$B$4,IF($E50=Categories!$A$5,Categories!$B$5,IF($E50=Categories!$A$6,Categories!$B$6,IF($E50=Categories!$A$7,Categories!$B$7,IF($E50=Categories!$A$8,Categories!$B$8,IF($E50=Categories!$A$9,Categories!$B$9,IF($E50=Categories!$A$10,Categories!$B$10,IF($E50=Categories!$A$11,Categories!$B$11,IF($E50=Categories!$A$12,Categories!$B$12,IF($E50=Categories!$A$13,Categories!$B$13,IF($E50=Categories!$A$14,Categories!$B$14,IF($E50=Categories!$A$15,Categories!$B$15,IF($E50=Categories!$A$16,Categories!$B$16,IF($E50=Categories!$A$17,Categories!$B$17,IF($E50=Categories!$A$18,Categories!$B$18,IF($E50=Categories!$A$19,Categories!$B$19)))))))))))))))))))</f>
        <v>0</v>
      </c>
      <c r="G50" s="9" t="str">
        <f t="shared" si="0"/>
        <v/>
      </c>
      <c r="H50" s="1" t="str">
        <f t="shared" si="1"/>
        <v/>
      </c>
      <c r="I50" s="1" t="str">
        <f t="shared" si="2"/>
        <v/>
      </c>
      <c r="J50" s="1" t="str">
        <f t="shared" si="3"/>
        <v/>
      </c>
      <c r="K50" s="13" t="str">
        <f t="shared" si="4"/>
        <v/>
      </c>
      <c r="L50" s="9" t="str">
        <f t="shared" si="5"/>
        <v/>
      </c>
      <c r="M50" s="1" t="str">
        <f t="shared" si="6"/>
        <v/>
      </c>
      <c r="N50" s="1" t="str">
        <f t="shared" si="7"/>
        <v/>
      </c>
      <c r="O50" s="1" t="str">
        <f t="shared" si="8"/>
        <v/>
      </c>
      <c r="P50" s="1" t="str">
        <f t="shared" si="9"/>
        <v/>
      </c>
      <c r="Q50" s="1" t="str">
        <f t="shared" si="10"/>
        <v/>
      </c>
      <c r="R50" s="1" t="str">
        <f t="shared" si="11"/>
        <v/>
      </c>
      <c r="S50" s="1" t="str">
        <f t="shared" si="12"/>
        <v/>
      </c>
      <c r="T50" s="1" t="str">
        <f t="shared" si="13"/>
        <v/>
      </c>
      <c r="U50" s="1" t="str">
        <f t="shared" si="14"/>
        <v/>
      </c>
      <c r="V50" s="1" t="str">
        <f t="shared" si="15"/>
        <v/>
      </c>
      <c r="W50" s="26" t="str">
        <f t="shared" si="16"/>
        <v/>
      </c>
      <c r="X50" s="13" t="str">
        <f t="shared" si="17"/>
        <v/>
      </c>
      <c r="Y50" s="9">
        <f t="shared" si="18"/>
        <v>0</v>
      </c>
    </row>
    <row r="51" spans="1:25" x14ac:dyDescent="0.25">
      <c r="A51" s="28"/>
      <c r="B51" s="29"/>
      <c r="C51" s="30"/>
      <c r="D51" s="31"/>
      <c r="E51" s="29" t="s">
        <v>16</v>
      </c>
      <c r="F51" s="13" t="b">
        <f>IF($E51=Categories!$A$1,"",IF($E51=Categories!$A$2,Categories!$B$2,IF($E51=Categories!$A$3,Categories!$B$3,IF($E51=Categories!$A$4,Categories!$B$4,IF($E51=Categories!$A$5,Categories!$B$5,IF($E51=Categories!$A$6,Categories!$B$6,IF($E51=Categories!$A$7,Categories!$B$7,IF($E51=Categories!$A$8,Categories!$B$8,IF($E51=Categories!$A$9,Categories!$B$9,IF($E51=Categories!$A$10,Categories!$B$10,IF($E51=Categories!$A$11,Categories!$B$11,IF($E51=Categories!$A$12,Categories!$B$12,IF($E51=Categories!$A$13,Categories!$B$13,IF($E51=Categories!$A$14,Categories!$B$14,IF($E51=Categories!$A$15,Categories!$B$15,IF($E51=Categories!$A$16,Categories!$B$16,IF($E51=Categories!$A$17,Categories!$B$17,IF($E51=Categories!$A$18,Categories!$B$18,IF($E51=Categories!$A$19,Categories!$B$19)))))))))))))))))))</f>
        <v>0</v>
      </c>
      <c r="G51" s="9" t="str">
        <f t="shared" si="0"/>
        <v/>
      </c>
      <c r="H51" s="1" t="str">
        <f t="shared" si="1"/>
        <v/>
      </c>
      <c r="I51" s="1" t="str">
        <f t="shared" si="2"/>
        <v/>
      </c>
      <c r="J51" s="1" t="str">
        <f t="shared" si="3"/>
        <v/>
      </c>
      <c r="K51" s="13" t="str">
        <f t="shared" si="4"/>
        <v/>
      </c>
      <c r="L51" s="9" t="str">
        <f t="shared" si="5"/>
        <v/>
      </c>
      <c r="M51" s="1" t="str">
        <f t="shared" si="6"/>
        <v/>
      </c>
      <c r="N51" s="1" t="str">
        <f t="shared" si="7"/>
        <v/>
      </c>
      <c r="O51" s="1" t="str">
        <f t="shared" si="8"/>
        <v/>
      </c>
      <c r="P51" s="1" t="str">
        <f t="shared" si="9"/>
        <v/>
      </c>
      <c r="Q51" s="1" t="str">
        <f t="shared" si="10"/>
        <v/>
      </c>
      <c r="R51" s="1" t="str">
        <f t="shared" si="11"/>
        <v/>
      </c>
      <c r="S51" s="1" t="str">
        <f t="shared" si="12"/>
        <v/>
      </c>
      <c r="T51" s="1" t="str">
        <f t="shared" si="13"/>
        <v/>
      </c>
      <c r="U51" s="1" t="str">
        <f t="shared" si="14"/>
        <v/>
      </c>
      <c r="V51" s="1" t="str">
        <f t="shared" si="15"/>
        <v/>
      </c>
      <c r="W51" s="26" t="str">
        <f t="shared" si="16"/>
        <v/>
      </c>
      <c r="X51" s="13" t="str">
        <f t="shared" si="17"/>
        <v/>
      </c>
      <c r="Y51" s="9">
        <f t="shared" si="18"/>
        <v>0</v>
      </c>
    </row>
    <row r="52" spans="1:25" x14ac:dyDescent="0.25">
      <c r="A52" s="28"/>
      <c r="B52" s="29"/>
      <c r="C52" s="30"/>
      <c r="D52" s="31"/>
      <c r="E52" s="29" t="s">
        <v>16</v>
      </c>
      <c r="F52" s="13" t="b">
        <f>IF($E52=Categories!$A$1,"",IF($E52=Categories!$A$2,Categories!$B$2,IF($E52=Categories!$A$3,Categories!$B$3,IF($E52=Categories!$A$4,Categories!$B$4,IF($E52=Categories!$A$5,Categories!$B$5,IF($E52=Categories!$A$6,Categories!$B$6,IF($E52=Categories!$A$7,Categories!$B$7,IF($E52=Categories!$A$8,Categories!$B$8,IF($E52=Categories!$A$9,Categories!$B$9,IF($E52=Categories!$A$10,Categories!$B$10,IF($E52=Categories!$A$11,Categories!$B$11,IF($E52=Categories!$A$12,Categories!$B$12,IF($E52=Categories!$A$13,Categories!$B$13,IF($E52=Categories!$A$14,Categories!$B$14,IF($E52=Categories!$A$15,Categories!$B$15,IF($E52=Categories!$A$16,Categories!$B$16,IF($E52=Categories!$A$17,Categories!$B$17,IF($E52=Categories!$A$18,Categories!$B$18,IF($E52=Categories!$A$19,Categories!$B$19)))))))))))))))))))</f>
        <v>0</v>
      </c>
      <c r="G52" s="9" t="str">
        <f t="shared" si="0"/>
        <v/>
      </c>
      <c r="H52" s="1" t="str">
        <f t="shared" si="1"/>
        <v/>
      </c>
      <c r="I52" s="1" t="str">
        <f t="shared" si="2"/>
        <v/>
      </c>
      <c r="J52" s="1" t="str">
        <f t="shared" si="3"/>
        <v/>
      </c>
      <c r="K52" s="13" t="str">
        <f t="shared" si="4"/>
        <v/>
      </c>
      <c r="L52" s="9" t="str">
        <f t="shared" si="5"/>
        <v/>
      </c>
      <c r="M52" s="1" t="str">
        <f t="shared" si="6"/>
        <v/>
      </c>
      <c r="N52" s="1" t="str">
        <f t="shared" si="7"/>
        <v/>
      </c>
      <c r="O52" s="1" t="str">
        <f t="shared" si="8"/>
        <v/>
      </c>
      <c r="P52" s="1" t="str">
        <f t="shared" si="9"/>
        <v/>
      </c>
      <c r="Q52" s="1" t="str">
        <f t="shared" si="10"/>
        <v/>
      </c>
      <c r="R52" s="1" t="str">
        <f t="shared" si="11"/>
        <v/>
      </c>
      <c r="S52" s="1" t="str">
        <f t="shared" si="12"/>
        <v/>
      </c>
      <c r="T52" s="1" t="str">
        <f t="shared" si="13"/>
        <v/>
      </c>
      <c r="U52" s="1" t="str">
        <f t="shared" si="14"/>
        <v/>
      </c>
      <c r="V52" s="1" t="str">
        <f t="shared" si="15"/>
        <v/>
      </c>
      <c r="W52" s="26" t="str">
        <f t="shared" si="16"/>
        <v/>
      </c>
      <c r="X52" s="13" t="str">
        <f t="shared" si="17"/>
        <v/>
      </c>
      <c r="Y52" s="9">
        <f t="shared" si="18"/>
        <v>0</v>
      </c>
    </row>
    <row r="53" spans="1:25" x14ac:dyDescent="0.25">
      <c r="A53" s="28"/>
      <c r="B53" s="29"/>
      <c r="C53" s="30"/>
      <c r="D53" s="31"/>
      <c r="E53" s="29" t="s">
        <v>16</v>
      </c>
      <c r="F53" s="13" t="b">
        <f>IF($E53=Categories!$A$1,"",IF($E53=Categories!$A$2,Categories!$B$2,IF($E53=Categories!$A$3,Categories!$B$3,IF($E53=Categories!$A$4,Categories!$B$4,IF($E53=Categories!$A$5,Categories!$B$5,IF($E53=Categories!$A$6,Categories!$B$6,IF($E53=Categories!$A$7,Categories!$B$7,IF($E53=Categories!$A$8,Categories!$B$8,IF($E53=Categories!$A$9,Categories!$B$9,IF($E53=Categories!$A$10,Categories!$B$10,IF($E53=Categories!$A$11,Categories!$B$11,IF($E53=Categories!$A$12,Categories!$B$12,IF($E53=Categories!$A$13,Categories!$B$13,IF($E53=Categories!$A$14,Categories!$B$14,IF($E53=Categories!$A$15,Categories!$B$15,IF($E53=Categories!$A$16,Categories!$B$16,IF($E53=Categories!$A$17,Categories!$B$17,IF($E53=Categories!$A$18,Categories!$B$18,IF($E53=Categories!$A$19,Categories!$B$19)))))))))))))))))))</f>
        <v>0</v>
      </c>
      <c r="G53" s="9" t="str">
        <f t="shared" si="0"/>
        <v/>
      </c>
      <c r="H53" s="1" t="str">
        <f t="shared" si="1"/>
        <v/>
      </c>
      <c r="I53" s="1" t="str">
        <f t="shared" si="2"/>
        <v/>
      </c>
      <c r="J53" s="1" t="str">
        <f t="shared" si="3"/>
        <v/>
      </c>
      <c r="K53" s="13" t="str">
        <f t="shared" si="4"/>
        <v/>
      </c>
      <c r="L53" s="9" t="str">
        <f t="shared" si="5"/>
        <v/>
      </c>
      <c r="M53" s="1" t="str">
        <f t="shared" si="6"/>
        <v/>
      </c>
      <c r="N53" s="1" t="str">
        <f t="shared" si="7"/>
        <v/>
      </c>
      <c r="O53" s="1" t="str">
        <f t="shared" si="8"/>
        <v/>
      </c>
      <c r="P53" s="1" t="str">
        <f t="shared" si="9"/>
        <v/>
      </c>
      <c r="Q53" s="1" t="str">
        <f t="shared" si="10"/>
        <v/>
      </c>
      <c r="R53" s="1" t="str">
        <f t="shared" si="11"/>
        <v/>
      </c>
      <c r="S53" s="1" t="str">
        <f t="shared" si="12"/>
        <v/>
      </c>
      <c r="T53" s="1" t="str">
        <f t="shared" si="13"/>
        <v/>
      </c>
      <c r="U53" s="1" t="str">
        <f t="shared" si="14"/>
        <v/>
      </c>
      <c r="V53" s="1" t="str">
        <f t="shared" si="15"/>
        <v/>
      </c>
      <c r="W53" s="26" t="str">
        <f t="shared" si="16"/>
        <v/>
      </c>
      <c r="X53" s="13" t="str">
        <f t="shared" si="17"/>
        <v/>
      </c>
      <c r="Y53" s="9">
        <f t="shared" si="18"/>
        <v>0</v>
      </c>
    </row>
    <row r="54" spans="1:25" x14ac:dyDescent="0.25">
      <c r="A54" s="28"/>
      <c r="B54" s="29"/>
      <c r="C54" s="30"/>
      <c r="D54" s="31"/>
      <c r="E54" s="29" t="s">
        <v>16</v>
      </c>
      <c r="F54" s="13" t="b">
        <f>IF($E54=Categories!$A$1,"",IF($E54=Categories!$A$2,Categories!$B$2,IF($E54=Categories!$A$3,Categories!$B$3,IF($E54=Categories!$A$4,Categories!$B$4,IF($E54=Categories!$A$5,Categories!$B$5,IF($E54=Categories!$A$6,Categories!$B$6,IF($E54=Categories!$A$7,Categories!$B$7,IF($E54=Categories!$A$8,Categories!$B$8,IF($E54=Categories!$A$9,Categories!$B$9,IF($E54=Categories!$A$10,Categories!$B$10,IF($E54=Categories!$A$11,Categories!$B$11,IF($E54=Categories!$A$12,Categories!$B$12,IF($E54=Categories!$A$13,Categories!$B$13,IF($E54=Categories!$A$14,Categories!$B$14,IF($E54=Categories!$A$15,Categories!$B$15,IF($E54=Categories!$A$16,Categories!$B$16,IF($E54=Categories!$A$17,Categories!$B$17,IF($E54=Categories!$A$18,Categories!$B$18,IF($E54=Categories!$A$19,Categories!$B$19)))))))))))))))))))</f>
        <v>0</v>
      </c>
      <c r="G54" s="9" t="str">
        <f t="shared" si="0"/>
        <v/>
      </c>
      <c r="H54" s="1" t="str">
        <f t="shared" si="1"/>
        <v/>
      </c>
      <c r="I54" s="1" t="str">
        <f t="shared" si="2"/>
        <v/>
      </c>
      <c r="J54" s="1" t="str">
        <f t="shared" si="3"/>
        <v/>
      </c>
      <c r="K54" s="13" t="str">
        <f t="shared" si="4"/>
        <v/>
      </c>
      <c r="L54" s="9" t="str">
        <f t="shared" si="5"/>
        <v/>
      </c>
      <c r="M54" s="1" t="str">
        <f t="shared" si="6"/>
        <v/>
      </c>
      <c r="N54" s="1" t="str">
        <f t="shared" si="7"/>
        <v/>
      </c>
      <c r="O54" s="1" t="str">
        <f t="shared" si="8"/>
        <v/>
      </c>
      <c r="P54" s="1" t="str">
        <f t="shared" si="9"/>
        <v/>
      </c>
      <c r="Q54" s="1" t="str">
        <f t="shared" si="10"/>
        <v/>
      </c>
      <c r="R54" s="1" t="str">
        <f t="shared" si="11"/>
        <v/>
      </c>
      <c r="S54" s="1" t="str">
        <f t="shared" si="12"/>
        <v/>
      </c>
      <c r="T54" s="1" t="str">
        <f t="shared" si="13"/>
        <v/>
      </c>
      <c r="U54" s="1" t="str">
        <f t="shared" si="14"/>
        <v/>
      </c>
      <c r="V54" s="1" t="str">
        <f t="shared" si="15"/>
        <v/>
      </c>
      <c r="W54" s="26" t="str">
        <f t="shared" si="16"/>
        <v/>
      </c>
      <c r="X54" s="13" t="str">
        <f t="shared" si="17"/>
        <v/>
      </c>
      <c r="Y54" s="9">
        <f t="shared" si="18"/>
        <v>0</v>
      </c>
    </row>
    <row r="55" spans="1:25" x14ac:dyDescent="0.25">
      <c r="A55" s="28"/>
      <c r="B55" s="29"/>
      <c r="C55" s="30"/>
      <c r="D55" s="31"/>
      <c r="E55" s="29" t="s">
        <v>16</v>
      </c>
      <c r="F55" s="13" t="b">
        <f>IF($E55=Categories!$A$1,"",IF($E55=Categories!$A$2,Categories!$B$2,IF($E55=Categories!$A$3,Categories!$B$3,IF($E55=Categories!$A$4,Categories!$B$4,IF($E55=Categories!$A$5,Categories!$B$5,IF($E55=Categories!$A$6,Categories!$B$6,IF($E55=Categories!$A$7,Categories!$B$7,IF($E55=Categories!$A$8,Categories!$B$8,IF($E55=Categories!$A$9,Categories!$B$9,IF($E55=Categories!$A$10,Categories!$B$10,IF($E55=Categories!$A$11,Categories!$B$11,IF($E55=Categories!$A$12,Categories!$B$12,IF($E55=Categories!$A$13,Categories!$B$13,IF($E55=Categories!$A$14,Categories!$B$14,IF($E55=Categories!$A$15,Categories!$B$15,IF($E55=Categories!$A$16,Categories!$B$16,IF($E55=Categories!$A$17,Categories!$B$17,IF($E55=Categories!$A$18,Categories!$B$18,IF($E55=Categories!$A$19,Categories!$B$19)))))))))))))))))))</f>
        <v>0</v>
      </c>
      <c r="G55" s="9" t="str">
        <f t="shared" si="0"/>
        <v/>
      </c>
      <c r="H55" s="1" t="str">
        <f t="shared" si="1"/>
        <v/>
      </c>
      <c r="I55" s="1" t="str">
        <f t="shared" si="2"/>
        <v/>
      </c>
      <c r="J55" s="1" t="str">
        <f t="shared" si="3"/>
        <v/>
      </c>
      <c r="K55" s="13" t="str">
        <f t="shared" si="4"/>
        <v/>
      </c>
      <c r="L55" s="9" t="str">
        <f t="shared" si="5"/>
        <v/>
      </c>
      <c r="M55" s="1" t="str">
        <f t="shared" si="6"/>
        <v/>
      </c>
      <c r="N55" s="1" t="str">
        <f t="shared" si="7"/>
        <v/>
      </c>
      <c r="O55" s="1" t="str">
        <f t="shared" si="8"/>
        <v/>
      </c>
      <c r="P55" s="1" t="str">
        <f t="shared" si="9"/>
        <v/>
      </c>
      <c r="Q55" s="1" t="str">
        <f t="shared" si="10"/>
        <v/>
      </c>
      <c r="R55" s="1" t="str">
        <f t="shared" si="11"/>
        <v/>
      </c>
      <c r="S55" s="1" t="str">
        <f t="shared" si="12"/>
        <v/>
      </c>
      <c r="T55" s="1" t="str">
        <f t="shared" si="13"/>
        <v/>
      </c>
      <c r="U55" s="1" t="str">
        <f t="shared" si="14"/>
        <v/>
      </c>
      <c r="V55" s="1" t="str">
        <f t="shared" si="15"/>
        <v/>
      </c>
      <c r="W55" s="26" t="str">
        <f t="shared" si="16"/>
        <v/>
      </c>
      <c r="X55" s="13" t="str">
        <f t="shared" si="17"/>
        <v/>
      </c>
      <c r="Y55" s="9">
        <f t="shared" si="18"/>
        <v>0</v>
      </c>
    </row>
    <row r="56" spans="1:25" x14ac:dyDescent="0.25">
      <c r="A56" s="28"/>
      <c r="B56" s="29"/>
      <c r="C56" s="30"/>
      <c r="D56" s="31"/>
      <c r="E56" s="29" t="s">
        <v>16</v>
      </c>
      <c r="F56" s="13" t="b">
        <f>IF($E56=Categories!$A$1,"",IF($E56=Categories!$A$2,Categories!$B$2,IF($E56=Categories!$A$3,Categories!$B$3,IF($E56=Categories!$A$4,Categories!$B$4,IF($E56=Categories!$A$5,Categories!$B$5,IF($E56=Categories!$A$6,Categories!$B$6,IF($E56=Categories!$A$7,Categories!$B$7,IF($E56=Categories!$A$8,Categories!$B$8,IF($E56=Categories!$A$9,Categories!$B$9,IF($E56=Categories!$A$10,Categories!$B$10,IF($E56=Categories!$A$11,Categories!$B$11,IF($E56=Categories!$A$12,Categories!$B$12,IF($E56=Categories!$A$13,Categories!$B$13,IF($E56=Categories!$A$14,Categories!$B$14,IF($E56=Categories!$A$15,Categories!$B$15,IF($E56=Categories!$A$16,Categories!$B$16,IF($E56=Categories!$A$17,Categories!$B$17,IF($E56=Categories!$A$18,Categories!$B$18,IF($E56=Categories!$A$19,Categories!$B$19)))))))))))))))))))</f>
        <v>0</v>
      </c>
      <c r="G56" s="9" t="str">
        <f t="shared" si="0"/>
        <v/>
      </c>
      <c r="H56" s="1" t="str">
        <f t="shared" si="1"/>
        <v/>
      </c>
      <c r="I56" s="1" t="str">
        <f t="shared" si="2"/>
        <v/>
      </c>
      <c r="J56" s="1" t="str">
        <f t="shared" si="3"/>
        <v/>
      </c>
      <c r="K56" s="13" t="str">
        <f t="shared" si="4"/>
        <v/>
      </c>
      <c r="L56" s="9" t="str">
        <f t="shared" si="5"/>
        <v/>
      </c>
      <c r="M56" s="1" t="str">
        <f t="shared" si="6"/>
        <v/>
      </c>
      <c r="N56" s="1" t="str">
        <f t="shared" si="7"/>
        <v/>
      </c>
      <c r="O56" s="1" t="str">
        <f t="shared" si="8"/>
        <v/>
      </c>
      <c r="P56" s="1" t="str">
        <f t="shared" si="9"/>
        <v/>
      </c>
      <c r="Q56" s="1" t="str">
        <f t="shared" si="10"/>
        <v/>
      </c>
      <c r="R56" s="1" t="str">
        <f t="shared" si="11"/>
        <v/>
      </c>
      <c r="S56" s="1" t="str">
        <f t="shared" si="12"/>
        <v/>
      </c>
      <c r="T56" s="1" t="str">
        <f t="shared" si="13"/>
        <v/>
      </c>
      <c r="U56" s="1" t="str">
        <f t="shared" si="14"/>
        <v/>
      </c>
      <c r="V56" s="1" t="str">
        <f t="shared" si="15"/>
        <v/>
      </c>
      <c r="W56" s="26" t="str">
        <f t="shared" si="16"/>
        <v/>
      </c>
      <c r="X56" s="13" t="str">
        <f t="shared" si="17"/>
        <v/>
      </c>
      <c r="Y56" s="9">
        <f t="shared" si="18"/>
        <v>0</v>
      </c>
    </row>
    <row r="57" spans="1:25" x14ac:dyDescent="0.25">
      <c r="A57" s="28"/>
      <c r="B57" s="29"/>
      <c r="C57" s="30"/>
      <c r="D57" s="31"/>
      <c r="E57" s="29" t="s">
        <v>16</v>
      </c>
      <c r="F57" s="13" t="b">
        <f>IF($E57=Categories!$A$1,"",IF($E57=Categories!$A$2,Categories!$B$2,IF($E57=Categories!$A$3,Categories!$B$3,IF($E57=Categories!$A$4,Categories!$B$4,IF($E57=Categories!$A$5,Categories!$B$5,IF($E57=Categories!$A$6,Categories!$B$6,IF($E57=Categories!$A$7,Categories!$B$7,IF($E57=Categories!$A$8,Categories!$B$8,IF($E57=Categories!$A$9,Categories!$B$9,IF($E57=Categories!$A$10,Categories!$B$10,IF($E57=Categories!$A$11,Categories!$B$11,IF($E57=Categories!$A$12,Categories!$B$12,IF($E57=Categories!$A$13,Categories!$B$13,IF($E57=Categories!$A$14,Categories!$B$14,IF($E57=Categories!$A$15,Categories!$B$15,IF($E57=Categories!$A$16,Categories!$B$16,IF($E57=Categories!$A$17,Categories!$B$17,IF($E57=Categories!$A$18,Categories!$B$18,IF($E57=Categories!$A$19,Categories!$B$19)))))))))))))))))))</f>
        <v>0</v>
      </c>
      <c r="G57" s="9" t="str">
        <f t="shared" si="0"/>
        <v/>
      </c>
      <c r="H57" s="1" t="str">
        <f t="shared" si="1"/>
        <v/>
      </c>
      <c r="I57" s="1" t="str">
        <f t="shared" si="2"/>
        <v/>
      </c>
      <c r="J57" s="1" t="str">
        <f t="shared" si="3"/>
        <v/>
      </c>
      <c r="K57" s="13" t="str">
        <f t="shared" si="4"/>
        <v/>
      </c>
      <c r="L57" s="9" t="str">
        <f t="shared" si="5"/>
        <v/>
      </c>
      <c r="M57" s="1" t="str">
        <f t="shared" si="6"/>
        <v/>
      </c>
      <c r="N57" s="1" t="str">
        <f t="shared" si="7"/>
        <v/>
      </c>
      <c r="O57" s="1" t="str">
        <f t="shared" si="8"/>
        <v/>
      </c>
      <c r="P57" s="1" t="str">
        <f t="shared" si="9"/>
        <v/>
      </c>
      <c r="Q57" s="1" t="str">
        <f t="shared" si="10"/>
        <v/>
      </c>
      <c r="R57" s="1" t="str">
        <f t="shared" si="11"/>
        <v/>
      </c>
      <c r="S57" s="1" t="str">
        <f t="shared" si="12"/>
        <v/>
      </c>
      <c r="T57" s="1" t="str">
        <f t="shared" si="13"/>
        <v/>
      </c>
      <c r="U57" s="1" t="str">
        <f t="shared" si="14"/>
        <v/>
      </c>
      <c r="V57" s="1" t="str">
        <f t="shared" si="15"/>
        <v/>
      </c>
      <c r="W57" s="26" t="str">
        <f t="shared" si="16"/>
        <v/>
      </c>
      <c r="X57" s="13" t="str">
        <f t="shared" si="17"/>
        <v/>
      </c>
      <c r="Y57" s="9">
        <f t="shared" si="18"/>
        <v>0</v>
      </c>
    </row>
    <row r="58" spans="1:25" x14ac:dyDescent="0.25">
      <c r="A58" s="28"/>
      <c r="B58" s="29"/>
      <c r="C58" s="30"/>
      <c r="D58" s="31"/>
      <c r="E58" s="29" t="s">
        <v>16</v>
      </c>
      <c r="F58" s="13" t="b">
        <f>IF($E58=Categories!$A$1,"",IF($E58=Categories!$A$2,Categories!$B$2,IF($E58=Categories!$A$3,Categories!$B$3,IF($E58=Categories!$A$4,Categories!$B$4,IF($E58=Categories!$A$5,Categories!$B$5,IF($E58=Categories!$A$6,Categories!$B$6,IF($E58=Categories!$A$7,Categories!$B$7,IF($E58=Categories!$A$8,Categories!$B$8,IF($E58=Categories!$A$9,Categories!$B$9,IF($E58=Categories!$A$10,Categories!$B$10,IF($E58=Categories!$A$11,Categories!$B$11,IF($E58=Categories!$A$12,Categories!$B$12,IF($E58=Categories!$A$13,Categories!$B$13,IF($E58=Categories!$A$14,Categories!$B$14,IF($E58=Categories!$A$15,Categories!$B$15,IF($E58=Categories!$A$16,Categories!$B$16,IF($E58=Categories!$A$17,Categories!$B$17,IF($E58=Categories!$A$18,Categories!$B$18,IF($E58=Categories!$A$19,Categories!$B$19)))))))))))))))))))</f>
        <v>0</v>
      </c>
      <c r="G58" s="9" t="str">
        <f t="shared" si="0"/>
        <v/>
      </c>
      <c r="H58" s="1" t="str">
        <f t="shared" si="1"/>
        <v/>
      </c>
      <c r="I58" s="1" t="str">
        <f t="shared" si="2"/>
        <v/>
      </c>
      <c r="J58" s="1" t="str">
        <f t="shared" si="3"/>
        <v/>
      </c>
      <c r="K58" s="13" t="str">
        <f t="shared" si="4"/>
        <v/>
      </c>
      <c r="L58" s="9" t="str">
        <f t="shared" si="5"/>
        <v/>
      </c>
      <c r="M58" s="1" t="str">
        <f t="shared" si="6"/>
        <v/>
      </c>
      <c r="N58" s="1" t="str">
        <f t="shared" si="7"/>
        <v/>
      </c>
      <c r="O58" s="1" t="str">
        <f t="shared" si="8"/>
        <v/>
      </c>
      <c r="P58" s="1" t="str">
        <f t="shared" si="9"/>
        <v/>
      </c>
      <c r="Q58" s="1" t="str">
        <f t="shared" si="10"/>
        <v/>
      </c>
      <c r="R58" s="1" t="str">
        <f t="shared" si="11"/>
        <v/>
      </c>
      <c r="S58" s="1" t="str">
        <f t="shared" si="12"/>
        <v/>
      </c>
      <c r="T58" s="1" t="str">
        <f t="shared" si="13"/>
        <v/>
      </c>
      <c r="U58" s="1" t="str">
        <f t="shared" si="14"/>
        <v/>
      </c>
      <c r="V58" s="1" t="str">
        <f t="shared" si="15"/>
        <v/>
      </c>
      <c r="W58" s="26" t="str">
        <f t="shared" si="16"/>
        <v/>
      </c>
      <c r="X58" s="13" t="str">
        <f t="shared" si="17"/>
        <v/>
      </c>
      <c r="Y58" s="9">
        <f t="shared" si="18"/>
        <v>0</v>
      </c>
    </row>
    <row r="59" spans="1:25" x14ac:dyDescent="0.25">
      <c r="A59" s="28"/>
      <c r="B59" s="29"/>
      <c r="C59" s="30"/>
      <c r="D59" s="31"/>
      <c r="E59" s="29" t="s">
        <v>16</v>
      </c>
      <c r="F59" s="13" t="b">
        <f>IF($E59=Categories!$A$1,"",IF($E59=Categories!$A$2,Categories!$B$2,IF($E59=Categories!$A$3,Categories!$B$3,IF($E59=Categories!$A$4,Categories!$B$4,IF($E59=Categories!$A$5,Categories!$B$5,IF($E59=Categories!$A$6,Categories!$B$6,IF($E59=Categories!$A$7,Categories!$B$7,IF($E59=Categories!$A$8,Categories!$B$8,IF($E59=Categories!$A$9,Categories!$B$9,IF($E59=Categories!$A$10,Categories!$B$10,IF($E59=Categories!$A$11,Categories!$B$11,IF($E59=Categories!$A$12,Categories!$B$12,IF($E59=Categories!$A$13,Categories!$B$13,IF($E59=Categories!$A$14,Categories!$B$14,IF($E59=Categories!$A$15,Categories!$B$15,IF($E59=Categories!$A$16,Categories!$B$16,IF($E59=Categories!$A$17,Categories!$B$17,IF($E59=Categories!$A$18,Categories!$B$18,IF($E59=Categories!$A$19,Categories!$B$19)))))))))))))))))))</f>
        <v>0</v>
      </c>
      <c r="G59" s="9" t="str">
        <f t="shared" si="0"/>
        <v/>
      </c>
      <c r="H59" s="1" t="str">
        <f t="shared" si="1"/>
        <v/>
      </c>
      <c r="I59" s="1" t="str">
        <f t="shared" si="2"/>
        <v/>
      </c>
      <c r="J59" s="1" t="str">
        <f t="shared" si="3"/>
        <v/>
      </c>
      <c r="K59" s="13" t="str">
        <f t="shared" si="4"/>
        <v/>
      </c>
      <c r="L59" s="9" t="str">
        <f t="shared" si="5"/>
        <v/>
      </c>
      <c r="M59" s="1" t="str">
        <f t="shared" si="6"/>
        <v/>
      </c>
      <c r="N59" s="1" t="str">
        <f t="shared" si="7"/>
        <v/>
      </c>
      <c r="O59" s="1" t="str">
        <f t="shared" si="8"/>
        <v/>
      </c>
      <c r="P59" s="1" t="str">
        <f t="shared" si="9"/>
        <v/>
      </c>
      <c r="Q59" s="1" t="str">
        <f t="shared" si="10"/>
        <v/>
      </c>
      <c r="R59" s="1" t="str">
        <f t="shared" si="11"/>
        <v/>
      </c>
      <c r="S59" s="1" t="str">
        <f t="shared" si="12"/>
        <v/>
      </c>
      <c r="T59" s="1" t="str">
        <f t="shared" si="13"/>
        <v/>
      </c>
      <c r="U59" s="1" t="str">
        <f t="shared" si="14"/>
        <v/>
      </c>
      <c r="V59" s="1" t="str">
        <f t="shared" si="15"/>
        <v/>
      </c>
      <c r="W59" s="26" t="str">
        <f t="shared" si="16"/>
        <v/>
      </c>
      <c r="X59" s="13" t="str">
        <f t="shared" si="17"/>
        <v/>
      </c>
      <c r="Y59" s="9">
        <f t="shared" si="18"/>
        <v>0</v>
      </c>
    </row>
    <row r="60" spans="1:25" x14ac:dyDescent="0.25">
      <c r="A60" s="28"/>
      <c r="B60" s="29"/>
      <c r="C60" s="30"/>
      <c r="D60" s="31"/>
      <c r="E60" s="29" t="s">
        <v>16</v>
      </c>
      <c r="F60" s="13" t="b">
        <f>IF($E60=Categories!$A$1,"",IF($E60=Categories!$A$2,Categories!$B$2,IF($E60=Categories!$A$3,Categories!$B$3,IF($E60=Categories!$A$4,Categories!$B$4,IF($E60=Categories!$A$5,Categories!$B$5,IF($E60=Categories!$A$6,Categories!$B$6,IF($E60=Categories!$A$7,Categories!$B$7,IF($E60=Categories!$A$8,Categories!$B$8,IF($E60=Categories!$A$9,Categories!$B$9,IF($E60=Categories!$A$10,Categories!$B$10,IF($E60=Categories!$A$11,Categories!$B$11,IF($E60=Categories!$A$12,Categories!$B$12,IF($E60=Categories!$A$13,Categories!$B$13,IF($E60=Categories!$A$14,Categories!$B$14,IF($E60=Categories!$A$15,Categories!$B$15,IF($E60=Categories!$A$16,Categories!$B$16,IF($E60=Categories!$A$17,Categories!$B$17,IF($E60=Categories!$A$18,Categories!$B$18,IF($E60=Categories!$A$19,Categories!$B$19)))))))))))))))))))</f>
        <v>0</v>
      </c>
      <c r="G60" s="9" t="str">
        <f t="shared" si="0"/>
        <v/>
      </c>
      <c r="H60" s="1" t="str">
        <f t="shared" si="1"/>
        <v/>
      </c>
      <c r="I60" s="1" t="str">
        <f t="shared" si="2"/>
        <v/>
      </c>
      <c r="J60" s="1" t="str">
        <f t="shared" si="3"/>
        <v/>
      </c>
      <c r="K60" s="13" t="str">
        <f t="shared" si="4"/>
        <v/>
      </c>
      <c r="L60" s="9" t="str">
        <f t="shared" si="5"/>
        <v/>
      </c>
      <c r="M60" s="1" t="str">
        <f t="shared" si="6"/>
        <v/>
      </c>
      <c r="N60" s="1" t="str">
        <f t="shared" si="7"/>
        <v/>
      </c>
      <c r="O60" s="1" t="str">
        <f t="shared" si="8"/>
        <v/>
      </c>
      <c r="P60" s="1" t="str">
        <f t="shared" si="9"/>
        <v/>
      </c>
      <c r="Q60" s="1" t="str">
        <f t="shared" si="10"/>
        <v/>
      </c>
      <c r="R60" s="1" t="str">
        <f t="shared" si="11"/>
        <v/>
      </c>
      <c r="S60" s="1" t="str">
        <f t="shared" si="12"/>
        <v/>
      </c>
      <c r="T60" s="1" t="str">
        <f t="shared" si="13"/>
        <v/>
      </c>
      <c r="U60" s="1" t="str">
        <f t="shared" si="14"/>
        <v/>
      </c>
      <c r="V60" s="1" t="str">
        <f t="shared" si="15"/>
        <v/>
      </c>
      <c r="W60" s="26" t="str">
        <f t="shared" si="16"/>
        <v/>
      </c>
      <c r="X60" s="13" t="str">
        <f t="shared" si="17"/>
        <v/>
      </c>
      <c r="Y60" s="9">
        <f t="shared" si="18"/>
        <v>0</v>
      </c>
    </row>
    <row r="61" spans="1:25" x14ac:dyDescent="0.25">
      <c r="A61" s="28"/>
      <c r="B61" s="29"/>
      <c r="C61" s="30"/>
      <c r="D61" s="31"/>
      <c r="E61" s="29" t="s">
        <v>16</v>
      </c>
      <c r="F61" s="13" t="b">
        <f>IF($E61=Categories!$A$1,"",IF($E61=Categories!$A$2,Categories!$B$2,IF($E61=Categories!$A$3,Categories!$B$3,IF($E61=Categories!$A$4,Categories!$B$4,IF($E61=Categories!$A$5,Categories!$B$5,IF($E61=Categories!$A$6,Categories!$B$6,IF($E61=Categories!$A$7,Categories!$B$7,IF($E61=Categories!$A$8,Categories!$B$8,IF($E61=Categories!$A$9,Categories!$B$9,IF($E61=Categories!$A$10,Categories!$B$10,IF($E61=Categories!$A$11,Categories!$B$11,IF($E61=Categories!$A$12,Categories!$B$12,IF($E61=Categories!$A$13,Categories!$B$13,IF($E61=Categories!$A$14,Categories!$B$14,IF($E61=Categories!$A$15,Categories!$B$15,IF($E61=Categories!$A$16,Categories!$B$16,IF($E61=Categories!$A$17,Categories!$B$17,IF($E61=Categories!$A$18,Categories!$B$18,IF($E61=Categories!$A$19,Categories!$B$19)))))))))))))))))))</f>
        <v>0</v>
      </c>
      <c r="G61" s="9" t="str">
        <f t="shared" si="0"/>
        <v/>
      </c>
      <c r="H61" s="1" t="str">
        <f t="shared" si="1"/>
        <v/>
      </c>
      <c r="I61" s="1" t="str">
        <f t="shared" si="2"/>
        <v/>
      </c>
      <c r="J61" s="1" t="str">
        <f t="shared" si="3"/>
        <v/>
      </c>
      <c r="K61" s="13" t="str">
        <f t="shared" si="4"/>
        <v/>
      </c>
      <c r="L61" s="9" t="str">
        <f t="shared" si="5"/>
        <v/>
      </c>
      <c r="M61" s="1" t="str">
        <f t="shared" si="6"/>
        <v/>
      </c>
      <c r="N61" s="1" t="str">
        <f t="shared" si="7"/>
        <v/>
      </c>
      <c r="O61" s="1" t="str">
        <f t="shared" si="8"/>
        <v/>
      </c>
      <c r="P61" s="1" t="str">
        <f t="shared" si="9"/>
        <v/>
      </c>
      <c r="Q61" s="1" t="str">
        <f t="shared" si="10"/>
        <v/>
      </c>
      <c r="R61" s="1" t="str">
        <f t="shared" si="11"/>
        <v/>
      </c>
      <c r="S61" s="1" t="str">
        <f t="shared" si="12"/>
        <v/>
      </c>
      <c r="T61" s="1" t="str">
        <f t="shared" si="13"/>
        <v/>
      </c>
      <c r="U61" s="1" t="str">
        <f t="shared" si="14"/>
        <v/>
      </c>
      <c r="V61" s="1" t="str">
        <f t="shared" si="15"/>
        <v/>
      </c>
      <c r="W61" s="26" t="str">
        <f t="shared" si="16"/>
        <v/>
      </c>
      <c r="X61" s="13" t="str">
        <f t="shared" si="17"/>
        <v/>
      </c>
      <c r="Y61" s="9">
        <f t="shared" si="18"/>
        <v>0</v>
      </c>
    </row>
    <row r="62" spans="1:25" x14ac:dyDescent="0.25">
      <c r="A62" s="28"/>
      <c r="B62" s="29"/>
      <c r="C62" s="30"/>
      <c r="D62" s="31"/>
      <c r="E62" s="29" t="s">
        <v>16</v>
      </c>
      <c r="F62" s="13" t="b">
        <f>IF($E62=Categories!$A$1,"",IF($E62=Categories!$A$2,Categories!$B$2,IF($E62=Categories!$A$3,Categories!$B$3,IF($E62=Categories!$A$4,Categories!$B$4,IF($E62=Categories!$A$5,Categories!$B$5,IF($E62=Categories!$A$6,Categories!$B$6,IF($E62=Categories!$A$7,Categories!$B$7,IF($E62=Categories!$A$8,Categories!$B$8,IF($E62=Categories!$A$9,Categories!$B$9,IF($E62=Categories!$A$10,Categories!$B$10,IF($E62=Categories!$A$11,Categories!$B$11,IF($E62=Categories!$A$12,Categories!$B$12,IF($E62=Categories!$A$13,Categories!$B$13,IF($E62=Categories!$A$14,Categories!$B$14,IF($E62=Categories!$A$15,Categories!$B$15,IF($E62=Categories!$A$16,Categories!$B$16,IF($E62=Categories!$A$17,Categories!$B$17,IF($E62=Categories!$A$18,Categories!$B$18,IF($E62=Categories!$A$19,Categories!$B$19)))))))))))))))))))</f>
        <v>0</v>
      </c>
      <c r="G62" s="9" t="str">
        <f t="shared" si="0"/>
        <v/>
      </c>
      <c r="H62" s="1" t="str">
        <f t="shared" si="1"/>
        <v/>
      </c>
      <c r="I62" s="1" t="str">
        <f t="shared" si="2"/>
        <v/>
      </c>
      <c r="J62" s="1" t="str">
        <f t="shared" si="3"/>
        <v/>
      </c>
      <c r="K62" s="13" t="str">
        <f t="shared" si="4"/>
        <v/>
      </c>
      <c r="L62" s="9" t="str">
        <f t="shared" si="5"/>
        <v/>
      </c>
      <c r="M62" s="1" t="str">
        <f t="shared" si="6"/>
        <v/>
      </c>
      <c r="N62" s="1" t="str">
        <f t="shared" si="7"/>
        <v/>
      </c>
      <c r="O62" s="1" t="str">
        <f t="shared" si="8"/>
        <v/>
      </c>
      <c r="P62" s="1" t="str">
        <f t="shared" si="9"/>
        <v/>
      </c>
      <c r="Q62" s="1" t="str">
        <f t="shared" si="10"/>
        <v/>
      </c>
      <c r="R62" s="1" t="str">
        <f t="shared" si="11"/>
        <v/>
      </c>
      <c r="S62" s="1" t="str">
        <f t="shared" si="12"/>
        <v/>
      </c>
      <c r="T62" s="1" t="str">
        <f t="shared" si="13"/>
        <v/>
      </c>
      <c r="U62" s="1" t="str">
        <f t="shared" si="14"/>
        <v/>
      </c>
      <c r="V62" s="1" t="str">
        <f t="shared" si="15"/>
        <v/>
      </c>
      <c r="W62" s="26" t="str">
        <f t="shared" si="16"/>
        <v/>
      </c>
      <c r="X62" s="13" t="str">
        <f t="shared" si="17"/>
        <v/>
      </c>
      <c r="Y62" s="9">
        <f t="shared" si="18"/>
        <v>0</v>
      </c>
    </row>
    <row r="63" spans="1:25" x14ac:dyDescent="0.25">
      <c r="A63" s="28"/>
      <c r="B63" s="29"/>
      <c r="C63" s="30"/>
      <c r="D63" s="31"/>
      <c r="E63" s="29" t="s">
        <v>16</v>
      </c>
      <c r="F63" s="13" t="b">
        <f>IF($E63=Categories!$A$1,"",IF($E63=Categories!$A$2,Categories!$B$2,IF($E63=Categories!$A$3,Categories!$B$3,IF($E63=Categories!$A$4,Categories!$B$4,IF($E63=Categories!$A$5,Categories!$B$5,IF($E63=Categories!$A$6,Categories!$B$6,IF($E63=Categories!$A$7,Categories!$B$7,IF($E63=Categories!$A$8,Categories!$B$8,IF($E63=Categories!$A$9,Categories!$B$9,IF($E63=Categories!$A$10,Categories!$B$10,IF($E63=Categories!$A$11,Categories!$B$11,IF($E63=Categories!$A$12,Categories!$B$12,IF($E63=Categories!$A$13,Categories!$B$13,IF($E63=Categories!$A$14,Categories!$B$14,IF($E63=Categories!$A$15,Categories!$B$15,IF($E63=Categories!$A$16,Categories!$B$16,IF($E63=Categories!$A$17,Categories!$B$17,IF($E63=Categories!$A$18,Categories!$B$18,IF($E63=Categories!$A$19,Categories!$B$19)))))))))))))))))))</f>
        <v>0</v>
      </c>
      <c r="G63" s="9" t="str">
        <f t="shared" si="0"/>
        <v/>
      </c>
      <c r="H63" s="1" t="str">
        <f t="shared" si="1"/>
        <v/>
      </c>
      <c r="I63" s="1" t="str">
        <f t="shared" si="2"/>
        <v/>
      </c>
      <c r="J63" s="1" t="str">
        <f t="shared" si="3"/>
        <v/>
      </c>
      <c r="K63" s="13" t="str">
        <f t="shared" si="4"/>
        <v/>
      </c>
      <c r="L63" s="9" t="str">
        <f t="shared" si="5"/>
        <v/>
      </c>
      <c r="M63" s="1" t="str">
        <f t="shared" si="6"/>
        <v/>
      </c>
      <c r="N63" s="1" t="str">
        <f t="shared" si="7"/>
        <v/>
      </c>
      <c r="O63" s="1" t="str">
        <f t="shared" si="8"/>
        <v/>
      </c>
      <c r="P63" s="1" t="str">
        <f t="shared" si="9"/>
        <v/>
      </c>
      <c r="Q63" s="1" t="str">
        <f t="shared" si="10"/>
        <v/>
      </c>
      <c r="R63" s="1" t="str">
        <f t="shared" si="11"/>
        <v/>
      </c>
      <c r="S63" s="1" t="str">
        <f t="shared" si="12"/>
        <v/>
      </c>
      <c r="T63" s="1" t="str">
        <f t="shared" si="13"/>
        <v/>
      </c>
      <c r="U63" s="1" t="str">
        <f t="shared" si="14"/>
        <v/>
      </c>
      <c r="V63" s="1" t="str">
        <f t="shared" si="15"/>
        <v/>
      </c>
      <c r="W63" s="26" t="str">
        <f t="shared" si="16"/>
        <v/>
      </c>
      <c r="X63" s="13" t="str">
        <f t="shared" si="17"/>
        <v/>
      </c>
      <c r="Y63" s="9">
        <f t="shared" si="18"/>
        <v>0</v>
      </c>
    </row>
    <row r="64" spans="1:25" x14ac:dyDescent="0.25">
      <c r="A64" s="28"/>
      <c r="B64" s="29"/>
      <c r="C64" s="30"/>
      <c r="D64" s="31"/>
      <c r="E64" s="29" t="s">
        <v>16</v>
      </c>
      <c r="F64" s="13" t="b">
        <f>IF($E64=Categories!$A$1,"",IF($E64=Categories!$A$2,Categories!$B$2,IF($E64=Categories!$A$3,Categories!$B$3,IF($E64=Categories!$A$4,Categories!$B$4,IF($E64=Categories!$A$5,Categories!$B$5,IF($E64=Categories!$A$6,Categories!$B$6,IF($E64=Categories!$A$7,Categories!$B$7,IF($E64=Categories!$A$8,Categories!$B$8,IF($E64=Categories!$A$9,Categories!$B$9,IF($E64=Categories!$A$10,Categories!$B$10,IF($E64=Categories!$A$11,Categories!$B$11,IF($E64=Categories!$A$12,Categories!$B$12,IF($E64=Categories!$A$13,Categories!$B$13,IF($E64=Categories!$A$14,Categories!$B$14,IF($E64=Categories!$A$15,Categories!$B$15,IF($E64=Categories!$A$16,Categories!$B$16,IF($E64=Categories!$A$17,Categories!$B$17,IF($E64=Categories!$A$18,Categories!$B$18,IF($E64=Categories!$A$19,Categories!$B$19)))))))))))))))))))</f>
        <v>0</v>
      </c>
      <c r="G64" s="9" t="str">
        <f t="shared" si="0"/>
        <v/>
      </c>
      <c r="H64" s="1" t="str">
        <f t="shared" si="1"/>
        <v/>
      </c>
      <c r="I64" s="1" t="str">
        <f t="shared" si="2"/>
        <v/>
      </c>
      <c r="J64" s="1" t="str">
        <f t="shared" si="3"/>
        <v/>
      </c>
      <c r="K64" s="13" t="str">
        <f t="shared" si="4"/>
        <v/>
      </c>
      <c r="L64" s="9" t="str">
        <f t="shared" si="5"/>
        <v/>
      </c>
      <c r="M64" s="1" t="str">
        <f t="shared" si="6"/>
        <v/>
      </c>
      <c r="N64" s="1" t="str">
        <f t="shared" si="7"/>
        <v/>
      </c>
      <c r="O64" s="1" t="str">
        <f t="shared" si="8"/>
        <v/>
      </c>
      <c r="P64" s="1" t="str">
        <f t="shared" si="9"/>
        <v/>
      </c>
      <c r="Q64" s="1" t="str">
        <f t="shared" si="10"/>
        <v/>
      </c>
      <c r="R64" s="1" t="str">
        <f t="shared" si="11"/>
        <v/>
      </c>
      <c r="S64" s="1" t="str">
        <f t="shared" si="12"/>
        <v/>
      </c>
      <c r="T64" s="1" t="str">
        <f t="shared" si="13"/>
        <v/>
      </c>
      <c r="U64" s="1" t="str">
        <f t="shared" si="14"/>
        <v/>
      </c>
      <c r="V64" s="1" t="str">
        <f t="shared" si="15"/>
        <v/>
      </c>
      <c r="W64" s="26" t="str">
        <f t="shared" si="16"/>
        <v/>
      </c>
      <c r="X64" s="13" t="str">
        <f t="shared" si="17"/>
        <v/>
      </c>
      <c r="Y64" s="9">
        <f t="shared" si="18"/>
        <v>0</v>
      </c>
    </row>
    <row r="65" spans="1:25" x14ac:dyDescent="0.25">
      <c r="A65" s="28"/>
      <c r="B65" s="29"/>
      <c r="C65" s="30"/>
      <c r="D65" s="31"/>
      <c r="E65" s="29" t="s">
        <v>16</v>
      </c>
      <c r="F65" s="13" t="b">
        <f>IF($E65=Categories!$A$1,"",IF($E65=Categories!$A$2,Categories!$B$2,IF($E65=Categories!$A$3,Categories!$B$3,IF($E65=Categories!$A$4,Categories!$B$4,IF($E65=Categories!$A$5,Categories!$B$5,IF($E65=Categories!$A$6,Categories!$B$6,IF($E65=Categories!$A$7,Categories!$B$7,IF($E65=Categories!$A$8,Categories!$B$8,IF($E65=Categories!$A$9,Categories!$B$9,IF($E65=Categories!$A$10,Categories!$B$10,IF($E65=Categories!$A$11,Categories!$B$11,IF($E65=Categories!$A$12,Categories!$B$12,IF($E65=Categories!$A$13,Categories!$B$13,IF($E65=Categories!$A$14,Categories!$B$14,IF($E65=Categories!$A$15,Categories!$B$15,IF($E65=Categories!$A$16,Categories!$B$16,IF($E65=Categories!$A$17,Categories!$B$17,IF($E65=Categories!$A$18,Categories!$B$18,IF($E65=Categories!$A$19,Categories!$B$19)))))))))))))))))))</f>
        <v>0</v>
      </c>
      <c r="G65" s="9" t="str">
        <f t="shared" si="0"/>
        <v/>
      </c>
      <c r="H65" s="1" t="str">
        <f t="shared" si="1"/>
        <v/>
      </c>
      <c r="I65" s="1" t="str">
        <f t="shared" si="2"/>
        <v/>
      </c>
      <c r="J65" s="1" t="str">
        <f t="shared" si="3"/>
        <v/>
      </c>
      <c r="K65" s="13" t="str">
        <f t="shared" si="4"/>
        <v/>
      </c>
      <c r="L65" s="9" t="str">
        <f t="shared" si="5"/>
        <v/>
      </c>
      <c r="M65" s="1" t="str">
        <f t="shared" si="6"/>
        <v/>
      </c>
      <c r="N65" s="1" t="str">
        <f t="shared" si="7"/>
        <v/>
      </c>
      <c r="O65" s="1" t="str">
        <f t="shared" si="8"/>
        <v/>
      </c>
      <c r="P65" s="1" t="str">
        <f t="shared" si="9"/>
        <v/>
      </c>
      <c r="Q65" s="1" t="str">
        <f t="shared" si="10"/>
        <v/>
      </c>
      <c r="R65" s="1" t="str">
        <f t="shared" si="11"/>
        <v/>
      </c>
      <c r="S65" s="1" t="str">
        <f t="shared" si="12"/>
        <v/>
      </c>
      <c r="T65" s="1" t="str">
        <f t="shared" si="13"/>
        <v/>
      </c>
      <c r="U65" s="1" t="str">
        <f t="shared" si="14"/>
        <v/>
      </c>
      <c r="V65" s="1" t="str">
        <f t="shared" si="15"/>
        <v/>
      </c>
      <c r="W65" s="26" t="str">
        <f t="shared" si="16"/>
        <v/>
      </c>
      <c r="X65" s="13" t="str">
        <f t="shared" si="17"/>
        <v/>
      </c>
      <c r="Y65" s="9">
        <f t="shared" si="18"/>
        <v>0</v>
      </c>
    </row>
    <row r="66" spans="1:25" x14ac:dyDescent="0.25">
      <c r="A66" s="28"/>
      <c r="B66" s="29"/>
      <c r="C66" s="30"/>
      <c r="D66" s="31"/>
      <c r="E66" s="29" t="s">
        <v>16</v>
      </c>
      <c r="F66" s="13" t="b">
        <f>IF($E66=Categories!$A$1,"",IF($E66=Categories!$A$2,Categories!$B$2,IF($E66=Categories!$A$3,Categories!$B$3,IF($E66=Categories!$A$4,Categories!$B$4,IF($E66=Categories!$A$5,Categories!$B$5,IF($E66=Categories!$A$6,Categories!$B$6,IF($E66=Categories!$A$7,Categories!$B$7,IF($E66=Categories!$A$8,Categories!$B$8,IF($E66=Categories!$A$9,Categories!$B$9,IF($E66=Categories!$A$10,Categories!$B$10,IF($E66=Categories!$A$11,Categories!$B$11,IF($E66=Categories!$A$12,Categories!$B$12,IF($E66=Categories!$A$13,Categories!$B$13,IF($E66=Categories!$A$14,Categories!$B$14,IF($E66=Categories!$A$15,Categories!$B$15,IF($E66=Categories!$A$16,Categories!$B$16,IF($E66=Categories!$A$17,Categories!$B$17,IF($E66=Categories!$A$18,Categories!$B$18,IF($E66=Categories!$A$19,Categories!$B$19)))))))))))))))))))</f>
        <v>0</v>
      </c>
      <c r="G66" s="9" t="str">
        <f t="shared" si="0"/>
        <v/>
      </c>
      <c r="H66" s="1" t="str">
        <f t="shared" si="1"/>
        <v/>
      </c>
      <c r="I66" s="1" t="str">
        <f t="shared" si="2"/>
        <v/>
      </c>
      <c r="J66" s="1" t="str">
        <f t="shared" si="3"/>
        <v/>
      </c>
      <c r="K66" s="13" t="str">
        <f t="shared" si="4"/>
        <v/>
      </c>
      <c r="L66" s="9" t="str">
        <f t="shared" si="5"/>
        <v/>
      </c>
      <c r="M66" s="1" t="str">
        <f t="shared" si="6"/>
        <v/>
      </c>
      <c r="N66" s="1" t="str">
        <f t="shared" si="7"/>
        <v/>
      </c>
      <c r="O66" s="1" t="str">
        <f t="shared" si="8"/>
        <v/>
      </c>
      <c r="P66" s="1" t="str">
        <f t="shared" si="9"/>
        <v/>
      </c>
      <c r="Q66" s="1" t="str">
        <f t="shared" si="10"/>
        <v/>
      </c>
      <c r="R66" s="1" t="str">
        <f t="shared" si="11"/>
        <v/>
      </c>
      <c r="S66" s="1" t="str">
        <f t="shared" si="12"/>
        <v/>
      </c>
      <c r="T66" s="1" t="str">
        <f t="shared" si="13"/>
        <v/>
      </c>
      <c r="U66" s="1" t="str">
        <f t="shared" si="14"/>
        <v/>
      </c>
      <c r="V66" s="1" t="str">
        <f t="shared" si="15"/>
        <v/>
      </c>
      <c r="W66" s="26" t="str">
        <f t="shared" si="16"/>
        <v/>
      </c>
      <c r="X66" s="13" t="str">
        <f t="shared" si="17"/>
        <v/>
      </c>
      <c r="Y66" s="9">
        <f t="shared" si="18"/>
        <v>0</v>
      </c>
    </row>
    <row r="67" spans="1:25" x14ac:dyDescent="0.25">
      <c r="A67" s="28"/>
      <c r="B67" s="29"/>
      <c r="C67" s="30"/>
      <c r="D67" s="31"/>
      <c r="E67" s="29" t="s">
        <v>16</v>
      </c>
      <c r="F67" s="13" t="b">
        <f>IF($E67=Categories!$A$1,"",IF($E67=Categories!$A$2,Categories!$B$2,IF($E67=Categories!$A$3,Categories!$B$3,IF($E67=Categories!$A$4,Categories!$B$4,IF($E67=Categories!$A$5,Categories!$B$5,IF($E67=Categories!$A$6,Categories!$B$6,IF($E67=Categories!$A$7,Categories!$B$7,IF($E67=Categories!$A$8,Categories!$B$8,IF($E67=Categories!$A$9,Categories!$B$9,IF($E67=Categories!$A$10,Categories!$B$10,IF($E67=Categories!$A$11,Categories!$B$11,IF($E67=Categories!$A$12,Categories!$B$12,IF($E67=Categories!$A$13,Categories!$B$13,IF($E67=Categories!$A$14,Categories!$B$14,IF($E67=Categories!$A$15,Categories!$B$15,IF($E67=Categories!$A$16,Categories!$B$16,IF($E67=Categories!$A$17,Categories!$B$17,IF($E67=Categories!$A$18,Categories!$B$18,IF($E67=Categories!$A$19,Categories!$B$19)))))))))))))))))))</f>
        <v>0</v>
      </c>
      <c r="G67" s="9" t="str">
        <f t="shared" si="0"/>
        <v/>
      </c>
      <c r="H67" s="1" t="str">
        <f t="shared" si="1"/>
        <v/>
      </c>
      <c r="I67" s="1" t="str">
        <f t="shared" si="2"/>
        <v/>
      </c>
      <c r="J67" s="1" t="str">
        <f t="shared" si="3"/>
        <v/>
      </c>
      <c r="K67" s="13" t="str">
        <f t="shared" si="4"/>
        <v/>
      </c>
      <c r="L67" s="9" t="str">
        <f t="shared" si="5"/>
        <v/>
      </c>
      <c r="M67" s="1" t="str">
        <f t="shared" si="6"/>
        <v/>
      </c>
      <c r="N67" s="1" t="str">
        <f t="shared" si="7"/>
        <v/>
      </c>
      <c r="O67" s="1" t="str">
        <f t="shared" si="8"/>
        <v/>
      </c>
      <c r="P67" s="1" t="str">
        <f t="shared" si="9"/>
        <v/>
      </c>
      <c r="Q67" s="1" t="str">
        <f t="shared" si="10"/>
        <v/>
      </c>
      <c r="R67" s="1" t="str">
        <f t="shared" si="11"/>
        <v/>
      </c>
      <c r="S67" s="1" t="str">
        <f t="shared" si="12"/>
        <v/>
      </c>
      <c r="T67" s="1" t="str">
        <f t="shared" si="13"/>
        <v/>
      </c>
      <c r="U67" s="1" t="str">
        <f t="shared" si="14"/>
        <v/>
      </c>
      <c r="V67" s="1" t="str">
        <f t="shared" si="15"/>
        <v/>
      </c>
      <c r="W67" s="26" t="str">
        <f t="shared" si="16"/>
        <v/>
      </c>
      <c r="X67" s="13" t="str">
        <f t="shared" si="17"/>
        <v/>
      </c>
      <c r="Y67" s="9">
        <f t="shared" si="18"/>
        <v>0</v>
      </c>
    </row>
    <row r="68" spans="1:25" x14ac:dyDescent="0.25">
      <c r="A68" s="28"/>
      <c r="B68" s="29"/>
      <c r="C68" s="30"/>
      <c r="D68" s="31"/>
      <c r="E68" s="29" t="s">
        <v>16</v>
      </c>
      <c r="F68" s="13" t="b">
        <f>IF($E68=Categories!$A$1,"",IF($E68=Categories!$A$2,Categories!$B$2,IF($E68=Categories!$A$3,Categories!$B$3,IF($E68=Categories!$A$4,Categories!$B$4,IF($E68=Categories!$A$5,Categories!$B$5,IF($E68=Categories!$A$6,Categories!$B$6,IF($E68=Categories!$A$7,Categories!$B$7,IF($E68=Categories!$A$8,Categories!$B$8,IF($E68=Categories!$A$9,Categories!$B$9,IF($E68=Categories!$A$10,Categories!$B$10,IF($E68=Categories!$A$11,Categories!$B$11,IF($E68=Categories!$A$12,Categories!$B$12,IF($E68=Categories!$A$13,Categories!$B$13,IF($E68=Categories!$A$14,Categories!$B$14,IF($E68=Categories!$A$15,Categories!$B$15,IF($E68=Categories!$A$16,Categories!$B$16,IF($E68=Categories!$A$17,Categories!$B$17,IF($E68=Categories!$A$18,Categories!$B$18,IF($E68=Categories!$A$19,Categories!$B$19)))))))))))))))))))</f>
        <v>0</v>
      </c>
      <c r="G68" s="9" t="str">
        <f t="shared" si="0"/>
        <v/>
      </c>
      <c r="H68" s="1" t="str">
        <f t="shared" si="1"/>
        <v/>
      </c>
      <c r="I68" s="1" t="str">
        <f t="shared" si="2"/>
        <v/>
      </c>
      <c r="J68" s="1" t="str">
        <f t="shared" si="3"/>
        <v/>
      </c>
      <c r="K68" s="13" t="str">
        <f t="shared" si="4"/>
        <v/>
      </c>
      <c r="L68" s="9" t="str">
        <f t="shared" si="5"/>
        <v/>
      </c>
      <c r="M68" s="1" t="str">
        <f t="shared" si="6"/>
        <v/>
      </c>
      <c r="N68" s="1" t="str">
        <f t="shared" si="7"/>
        <v/>
      </c>
      <c r="O68" s="1" t="str">
        <f t="shared" si="8"/>
        <v/>
      </c>
      <c r="P68" s="1" t="str">
        <f t="shared" si="9"/>
        <v/>
      </c>
      <c r="Q68" s="1" t="str">
        <f t="shared" si="10"/>
        <v/>
      </c>
      <c r="R68" s="1" t="str">
        <f t="shared" si="11"/>
        <v/>
      </c>
      <c r="S68" s="1" t="str">
        <f t="shared" si="12"/>
        <v/>
      </c>
      <c r="T68" s="1" t="str">
        <f t="shared" si="13"/>
        <v/>
      </c>
      <c r="U68" s="1" t="str">
        <f t="shared" si="14"/>
        <v/>
      </c>
      <c r="V68" s="1" t="str">
        <f t="shared" si="15"/>
        <v/>
      </c>
      <c r="W68" s="26" t="str">
        <f t="shared" si="16"/>
        <v/>
      </c>
      <c r="X68" s="13" t="str">
        <f t="shared" si="17"/>
        <v/>
      </c>
      <c r="Y68" s="9">
        <f t="shared" si="18"/>
        <v>0</v>
      </c>
    </row>
    <row r="69" spans="1:25" x14ac:dyDescent="0.25">
      <c r="A69" s="28"/>
      <c r="B69" s="29"/>
      <c r="C69" s="30"/>
      <c r="D69" s="31"/>
      <c r="E69" s="29" t="s">
        <v>16</v>
      </c>
      <c r="F69" s="13" t="b">
        <f>IF($E69=Categories!$A$1,"",IF($E69=Categories!$A$2,Categories!$B$2,IF($E69=Categories!$A$3,Categories!$B$3,IF($E69=Categories!$A$4,Categories!$B$4,IF($E69=Categories!$A$5,Categories!$B$5,IF($E69=Categories!$A$6,Categories!$B$6,IF($E69=Categories!$A$7,Categories!$B$7,IF($E69=Categories!$A$8,Categories!$B$8,IF($E69=Categories!$A$9,Categories!$B$9,IF($E69=Categories!$A$10,Categories!$B$10,IF($E69=Categories!$A$11,Categories!$B$11,IF($E69=Categories!$A$12,Categories!$B$12,IF($E69=Categories!$A$13,Categories!$B$13,IF($E69=Categories!$A$14,Categories!$B$14,IF($E69=Categories!$A$15,Categories!$B$15,IF($E69=Categories!$A$16,Categories!$B$16,IF($E69=Categories!$A$17,Categories!$B$17,IF($E69=Categories!$A$18,Categories!$B$18,IF($E69=Categories!$A$19,Categories!$B$19)))))))))))))))))))</f>
        <v>0</v>
      </c>
      <c r="G69" s="9" t="str">
        <f t="shared" si="0"/>
        <v/>
      </c>
      <c r="H69" s="1" t="str">
        <f t="shared" si="1"/>
        <v/>
      </c>
      <c r="I69" s="1" t="str">
        <f t="shared" si="2"/>
        <v/>
      </c>
      <c r="J69" s="1" t="str">
        <f t="shared" si="3"/>
        <v/>
      </c>
      <c r="K69" s="13" t="str">
        <f t="shared" si="4"/>
        <v/>
      </c>
      <c r="L69" s="9" t="str">
        <f t="shared" si="5"/>
        <v/>
      </c>
      <c r="M69" s="1" t="str">
        <f t="shared" si="6"/>
        <v/>
      </c>
      <c r="N69" s="1" t="str">
        <f t="shared" si="7"/>
        <v/>
      </c>
      <c r="O69" s="1" t="str">
        <f t="shared" si="8"/>
        <v/>
      </c>
      <c r="P69" s="1" t="str">
        <f t="shared" si="9"/>
        <v/>
      </c>
      <c r="Q69" s="1" t="str">
        <f t="shared" si="10"/>
        <v/>
      </c>
      <c r="R69" s="1" t="str">
        <f t="shared" si="11"/>
        <v/>
      </c>
      <c r="S69" s="1" t="str">
        <f t="shared" si="12"/>
        <v/>
      </c>
      <c r="T69" s="1" t="str">
        <f t="shared" si="13"/>
        <v/>
      </c>
      <c r="U69" s="1" t="str">
        <f t="shared" si="14"/>
        <v/>
      </c>
      <c r="V69" s="1" t="str">
        <f t="shared" si="15"/>
        <v/>
      </c>
      <c r="W69" s="26" t="str">
        <f t="shared" si="16"/>
        <v/>
      </c>
      <c r="X69" s="13" t="str">
        <f t="shared" si="17"/>
        <v/>
      </c>
      <c r="Y69" s="9">
        <f t="shared" si="18"/>
        <v>0</v>
      </c>
    </row>
    <row r="70" spans="1:25" x14ac:dyDescent="0.25">
      <c r="A70" s="28"/>
      <c r="B70" s="29"/>
      <c r="C70" s="30"/>
      <c r="D70" s="31"/>
      <c r="E70" s="29" t="s">
        <v>16</v>
      </c>
      <c r="F70" s="13" t="b">
        <f>IF($E70=Categories!$A$1,"",IF($E70=Categories!$A$2,Categories!$B$2,IF($E70=Categories!$A$3,Categories!$B$3,IF($E70=Categories!$A$4,Categories!$B$4,IF($E70=Categories!$A$5,Categories!$B$5,IF($E70=Categories!$A$6,Categories!$B$6,IF($E70=Categories!$A$7,Categories!$B$7,IF($E70=Categories!$A$8,Categories!$B$8,IF($E70=Categories!$A$9,Categories!$B$9,IF($E70=Categories!$A$10,Categories!$B$10,IF($E70=Categories!$A$11,Categories!$B$11,IF($E70=Categories!$A$12,Categories!$B$12,IF($E70=Categories!$A$13,Categories!$B$13,IF($E70=Categories!$A$14,Categories!$B$14,IF($E70=Categories!$A$15,Categories!$B$15,IF($E70=Categories!$A$16,Categories!$B$16,IF($E70=Categories!$A$17,Categories!$B$17,IF($E70=Categories!$A$18,Categories!$B$18,IF($E70=Categories!$A$19,Categories!$B$19)))))))))))))))))))</f>
        <v>0</v>
      </c>
      <c r="G70" s="9" t="str">
        <f t="shared" si="0"/>
        <v/>
      </c>
      <c r="H70" s="1" t="str">
        <f t="shared" si="1"/>
        <v/>
      </c>
      <c r="I70" s="1" t="str">
        <f t="shared" si="2"/>
        <v/>
      </c>
      <c r="J70" s="1" t="str">
        <f t="shared" si="3"/>
        <v/>
      </c>
      <c r="K70" s="13" t="str">
        <f t="shared" si="4"/>
        <v/>
      </c>
      <c r="L70" s="9" t="str">
        <f t="shared" si="5"/>
        <v/>
      </c>
      <c r="M70" s="1" t="str">
        <f t="shared" si="6"/>
        <v/>
      </c>
      <c r="N70" s="1" t="str">
        <f t="shared" si="7"/>
        <v/>
      </c>
      <c r="O70" s="1" t="str">
        <f t="shared" si="8"/>
        <v/>
      </c>
      <c r="P70" s="1" t="str">
        <f t="shared" si="9"/>
        <v/>
      </c>
      <c r="Q70" s="1" t="str">
        <f t="shared" si="10"/>
        <v/>
      </c>
      <c r="R70" s="1" t="str">
        <f t="shared" si="11"/>
        <v/>
      </c>
      <c r="S70" s="1" t="str">
        <f t="shared" si="12"/>
        <v/>
      </c>
      <c r="T70" s="1" t="str">
        <f t="shared" si="13"/>
        <v/>
      </c>
      <c r="U70" s="1" t="str">
        <f t="shared" si="14"/>
        <v/>
      </c>
      <c r="V70" s="1" t="str">
        <f t="shared" si="15"/>
        <v/>
      </c>
      <c r="W70" s="26" t="str">
        <f t="shared" si="16"/>
        <v/>
      </c>
      <c r="X70" s="13" t="str">
        <f t="shared" si="17"/>
        <v/>
      </c>
      <c r="Y70" s="9">
        <f t="shared" si="18"/>
        <v>0</v>
      </c>
    </row>
    <row r="71" spans="1:25" x14ac:dyDescent="0.25">
      <c r="A71" s="28"/>
      <c r="B71" s="29"/>
      <c r="C71" s="30"/>
      <c r="D71" s="31"/>
      <c r="E71" s="29" t="s">
        <v>16</v>
      </c>
      <c r="F71" s="13" t="b">
        <f>IF($E71=Categories!$A$1,"",IF($E71=Categories!$A$2,Categories!$B$2,IF($E71=Categories!$A$3,Categories!$B$3,IF($E71=Categories!$A$4,Categories!$B$4,IF($E71=Categories!$A$5,Categories!$B$5,IF($E71=Categories!$A$6,Categories!$B$6,IF($E71=Categories!$A$7,Categories!$B$7,IF($E71=Categories!$A$8,Categories!$B$8,IF($E71=Categories!$A$9,Categories!$B$9,IF($E71=Categories!$A$10,Categories!$B$10,IF($E71=Categories!$A$11,Categories!$B$11,IF($E71=Categories!$A$12,Categories!$B$12,IF($E71=Categories!$A$13,Categories!$B$13,IF($E71=Categories!$A$14,Categories!$B$14,IF($E71=Categories!$A$15,Categories!$B$15,IF($E71=Categories!$A$16,Categories!$B$16,IF($E71=Categories!$A$17,Categories!$B$17,IF($E71=Categories!$A$18,Categories!$B$18,IF($E71=Categories!$A$19,Categories!$B$19)))))))))))))))))))</f>
        <v>0</v>
      </c>
      <c r="G71" s="9" t="str">
        <f t="shared" ref="G71:G95" si="19">IF($F71="Inc1",$D71,"")</f>
        <v/>
      </c>
      <c r="H71" s="1" t="str">
        <f t="shared" ref="H71:H95" si="20">IF($F71="Inc2",$D71,"")</f>
        <v/>
      </c>
      <c r="I71" s="1" t="str">
        <f t="shared" ref="I71:I95" si="21">IF($F71="Int",$D71,"")</f>
        <v/>
      </c>
      <c r="J71" s="1" t="str">
        <f t="shared" ref="J71:J95" si="22">IF($F71="Inc4",$D71,"")</f>
        <v/>
      </c>
      <c r="K71" s="13" t="str">
        <f t="shared" ref="K71:K95" si="23">IF($F71="Inc5",$D71,"")</f>
        <v/>
      </c>
      <c r="L71" s="9" t="str">
        <f t="shared" ref="L71:L95" si="24">IF($F71="ExpA",$D71,"")</f>
        <v/>
      </c>
      <c r="M71" s="1" t="str">
        <f t="shared" ref="M71:M95" si="25">IF($F71="ExpB",$D71,"")</f>
        <v/>
      </c>
      <c r="N71" s="1" t="str">
        <f t="shared" ref="N71:N95" si="26">IF($F71="ExpC",$D71,"")</f>
        <v/>
      </c>
      <c r="O71" s="1" t="str">
        <f t="shared" ref="O71:O95" si="27">IF($F71="ExpD",$D71,"")</f>
        <v/>
      </c>
      <c r="P71" s="1" t="str">
        <f t="shared" ref="P71:P95" si="28">IF($F71="ExpE",$D71,"")</f>
        <v/>
      </c>
      <c r="Q71" s="1" t="str">
        <f t="shared" ref="Q71:Q95" si="29">IF($F71="ExpF",$D71,"")</f>
        <v/>
      </c>
      <c r="R71" s="1" t="str">
        <f t="shared" ref="R71:R95" si="30">IF($F71="ExpG",$D71,"")</f>
        <v/>
      </c>
      <c r="S71" s="1" t="str">
        <f t="shared" ref="S71:S95" si="31">IF($F71="ExpH",$D71,"")</f>
        <v/>
      </c>
      <c r="T71" s="1" t="str">
        <f t="shared" ref="T71:T95" si="32">IF($F71="ExpI",$D71,"")</f>
        <v/>
      </c>
      <c r="U71" s="1" t="str">
        <f t="shared" ref="U71:U95" si="33">IF($F71="ExpJ",$D71,"")</f>
        <v/>
      </c>
      <c r="V71" s="1" t="str">
        <f t="shared" ref="V71:V95" si="34">IF($F71="ExpK",$D71,"")</f>
        <v/>
      </c>
      <c r="W71" s="26" t="str">
        <f t="shared" ref="W71:W95" si="35">IF($F71="ExpL",$D71,"")</f>
        <v/>
      </c>
      <c r="X71" s="13" t="str">
        <f t="shared" ref="X71:X95" si="36">IF($F71="Expm",$D71,"")</f>
        <v/>
      </c>
      <c r="Y71" s="9">
        <f t="shared" si="18"/>
        <v>0</v>
      </c>
    </row>
    <row r="72" spans="1:25" x14ac:dyDescent="0.25">
      <c r="A72" s="28"/>
      <c r="B72" s="29"/>
      <c r="C72" s="30"/>
      <c r="D72" s="31"/>
      <c r="E72" s="29" t="s">
        <v>16</v>
      </c>
      <c r="F72" s="13" t="b">
        <f>IF($E72=Categories!$A$1,"",IF($E72=Categories!$A$2,Categories!$B$2,IF($E72=Categories!$A$3,Categories!$B$3,IF($E72=Categories!$A$4,Categories!$B$4,IF($E72=Categories!$A$5,Categories!$B$5,IF($E72=Categories!$A$6,Categories!$B$6,IF($E72=Categories!$A$7,Categories!$B$7,IF($E72=Categories!$A$8,Categories!$B$8,IF($E72=Categories!$A$9,Categories!$B$9,IF($E72=Categories!$A$10,Categories!$B$10,IF($E72=Categories!$A$11,Categories!$B$11,IF($E72=Categories!$A$12,Categories!$B$12,IF($E72=Categories!$A$13,Categories!$B$13,IF($E72=Categories!$A$14,Categories!$B$14,IF($E72=Categories!$A$15,Categories!$B$15,IF($E72=Categories!$A$16,Categories!$B$16,IF($E72=Categories!$A$17,Categories!$B$17,IF($E72=Categories!$A$18,Categories!$B$18,IF($E72=Categories!$A$19,Categories!$B$19)))))))))))))))))))</f>
        <v>0</v>
      </c>
      <c r="G72" s="9" t="str">
        <f t="shared" si="19"/>
        <v/>
      </c>
      <c r="H72" s="1" t="str">
        <f t="shared" si="20"/>
        <v/>
      </c>
      <c r="I72" s="1" t="str">
        <f t="shared" si="21"/>
        <v/>
      </c>
      <c r="J72" s="1" t="str">
        <f t="shared" si="22"/>
        <v/>
      </c>
      <c r="K72" s="13" t="str">
        <f t="shared" si="23"/>
        <v/>
      </c>
      <c r="L72" s="9" t="str">
        <f t="shared" si="24"/>
        <v/>
      </c>
      <c r="M72" s="1" t="str">
        <f t="shared" si="25"/>
        <v/>
      </c>
      <c r="N72" s="1" t="str">
        <f t="shared" si="26"/>
        <v/>
      </c>
      <c r="O72" s="1" t="str">
        <f t="shared" si="27"/>
        <v/>
      </c>
      <c r="P72" s="1" t="str">
        <f t="shared" si="28"/>
        <v/>
      </c>
      <c r="Q72" s="1" t="str">
        <f t="shared" si="29"/>
        <v/>
      </c>
      <c r="R72" s="1" t="str">
        <f t="shared" si="30"/>
        <v/>
      </c>
      <c r="S72" s="1" t="str">
        <f t="shared" si="31"/>
        <v/>
      </c>
      <c r="T72" s="1" t="str">
        <f t="shared" si="32"/>
        <v/>
      </c>
      <c r="U72" s="1" t="str">
        <f t="shared" si="33"/>
        <v/>
      </c>
      <c r="V72" s="1" t="str">
        <f t="shared" si="34"/>
        <v/>
      </c>
      <c r="W72" s="26" t="str">
        <f t="shared" si="35"/>
        <v/>
      </c>
      <c r="X72" s="13" t="str">
        <f t="shared" si="36"/>
        <v/>
      </c>
      <c r="Y72" s="9">
        <f t="shared" ref="Y72:Y95" si="37">Y71+SUM(G72:K72)-SUM(L72:X72)</f>
        <v>0</v>
      </c>
    </row>
    <row r="73" spans="1:25" x14ac:dyDescent="0.25">
      <c r="A73" s="28"/>
      <c r="B73" s="29"/>
      <c r="C73" s="30"/>
      <c r="D73" s="31"/>
      <c r="E73" s="29" t="s">
        <v>16</v>
      </c>
      <c r="F73" s="13" t="b">
        <f>IF($E73=Categories!$A$1,"",IF($E73=Categories!$A$2,Categories!$B$2,IF($E73=Categories!$A$3,Categories!$B$3,IF($E73=Categories!$A$4,Categories!$B$4,IF($E73=Categories!$A$5,Categories!$B$5,IF($E73=Categories!$A$6,Categories!$B$6,IF($E73=Categories!$A$7,Categories!$B$7,IF($E73=Categories!$A$8,Categories!$B$8,IF($E73=Categories!$A$9,Categories!$B$9,IF($E73=Categories!$A$10,Categories!$B$10,IF($E73=Categories!$A$11,Categories!$B$11,IF($E73=Categories!$A$12,Categories!$B$12,IF($E73=Categories!$A$13,Categories!$B$13,IF($E73=Categories!$A$14,Categories!$B$14,IF($E73=Categories!$A$15,Categories!$B$15,IF($E73=Categories!$A$16,Categories!$B$16,IF($E73=Categories!$A$17,Categories!$B$17,IF($E73=Categories!$A$18,Categories!$B$18,IF($E73=Categories!$A$19,Categories!$B$19)))))))))))))))))))</f>
        <v>0</v>
      </c>
      <c r="G73" s="9" t="str">
        <f t="shared" si="19"/>
        <v/>
      </c>
      <c r="H73" s="1" t="str">
        <f t="shared" si="20"/>
        <v/>
      </c>
      <c r="I73" s="1" t="str">
        <f t="shared" si="21"/>
        <v/>
      </c>
      <c r="J73" s="1" t="str">
        <f t="shared" si="22"/>
        <v/>
      </c>
      <c r="K73" s="13" t="str">
        <f t="shared" si="23"/>
        <v/>
      </c>
      <c r="L73" s="9" t="str">
        <f t="shared" si="24"/>
        <v/>
      </c>
      <c r="M73" s="1" t="str">
        <f t="shared" si="25"/>
        <v/>
      </c>
      <c r="N73" s="1" t="str">
        <f t="shared" si="26"/>
        <v/>
      </c>
      <c r="O73" s="1" t="str">
        <f t="shared" si="27"/>
        <v/>
      </c>
      <c r="P73" s="1" t="str">
        <f t="shared" si="28"/>
        <v/>
      </c>
      <c r="Q73" s="1" t="str">
        <f t="shared" si="29"/>
        <v/>
      </c>
      <c r="R73" s="1" t="str">
        <f t="shared" si="30"/>
        <v/>
      </c>
      <c r="S73" s="1" t="str">
        <f t="shared" si="31"/>
        <v/>
      </c>
      <c r="T73" s="1" t="str">
        <f t="shared" si="32"/>
        <v/>
      </c>
      <c r="U73" s="1" t="str">
        <f t="shared" si="33"/>
        <v/>
      </c>
      <c r="V73" s="1" t="str">
        <f t="shared" si="34"/>
        <v/>
      </c>
      <c r="W73" s="26" t="str">
        <f t="shared" si="35"/>
        <v/>
      </c>
      <c r="X73" s="13" t="str">
        <f t="shared" si="36"/>
        <v/>
      </c>
      <c r="Y73" s="9">
        <f t="shared" si="37"/>
        <v>0</v>
      </c>
    </row>
    <row r="74" spans="1:25" x14ac:dyDescent="0.25">
      <c r="A74" s="28"/>
      <c r="B74" s="29"/>
      <c r="C74" s="30"/>
      <c r="D74" s="31"/>
      <c r="E74" s="29" t="s">
        <v>16</v>
      </c>
      <c r="F74" s="13" t="b">
        <f>IF($E74=Categories!$A$1,"",IF($E74=Categories!$A$2,Categories!$B$2,IF($E74=Categories!$A$3,Categories!$B$3,IF($E74=Categories!$A$4,Categories!$B$4,IF($E74=Categories!$A$5,Categories!$B$5,IF($E74=Categories!$A$6,Categories!$B$6,IF($E74=Categories!$A$7,Categories!$B$7,IF($E74=Categories!$A$8,Categories!$B$8,IF($E74=Categories!$A$9,Categories!$B$9,IF($E74=Categories!$A$10,Categories!$B$10,IF($E74=Categories!$A$11,Categories!$B$11,IF($E74=Categories!$A$12,Categories!$B$12,IF($E74=Categories!$A$13,Categories!$B$13,IF($E74=Categories!$A$14,Categories!$B$14,IF($E74=Categories!$A$15,Categories!$B$15,IF($E74=Categories!$A$16,Categories!$B$16,IF($E74=Categories!$A$17,Categories!$B$17,IF($E74=Categories!$A$18,Categories!$B$18,IF($E74=Categories!$A$19,Categories!$B$19)))))))))))))))))))</f>
        <v>0</v>
      </c>
      <c r="G74" s="9" t="str">
        <f t="shared" si="19"/>
        <v/>
      </c>
      <c r="H74" s="1" t="str">
        <f t="shared" si="20"/>
        <v/>
      </c>
      <c r="I74" s="1" t="str">
        <f t="shared" si="21"/>
        <v/>
      </c>
      <c r="J74" s="1" t="str">
        <f t="shared" si="22"/>
        <v/>
      </c>
      <c r="K74" s="13" t="str">
        <f t="shared" si="23"/>
        <v/>
      </c>
      <c r="L74" s="9" t="str">
        <f t="shared" si="24"/>
        <v/>
      </c>
      <c r="M74" s="1" t="str">
        <f t="shared" si="25"/>
        <v/>
      </c>
      <c r="N74" s="1" t="str">
        <f t="shared" si="26"/>
        <v/>
      </c>
      <c r="O74" s="1" t="str">
        <f t="shared" si="27"/>
        <v/>
      </c>
      <c r="P74" s="1" t="str">
        <f t="shared" si="28"/>
        <v/>
      </c>
      <c r="Q74" s="1" t="str">
        <f t="shared" si="29"/>
        <v/>
      </c>
      <c r="R74" s="1" t="str">
        <f t="shared" si="30"/>
        <v/>
      </c>
      <c r="S74" s="1" t="str">
        <f t="shared" si="31"/>
        <v/>
      </c>
      <c r="T74" s="1" t="str">
        <f t="shared" si="32"/>
        <v/>
      </c>
      <c r="U74" s="1" t="str">
        <f t="shared" si="33"/>
        <v/>
      </c>
      <c r="V74" s="1" t="str">
        <f t="shared" si="34"/>
        <v/>
      </c>
      <c r="W74" s="26" t="str">
        <f t="shared" si="35"/>
        <v/>
      </c>
      <c r="X74" s="13" t="str">
        <f t="shared" si="36"/>
        <v/>
      </c>
      <c r="Y74" s="9">
        <f t="shared" si="37"/>
        <v>0</v>
      </c>
    </row>
    <row r="75" spans="1:25" x14ac:dyDescent="0.25">
      <c r="A75" s="28"/>
      <c r="B75" s="29"/>
      <c r="C75" s="30"/>
      <c r="D75" s="31"/>
      <c r="E75" s="29" t="s">
        <v>16</v>
      </c>
      <c r="F75" s="13" t="b">
        <f>IF($E75=Categories!$A$1,"",IF($E75=Categories!$A$2,Categories!$B$2,IF($E75=Categories!$A$3,Categories!$B$3,IF($E75=Categories!$A$4,Categories!$B$4,IF($E75=Categories!$A$5,Categories!$B$5,IF($E75=Categories!$A$6,Categories!$B$6,IF($E75=Categories!$A$7,Categories!$B$7,IF($E75=Categories!$A$8,Categories!$B$8,IF($E75=Categories!$A$9,Categories!$B$9,IF($E75=Categories!$A$10,Categories!$B$10,IF($E75=Categories!$A$11,Categories!$B$11,IF($E75=Categories!$A$12,Categories!$B$12,IF($E75=Categories!$A$13,Categories!$B$13,IF($E75=Categories!$A$14,Categories!$B$14,IF($E75=Categories!$A$15,Categories!$B$15,IF($E75=Categories!$A$16,Categories!$B$16,IF($E75=Categories!$A$17,Categories!$B$17,IF($E75=Categories!$A$18,Categories!$B$18,IF($E75=Categories!$A$19,Categories!$B$19)))))))))))))))))))</f>
        <v>0</v>
      </c>
      <c r="G75" s="9" t="str">
        <f t="shared" si="19"/>
        <v/>
      </c>
      <c r="H75" s="1" t="str">
        <f t="shared" si="20"/>
        <v/>
      </c>
      <c r="I75" s="1" t="str">
        <f t="shared" si="21"/>
        <v/>
      </c>
      <c r="J75" s="1" t="str">
        <f t="shared" si="22"/>
        <v/>
      </c>
      <c r="K75" s="13" t="str">
        <f t="shared" si="23"/>
        <v/>
      </c>
      <c r="L75" s="9" t="str">
        <f t="shared" si="24"/>
        <v/>
      </c>
      <c r="M75" s="1" t="str">
        <f t="shared" si="25"/>
        <v/>
      </c>
      <c r="N75" s="1" t="str">
        <f t="shared" si="26"/>
        <v/>
      </c>
      <c r="O75" s="1" t="str">
        <f t="shared" si="27"/>
        <v/>
      </c>
      <c r="P75" s="1" t="str">
        <f t="shared" si="28"/>
        <v/>
      </c>
      <c r="Q75" s="1" t="str">
        <f t="shared" si="29"/>
        <v/>
      </c>
      <c r="R75" s="1" t="str">
        <f t="shared" si="30"/>
        <v/>
      </c>
      <c r="S75" s="1" t="str">
        <f t="shared" si="31"/>
        <v/>
      </c>
      <c r="T75" s="1" t="str">
        <f t="shared" si="32"/>
        <v/>
      </c>
      <c r="U75" s="1" t="str">
        <f t="shared" si="33"/>
        <v/>
      </c>
      <c r="V75" s="1" t="str">
        <f t="shared" si="34"/>
        <v/>
      </c>
      <c r="W75" s="26" t="str">
        <f t="shared" si="35"/>
        <v/>
      </c>
      <c r="X75" s="13" t="str">
        <f t="shared" si="36"/>
        <v/>
      </c>
      <c r="Y75" s="9">
        <f t="shared" si="37"/>
        <v>0</v>
      </c>
    </row>
    <row r="76" spans="1:25" x14ac:dyDescent="0.25">
      <c r="A76" s="28"/>
      <c r="B76" s="29"/>
      <c r="C76" s="30"/>
      <c r="D76" s="31"/>
      <c r="E76" s="29" t="s">
        <v>16</v>
      </c>
      <c r="F76" s="13" t="b">
        <f>IF($E76=Categories!$A$1,"",IF($E76=Categories!$A$2,Categories!$B$2,IF($E76=Categories!$A$3,Categories!$B$3,IF($E76=Categories!$A$4,Categories!$B$4,IF($E76=Categories!$A$5,Categories!$B$5,IF($E76=Categories!$A$6,Categories!$B$6,IF($E76=Categories!$A$7,Categories!$B$7,IF($E76=Categories!$A$8,Categories!$B$8,IF($E76=Categories!$A$9,Categories!$B$9,IF($E76=Categories!$A$10,Categories!$B$10,IF($E76=Categories!$A$11,Categories!$B$11,IF($E76=Categories!$A$12,Categories!$B$12,IF($E76=Categories!$A$13,Categories!$B$13,IF($E76=Categories!$A$14,Categories!$B$14,IF($E76=Categories!$A$15,Categories!$B$15,IF($E76=Categories!$A$16,Categories!$B$16,IF($E76=Categories!$A$17,Categories!$B$17,IF($E76=Categories!$A$18,Categories!$B$18,IF($E76=Categories!$A$19,Categories!$B$19)))))))))))))))))))</f>
        <v>0</v>
      </c>
      <c r="G76" s="9" t="str">
        <f t="shared" si="19"/>
        <v/>
      </c>
      <c r="H76" s="1" t="str">
        <f t="shared" si="20"/>
        <v/>
      </c>
      <c r="I76" s="1" t="str">
        <f t="shared" si="21"/>
        <v/>
      </c>
      <c r="J76" s="1" t="str">
        <f t="shared" si="22"/>
        <v/>
      </c>
      <c r="K76" s="13" t="str">
        <f t="shared" si="23"/>
        <v/>
      </c>
      <c r="L76" s="9" t="str">
        <f t="shared" si="24"/>
        <v/>
      </c>
      <c r="M76" s="1" t="str">
        <f t="shared" si="25"/>
        <v/>
      </c>
      <c r="N76" s="1" t="str">
        <f t="shared" si="26"/>
        <v/>
      </c>
      <c r="O76" s="1" t="str">
        <f t="shared" si="27"/>
        <v/>
      </c>
      <c r="P76" s="1" t="str">
        <f t="shared" si="28"/>
        <v/>
      </c>
      <c r="Q76" s="1" t="str">
        <f t="shared" si="29"/>
        <v/>
      </c>
      <c r="R76" s="1" t="str">
        <f t="shared" si="30"/>
        <v/>
      </c>
      <c r="S76" s="1" t="str">
        <f t="shared" si="31"/>
        <v/>
      </c>
      <c r="T76" s="1" t="str">
        <f t="shared" si="32"/>
        <v/>
      </c>
      <c r="U76" s="1" t="str">
        <f t="shared" si="33"/>
        <v/>
      </c>
      <c r="V76" s="1" t="str">
        <f t="shared" si="34"/>
        <v/>
      </c>
      <c r="W76" s="26" t="str">
        <f t="shared" si="35"/>
        <v/>
      </c>
      <c r="X76" s="13" t="str">
        <f t="shared" si="36"/>
        <v/>
      </c>
      <c r="Y76" s="9">
        <f t="shared" si="37"/>
        <v>0</v>
      </c>
    </row>
    <row r="77" spans="1:25" x14ac:dyDescent="0.25">
      <c r="A77" s="28"/>
      <c r="B77" s="29"/>
      <c r="C77" s="30"/>
      <c r="D77" s="31"/>
      <c r="E77" s="29" t="s">
        <v>16</v>
      </c>
      <c r="F77" s="13" t="b">
        <f>IF($E77=Categories!$A$1,"",IF($E77=Categories!$A$2,Categories!$B$2,IF($E77=Categories!$A$3,Categories!$B$3,IF($E77=Categories!$A$4,Categories!$B$4,IF($E77=Categories!$A$5,Categories!$B$5,IF($E77=Categories!$A$6,Categories!$B$6,IF($E77=Categories!$A$7,Categories!$B$7,IF($E77=Categories!$A$8,Categories!$B$8,IF($E77=Categories!$A$9,Categories!$B$9,IF($E77=Categories!$A$10,Categories!$B$10,IF($E77=Categories!$A$11,Categories!$B$11,IF($E77=Categories!$A$12,Categories!$B$12,IF($E77=Categories!$A$13,Categories!$B$13,IF($E77=Categories!$A$14,Categories!$B$14,IF($E77=Categories!$A$15,Categories!$B$15,IF($E77=Categories!$A$16,Categories!$B$16,IF($E77=Categories!$A$17,Categories!$B$17,IF($E77=Categories!$A$18,Categories!$B$18,IF($E77=Categories!$A$19,Categories!$B$19)))))))))))))))))))</f>
        <v>0</v>
      </c>
      <c r="G77" s="9" t="str">
        <f t="shared" si="19"/>
        <v/>
      </c>
      <c r="H77" s="1" t="str">
        <f t="shared" si="20"/>
        <v/>
      </c>
      <c r="I77" s="1" t="str">
        <f t="shared" si="21"/>
        <v/>
      </c>
      <c r="J77" s="1" t="str">
        <f t="shared" si="22"/>
        <v/>
      </c>
      <c r="K77" s="13" t="str">
        <f t="shared" si="23"/>
        <v/>
      </c>
      <c r="L77" s="9" t="str">
        <f t="shared" si="24"/>
        <v/>
      </c>
      <c r="M77" s="1" t="str">
        <f t="shared" si="25"/>
        <v/>
      </c>
      <c r="N77" s="1" t="str">
        <f t="shared" si="26"/>
        <v/>
      </c>
      <c r="O77" s="1" t="str">
        <f t="shared" si="27"/>
        <v/>
      </c>
      <c r="P77" s="1" t="str">
        <f t="shared" si="28"/>
        <v/>
      </c>
      <c r="Q77" s="1" t="str">
        <f t="shared" si="29"/>
        <v/>
      </c>
      <c r="R77" s="1" t="str">
        <f t="shared" si="30"/>
        <v/>
      </c>
      <c r="S77" s="1" t="str">
        <f t="shared" si="31"/>
        <v/>
      </c>
      <c r="T77" s="1" t="str">
        <f t="shared" si="32"/>
        <v/>
      </c>
      <c r="U77" s="1" t="str">
        <f t="shared" si="33"/>
        <v/>
      </c>
      <c r="V77" s="1" t="str">
        <f t="shared" si="34"/>
        <v/>
      </c>
      <c r="W77" s="26" t="str">
        <f t="shared" si="35"/>
        <v/>
      </c>
      <c r="X77" s="13" t="str">
        <f t="shared" si="36"/>
        <v/>
      </c>
      <c r="Y77" s="9">
        <f t="shared" si="37"/>
        <v>0</v>
      </c>
    </row>
    <row r="78" spans="1:25" x14ac:dyDescent="0.25">
      <c r="A78" s="28"/>
      <c r="B78" s="29"/>
      <c r="C78" s="30"/>
      <c r="D78" s="31"/>
      <c r="E78" s="29" t="s">
        <v>16</v>
      </c>
      <c r="F78" s="13" t="b">
        <f>IF($E78=Categories!$A$1,"",IF($E78=Categories!$A$2,Categories!$B$2,IF($E78=Categories!$A$3,Categories!$B$3,IF($E78=Categories!$A$4,Categories!$B$4,IF($E78=Categories!$A$5,Categories!$B$5,IF($E78=Categories!$A$6,Categories!$B$6,IF($E78=Categories!$A$7,Categories!$B$7,IF($E78=Categories!$A$8,Categories!$B$8,IF($E78=Categories!$A$9,Categories!$B$9,IF($E78=Categories!$A$10,Categories!$B$10,IF($E78=Categories!$A$11,Categories!$B$11,IF($E78=Categories!$A$12,Categories!$B$12,IF($E78=Categories!$A$13,Categories!$B$13,IF($E78=Categories!$A$14,Categories!$B$14,IF($E78=Categories!$A$15,Categories!$B$15,IF($E78=Categories!$A$16,Categories!$B$16,IF($E78=Categories!$A$17,Categories!$B$17,IF($E78=Categories!$A$18,Categories!$B$18,IF($E78=Categories!$A$19,Categories!$B$19)))))))))))))))))))</f>
        <v>0</v>
      </c>
      <c r="G78" s="9" t="str">
        <f t="shared" si="19"/>
        <v/>
      </c>
      <c r="H78" s="1" t="str">
        <f t="shared" si="20"/>
        <v/>
      </c>
      <c r="I78" s="1" t="str">
        <f t="shared" si="21"/>
        <v/>
      </c>
      <c r="J78" s="1" t="str">
        <f t="shared" si="22"/>
        <v/>
      </c>
      <c r="K78" s="13" t="str">
        <f t="shared" si="23"/>
        <v/>
      </c>
      <c r="L78" s="9" t="str">
        <f t="shared" si="24"/>
        <v/>
      </c>
      <c r="M78" s="1" t="str">
        <f t="shared" si="25"/>
        <v/>
      </c>
      <c r="N78" s="1" t="str">
        <f t="shared" si="26"/>
        <v/>
      </c>
      <c r="O78" s="1" t="str">
        <f t="shared" si="27"/>
        <v/>
      </c>
      <c r="P78" s="1" t="str">
        <f t="shared" si="28"/>
        <v/>
      </c>
      <c r="Q78" s="1" t="str">
        <f t="shared" si="29"/>
        <v/>
      </c>
      <c r="R78" s="1" t="str">
        <f t="shared" si="30"/>
        <v/>
      </c>
      <c r="S78" s="1" t="str">
        <f t="shared" si="31"/>
        <v/>
      </c>
      <c r="T78" s="1" t="str">
        <f t="shared" si="32"/>
        <v/>
      </c>
      <c r="U78" s="1" t="str">
        <f t="shared" si="33"/>
        <v/>
      </c>
      <c r="V78" s="1" t="str">
        <f t="shared" si="34"/>
        <v/>
      </c>
      <c r="W78" s="26" t="str">
        <f t="shared" si="35"/>
        <v/>
      </c>
      <c r="X78" s="13" t="str">
        <f t="shared" si="36"/>
        <v/>
      </c>
      <c r="Y78" s="9">
        <f t="shared" si="37"/>
        <v>0</v>
      </c>
    </row>
    <row r="79" spans="1:25" x14ac:dyDescent="0.25">
      <c r="A79" s="28"/>
      <c r="B79" s="29"/>
      <c r="C79" s="30"/>
      <c r="D79" s="31"/>
      <c r="E79" s="29" t="s">
        <v>16</v>
      </c>
      <c r="F79" s="13" t="b">
        <f>IF($E79=Categories!$A$1,"",IF($E79=Categories!$A$2,Categories!$B$2,IF($E79=Categories!$A$3,Categories!$B$3,IF($E79=Categories!$A$4,Categories!$B$4,IF($E79=Categories!$A$5,Categories!$B$5,IF($E79=Categories!$A$6,Categories!$B$6,IF($E79=Categories!$A$7,Categories!$B$7,IF($E79=Categories!$A$8,Categories!$B$8,IF($E79=Categories!$A$9,Categories!$B$9,IF($E79=Categories!$A$10,Categories!$B$10,IF($E79=Categories!$A$11,Categories!$B$11,IF($E79=Categories!$A$12,Categories!$B$12,IF($E79=Categories!$A$13,Categories!$B$13,IF($E79=Categories!$A$14,Categories!$B$14,IF($E79=Categories!$A$15,Categories!$B$15,IF($E79=Categories!$A$16,Categories!$B$16,IF($E79=Categories!$A$17,Categories!$B$17,IF($E79=Categories!$A$18,Categories!$B$18,IF($E79=Categories!$A$19,Categories!$B$19)))))))))))))))))))</f>
        <v>0</v>
      </c>
      <c r="G79" s="9" t="str">
        <f t="shared" si="19"/>
        <v/>
      </c>
      <c r="H79" s="1" t="str">
        <f t="shared" si="20"/>
        <v/>
      </c>
      <c r="I79" s="1" t="str">
        <f t="shared" si="21"/>
        <v/>
      </c>
      <c r="J79" s="1" t="str">
        <f t="shared" si="22"/>
        <v/>
      </c>
      <c r="K79" s="13" t="str">
        <f t="shared" si="23"/>
        <v/>
      </c>
      <c r="L79" s="9" t="str">
        <f t="shared" si="24"/>
        <v/>
      </c>
      <c r="M79" s="1" t="str">
        <f t="shared" si="25"/>
        <v/>
      </c>
      <c r="N79" s="1" t="str">
        <f t="shared" si="26"/>
        <v/>
      </c>
      <c r="O79" s="1" t="str">
        <f t="shared" si="27"/>
        <v/>
      </c>
      <c r="P79" s="1" t="str">
        <f t="shared" si="28"/>
        <v/>
      </c>
      <c r="Q79" s="1" t="str">
        <f t="shared" si="29"/>
        <v/>
      </c>
      <c r="R79" s="1" t="str">
        <f t="shared" si="30"/>
        <v/>
      </c>
      <c r="S79" s="1" t="str">
        <f t="shared" si="31"/>
        <v/>
      </c>
      <c r="T79" s="1" t="str">
        <f t="shared" si="32"/>
        <v/>
      </c>
      <c r="U79" s="1" t="str">
        <f t="shared" si="33"/>
        <v/>
      </c>
      <c r="V79" s="1" t="str">
        <f t="shared" si="34"/>
        <v/>
      </c>
      <c r="W79" s="26" t="str">
        <f t="shared" si="35"/>
        <v/>
      </c>
      <c r="X79" s="13" t="str">
        <f t="shared" si="36"/>
        <v/>
      </c>
      <c r="Y79" s="9">
        <f t="shared" si="37"/>
        <v>0</v>
      </c>
    </row>
    <row r="80" spans="1:25" x14ac:dyDescent="0.25">
      <c r="A80" s="28"/>
      <c r="B80" s="29"/>
      <c r="C80" s="30"/>
      <c r="D80" s="31"/>
      <c r="E80" s="29" t="s">
        <v>16</v>
      </c>
      <c r="F80" s="13" t="b">
        <f>IF($E80=Categories!$A$1,"",IF($E80=Categories!$A$2,Categories!$B$2,IF($E80=Categories!$A$3,Categories!$B$3,IF($E80=Categories!$A$4,Categories!$B$4,IF($E80=Categories!$A$5,Categories!$B$5,IF($E80=Categories!$A$6,Categories!$B$6,IF($E80=Categories!$A$7,Categories!$B$7,IF($E80=Categories!$A$8,Categories!$B$8,IF($E80=Categories!$A$9,Categories!$B$9,IF($E80=Categories!$A$10,Categories!$B$10,IF($E80=Categories!$A$11,Categories!$B$11,IF($E80=Categories!$A$12,Categories!$B$12,IF($E80=Categories!$A$13,Categories!$B$13,IF($E80=Categories!$A$14,Categories!$B$14,IF($E80=Categories!$A$15,Categories!$B$15,IF($E80=Categories!$A$16,Categories!$B$16,IF($E80=Categories!$A$17,Categories!$B$17,IF($E80=Categories!$A$18,Categories!$B$18,IF($E80=Categories!$A$19,Categories!$B$19)))))))))))))))))))</f>
        <v>0</v>
      </c>
      <c r="G80" s="9" t="str">
        <f t="shared" si="19"/>
        <v/>
      </c>
      <c r="H80" s="1" t="str">
        <f t="shared" si="20"/>
        <v/>
      </c>
      <c r="I80" s="1" t="str">
        <f t="shared" si="21"/>
        <v/>
      </c>
      <c r="J80" s="1" t="str">
        <f t="shared" si="22"/>
        <v/>
      </c>
      <c r="K80" s="13" t="str">
        <f t="shared" si="23"/>
        <v/>
      </c>
      <c r="L80" s="9" t="str">
        <f t="shared" si="24"/>
        <v/>
      </c>
      <c r="M80" s="1" t="str">
        <f t="shared" si="25"/>
        <v/>
      </c>
      <c r="N80" s="1" t="str">
        <f t="shared" si="26"/>
        <v/>
      </c>
      <c r="O80" s="1" t="str">
        <f t="shared" si="27"/>
        <v/>
      </c>
      <c r="P80" s="1" t="str">
        <f t="shared" si="28"/>
        <v/>
      </c>
      <c r="Q80" s="1" t="str">
        <f t="shared" si="29"/>
        <v/>
      </c>
      <c r="R80" s="1" t="str">
        <f t="shared" si="30"/>
        <v/>
      </c>
      <c r="S80" s="1" t="str">
        <f t="shared" si="31"/>
        <v/>
      </c>
      <c r="T80" s="1" t="str">
        <f t="shared" si="32"/>
        <v/>
      </c>
      <c r="U80" s="1" t="str">
        <f t="shared" si="33"/>
        <v/>
      </c>
      <c r="V80" s="1" t="str">
        <f t="shared" si="34"/>
        <v/>
      </c>
      <c r="W80" s="26" t="str">
        <f t="shared" si="35"/>
        <v/>
      </c>
      <c r="X80" s="13" t="str">
        <f t="shared" si="36"/>
        <v/>
      </c>
      <c r="Y80" s="9">
        <f t="shared" si="37"/>
        <v>0</v>
      </c>
    </row>
    <row r="81" spans="1:25" x14ac:dyDescent="0.25">
      <c r="A81" s="28"/>
      <c r="B81" s="29"/>
      <c r="C81" s="30"/>
      <c r="D81" s="31"/>
      <c r="E81" s="29" t="s">
        <v>16</v>
      </c>
      <c r="F81" s="13" t="b">
        <f>IF($E81=Categories!$A$1,"",IF($E81=Categories!$A$2,Categories!$B$2,IF($E81=Categories!$A$3,Categories!$B$3,IF($E81=Categories!$A$4,Categories!$B$4,IF($E81=Categories!$A$5,Categories!$B$5,IF($E81=Categories!$A$6,Categories!$B$6,IF($E81=Categories!$A$7,Categories!$B$7,IF($E81=Categories!$A$8,Categories!$B$8,IF($E81=Categories!$A$9,Categories!$B$9,IF($E81=Categories!$A$10,Categories!$B$10,IF($E81=Categories!$A$11,Categories!$B$11,IF($E81=Categories!$A$12,Categories!$B$12,IF($E81=Categories!$A$13,Categories!$B$13,IF($E81=Categories!$A$14,Categories!$B$14,IF($E81=Categories!$A$15,Categories!$B$15,IF($E81=Categories!$A$16,Categories!$B$16,IF($E81=Categories!$A$17,Categories!$B$17,IF($E81=Categories!$A$18,Categories!$B$18,IF($E81=Categories!$A$19,Categories!$B$19)))))))))))))))))))</f>
        <v>0</v>
      </c>
      <c r="G81" s="9" t="str">
        <f t="shared" si="19"/>
        <v/>
      </c>
      <c r="H81" s="1" t="str">
        <f t="shared" si="20"/>
        <v/>
      </c>
      <c r="I81" s="1" t="str">
        <f t="shared" si="21"/>
        <v/>
      </c>
      <c r="J81" s="1" t="str">
        <f t="shared" si="22"/>
        <v/>
      </c>
      <c r="K81" s="13" t="str">
        <f t="shared" si="23"/>
        <v/>
      </c>
      <c r="L81" s="9" t="str">
        <f t="shared" si="24"/>
        <v/>
      </c>
      <c r="M81" s="1" t="str">
        <f t="shared" si="25"/>
        <v/>
      </c>
      <c r="N81" s="1" t="str">
        <f t="shared" si="26"/>
        <v/>
      </c>
      <c r="O81" s="1" t="str">
        <f t="shared" si="27"/>
        <v/>
      </c>
      <c r="P81" s="1" t="str">
        <f t="shared" si="28"/>
        <v/>
      </c>
      <c r="Q81" s="1" t="str">
        <f t="shared" si="29"/>
        <v/>
      </c>
      <c r="R81" s="1" t="str">
        <f t="shared" si="30"/>
        <v/>
      </c>
      <c r="S81" s="1" t="str">
        <f t="shared" si="31"/>
        <v/>
      </c>
      <c r="T81" s="1" t="str">
        <f t="shared" si="32"/>
        <v/>
      </c>
      <c r="U81" s="1" t="str">
        <f t="shared" si="33"/>
        <v/>
      </c>
      <c r="V81" s="1" t="str">
        <f t="shared" si="34"/>
        <v/>
      </c>
      <c r="W81" s="26" t="str">
        <f t="shared" si="35"/>
        <v/>
      </c>
      <c r="X81" s="13" t="str">
        <f t="shared" si="36"/>
        <v/>
      </c>
      <c r="Y81" s="9">
        <f t="shared" si="37"/>
        <v>0</v>
      </c>
    </row>
    <row r="82" spans="1:25" x14ac:dyDescent="0.25">
      <c r="A82" s="28"/>
      <c r="B82" s="29"/>
      <c r="C82" s="30"/>
      <c r="D82" s="31"/>
      <c r="E82" s="29" t="s">
        <v>16</v>
      </c>
      <c r="F82" s="13" t="b">
        <f>IF($E82=Categories!$A$1,"",IF($E82=Categories!$A$2,Categories!$B$2,IF($E82=Categories!$A$3,Categories!$B$3,IF($E82=Categories!$A$4,Categories!$B$4,IF($E82=Categories!$A$5,Categories!$B$5,IF($E82=Categories!$A$6,Categories!$B$6,IF($E82=Categories!$A$7,Categories!$B$7,IF($E82=Categories!$A$8,Categories!$B$8,IF($E82=Categories!$A$9,Categories!$B$9,IF($E82=Categories!$A$10,Categories!$B$10,IF($E82=Categories!$A$11,Categories!$B$11,IF($E82=Categories!$A$12,Categories!$B$12,IF($E82=Categories!$A$13,Categories!$B$13,IF($E82=Categories!$A$14,Categories!$B$14,IF($E82=Categories!$A$15,Categories!$B$15,IF($E82=Categories!$A$16,Categories!$B$16,IF($E82=Categories!$A$17,Categories!$B$17,IF($E82=Categories!$A$18,Categories!$B$18,IF($E82=Categories!$A$19,Categories!$B$19)))))))))))))))))))</f>
        <v>0</v>
      </c>
      <c r="G82" s="9" t="str">
        <f t="shared" si="19"/>
        <v/>
      </c>
      <c r="H82" s="1" t="str">
        <f t="shared" si="20"/>
        <v/>
      </c>
      <c r="I82" s="1" t="str">
        <f t="shared" si="21"/>
        <v/>
      </c>
      <c r="J82" s="1" t="str">
        <f t="shared" si="22"/>
        <v/>
      </c>
      <c r="K82" s="13" t="str">
        <f t="shared" si="23"/>
        <v/>
      </c>
      <c r="L82" s="9" t="str">
        <f t="shared" si="24"/>
        <v/>
      </c>
      <c r="M82" s="1" t="str">
        <f t="shared" si="25"/>
        <v/>
      </c>
      <c r="N82" s="1" t="str">
        <f t="shared" si="26"/>
        <v/>
      </c>
      <c r="O82" s="1" t="str">
        <f t="shared" si="27"/>
        <v/>
      </c>
      <c r="P82" s="1" t="str">
        <f t="shared" si="28"/>
        <v/>
      </c>
      <c r="Q82" s="1" t="str">
        <f t="shared" si="29"/>
        <v/>
      </c>
      <c r="R82" s="1" t="str">
        <f t="shared" si="30"/>
        <v/>
      </c>
      <c r="S82" s="1" t="str">
        <f t="shared" si="31"/>
        <v/>
      </c>
      <c r="T82" s="1" t="str">
        <f t="shared" si="32"/>
        <v/>
      </c>
      <c r="U82" s="1" t="str">
        <f t="shared" si="33"/>
        <v/>
      </c>
      <c r="V82" s="1" t="str">
        <f t="shared" si="34"/>
        <v/>
      </c>
      <c r="W82" s="26" t="str">
        <f t="shared" si="35"/>
        <v/>
      </c>
      <c r="X82" s="13" t="str">
        <f t="shared" si="36"/>
        <v/>
      </c>
      <c r="Y82" s="9">
        <f t="shared" si="37"/>
        <v>0</v>
      </c>
    </row>
    <row r="83" spans="1:25" x14ac:dyDescent="0.25">
      <c r="A83" s="28"/>
      <c r="B83" s="29"/>
      <c r="C83" s="30"/>
      <c r="D83" s="31"/>
      <c r="E83" s="29" t="s">
        <v>16</v>
      </c>
      <c r="F83" s="13" t="b">
        <f>IF($E83=Categories!$A$1,"",IF($E83=Categories!$A$2,Categories!$B$2,IF($E83=Categories!$A$3,Categories!$B$3,IF($E83=Categories!$A$4,Categories!$B$4,IF($E83=Categories!$A$5,Categories!$B$5,IF($E83=Categories!$A$6,Categories!$B$6,IF($E83=Categories!$A$7,Categories!$B$7,IF($E83=Categories!$A$8,Categories!$B$8,IF($E83=Categories!$A$9,Categories!$B$9,IF($E83=Categories!$A$10,Categories!$B$10,IF($E83=Categories!$A$11,Categories!$B$11,IF($E83=Categories!$A$12,Categories!$B$12,IF($E83=Categories!$A$13,Categories!$B$13,IF($E83=Categories!$A$14,Categories!$B$14,IF($E83=Categories!$A$15,Categories!$B$15,IF($E83=Categories!$A$16,Categories!$B$16,IF($E83=Categories!$A$17,Categories!$B$17,IF($E83=Categories!$A$18,Categories!$B$18,IF($E83=Categories!$A$19,Categories!$B$19)))))))))))))))))))</f>
        <v>0</v>
      </c>
      <c r="G83" s="9" t="str">
        <f t="shared" si="19"/>
        <v/>
      </c>
      <c r="H83" s="1" t="str">
        <f t="shared" si="20"/>
        <v/>
      </c>
      <c r="I83" s="1" t="str">
        <f t="shared" si="21"/>
        <v/>
      </c>
      <c r="J83" s="1" t="str">
        <f t="shared" si="22"/>
        <v/>
      </c>
      <c r="K83" s="13" t="str">
        <f t="shared" si="23"/>
        <v/>
      </c>
      <c r="L83" s="9" t="str">
        <f t="shared" si="24"/>
        <v/>
      </c>
      <c r="M83" s="1" t="str">
        <f t="shared" si="25"/>
        <v/>
      </c>
      <c r="N83" s="1" t="str">
        <f t="shared" si="26"/>
        <v/>
      </c>
      <c r="O83" s="1" t="str">
        <f t="shared" si="27"/>
        <v/>
      </c>
      <c r="P83" s="1" t="str">
        <f t="shared" si="28"/>
        <v/>
      </c>
      <c r="Q83" s="1" t="str">
        <f t="shared" si="29"/>
        <v/>
      </c>
      <c r="R83" s="1" t="str">
        <f t="shared" si="30"/>
        <v/>
      </c>
      <c r="S83" s="1" t="str">
        <f t="shared" si="31"/>
        <v/>
      </c>
      <c r="T83" s="1" t="str">
        <f t="shared" si="32"/>
        <v/>
      </c>
      <c r="U83" s="1" t="str">
        <f t="shared" si="33"/>
        <v/>
      </c>
      <c r="V83" s="1" t="str">
        <f t="shared" si="34"/>
        <v/>
      </c>
      <c r="W83" s="26" t="str">
        <f t="shared" si="35"/>
        <v/>
      </c>
      <c r="X83" s="13" t="str">
        <f t="shared" si="36"/>
        <v/>
      </c>
      <c r="Y83" s="9">
        <f t="shared" si="37"/>
        <v>0</v>
      </c>
    </row>
    <row r="84" spans="1:25" x14ac:dyDescent="0.25">
      <c r="A84" s="28"/>
      <c r="B84" s="29"/>
      <c r="C84" s="30"/>
      <c r="D84" s="31"/>
      <c r="E84" s="29" t="s">
        <v>16</v>
      </c>
      <c r="F84" s="13" t="b">
        <f>IF($E84=Categories!$A$1,"",IF($E84=Categories!$A$2,Categories!$B$2,IF($E84=Categories!$A$3,Categories!$B$3,IF($E84=Categories!$A$4,Categories!$B$4,IF($E84=Categories!$A$5,Categories!$B$5,IF($E84=Categories!$A$6,Categories!$B$6,IF($E84=Categories!$A$7,Categories!$B$7,IF($E84=Categories!$A$8,Categories!$B$8,IF($E84=Categories!$A$9,Categories!$B$9,IF($E84=Categories!$A$10,Categories!$B$10,IF($E84=Categories!$A$11,Categories!$B$11,IF($E84=Categories!$A$12,Categories!$B$12,IF($E84=Categories!$A$13,Categories!$B$13,IF($E84=Categories!$A$14,Categories!$B$14,IF($E84=Categories!$A$15,Categories!$B$15,IF($E84=Categories!$A$16,Categories!$B$16,IF($E84=Categories!$A$17,Categories!$B$17,IF($E84=Categories!$A$18,Categories!$B$18,IF($E84=Categories!$A$19,Categories!$B$19)))))))))))))))))))</f>
        <v>0</v>
      </c>
      <c r="G84" s="9" t="str">
        <f t="shared" si="19"/>
        <v/>
      </c>
      <c r="H84" s="1" t="str">
        <f t="shared" si="20"/>
        <v/>
      </c>
      <c r="I84" s="1" t="str">
        <f t="shared" si="21"/>
        <v/>
      </c>
      <c r="J84" s="1" t="str">
        <f t="shared" si="22"/>
        <v/>
      </c>
      <c r="K84" s="13" t="str">
        <f t="shared" si="23"/>
        <v/>
      </c>
      <c r="L84" s="9" t="str">
        <f t="shared" si="24"/>
        <v/>
      </c>
      <c r="M84" s="1" t="str">
        <f t="shared" si="25"/>
        <v/>
      </c>
      <c r="N84" s="1" t="str">
        <f t="shared" si="26"/>
        <v/>
      </c>
      <c r="O84" s="1" t="str">
        <f t="shared" si="27"/>
        <v/>
      </c>
      <c r="P84" s="1" t="str">
        <f t="shared" si="28"/>
        <v/>
      </c>
      <c r="Q84" s="1" t="str">
        <f t="shared" si="29"/>
        <v/>
      </c>
      <c r="R84" s="1" t="str">
        <f t="shared" si="30"/>
        <v/>
      </c>
      <c r="S84" s="1" t="str">
        <f t="shared" si="31"/>
        <v/>
      </c>
      <c r="T84" s="1" t="str">
        <f t="shared" si="32"/>
        <v/>
      </c>
      <c r="U84" s="1" t="str">
        <f t="shared" si="33"/>
        <v/>
      </c>
      <c r="V84" s="1" t="str">
        <f t="shared" si="34"/>
        <v/>
      </c>
      <c r="W84" s="26" t="str">
        <f t="shared" si="35"/>
        <v/>
      </c>
      <c r="X84" s="13" t="str">
        <f t="shared" si="36"/>
        <v/>
      </c>
      <c r="Y84" s="9">
        <f t="shared" si="37"/>
        <v>0</v>
      </c>
    </row>
    <row r="85" spans="1:25" x14ac:dyDescent="0.25">
      <c r="A85" s="28"/>
      <c r="B85" s="29"/>
      <c r="C85" s="30"/>
      <c r="D85" s="31"/>
      <c r="E85" s="29" t="s">
        <v>16</v>
      </c>
      <c r="F85" s="13" t="b">
        <f>IF($E85=Categories!$A$1,"",IF($E85=Categories!$A$2,Categories!$B$2,IF($E85=Categories!$A$3,Categories!$B$3,IF($E85=Categories!$A$4,Categories!$B$4,IF($E85=Categories!$A$5,Categories!$B$5,IF($E85=Categories!$A$6,Categories!$B$6,IF($E85=Categories!$A$7,Categories!$B$7,IF($E85=Categories!$A$8,Categories!$B$8,IF($E85=Categories!$A$9,Categories!$B$9,IF($E85=Categories!$A$10,Categories!$B$10,IF($E85=Categories!$A$11,Categories!$B$11,IF($E85=Categories!$A$12,Categories!$B$12,IF($E85=Categories!$A$13,Categories!$B$13,IF($E85=Categories!$A$14,Categories!$B$14,IF($E85=Categories!$A$15,Categories!$B$15,IF($E85=Categories!$A$16,Categories!$B$16,IF($E85=Categories!$A$17,Categories!$B$17,IF($E85=Categories!$A$18,Categories!$B$18,IF($E85=Categories!$A$19,Categories!$B$19)))))))))))))))))))</f>
        <v>0</v>
      </c>
      <c r="G85" s="9" t="str">
        <f t="shared" si="19"/>
        <v/>
      </c>
      <c r="H85" s="1" t="str">
        <f t="shared" si="20"/>
        <v/>
      </c>
      <c r="I85" s="1" t="str">
        <f t="shared" si="21"/>
        <v/>
      </c>
      <c r="J85" s="1" t="str">
        <f t="shared" si="22"/>
        <v/>
      </c>
      <c r="K85" s="13" t="str">
        <f t="shared" si="23"/>
        <v/>
      </c>
      <c r="L85" s="9" t="str">
        <f t="shared" si="24"/>
        <v/>
      </c>
      <c r="M85" s="1" t="str">
        <f t="shared" si="25"/>
        <v/>
      </c>
      <c r="N85" s="1" t="str">
        <f t="shared" si="26"/>
        <v/>
      </c>
      <c r="O85" s="1" t="str">
        <f t="shared" si="27"/>
        <v/>
      </c>
      <c r="P85" s="1" t="str">
        <f t="shared" si="28"/>
        <v/>
      </c>
      <c r="Q85" s="1" t="str">
        <f t="shared" si="29"/>
        <v/>
      </c>
      <c r="R85" s="1" t="str">
        <f t="shared" si="30"/>
        <v/>
      </c>
      <c r="S85" s="1" t="str">
        <f t="shared" si="31"/>
        <v/>
      </c>
      <c r="T85" s="1" t="str">
        <f t="shared" si="32"/>
        <v/>
      </c>
      <c r="U85" s="1" t="str">
        <f t="shared" si="33"/>
        <v/>
      </c>
      <c r="V85" s="1" t="str">
        <f t="shared" si="34"/>
        <v/>
      </c>
      <c r="W85" s="26" t="str">
        <f t="shared" si="35"/>
        <v/>
      </c>
      <c r="X85" s="13" t="str">
        <f t="shared" si="36"/>
        <v/>
      </c>
      <c r="Y85" s="9">
        <f t="shared" si="37"/>
        <v>0</v>
      </c>
    </row>
    <row r="86" spans="1:25" x14ac:dyDescent="0.25">
      <c r="A86" s="28"/>
      <c r="B86" s="29"/>
      <c r="C86" s="30"/>
      <c r="D86" s="31"/>
      <c r="E86" s="29" t="s">
        <v>16</v>
      </c>
      <c r="F86" s="13" t="b">
        <f>IF($E86=Categories!$A$1,"",IF($E86=Categories!$A$2,Categories!$B$2,IF($E86=Categories!$A$3,Categories!$B$3,IF($E86=Categories!$A$4,Categories!$B$4,IF($E86=Categories!$A$5,Categories!$B$5,IF($E86=Categories!$A$6,Categories!$B$6,IF($E86=Categories!$A$7,Categories!$B$7,IF($E86=Categories!$A$8,Categories!$B$8,IF($E86=Categories!$A$9,Categories!$B$9,IF($E86=Categories!$A$10,Categories!$B$10,IF($E86=Categories!$A$11,Categories!$B$11,IF($E86=Categories!$A$12,Categories!$B$12,IF($E86=Categories!$A$13,Categories!$B$13,IF($E86=Categories!$A$14,Categories!$B$14,IF($E86=Categories!$A$15,Categories!$B$15,IF($E86=Categories!$A$16,Categories!$B$16,IF($E86=Categories!$A$17,Categories!$B$17,IF($E86=Categories!$A$18,Categories!$B$18,IF($E86=Categories!$A$19,Categories!$B$19)))))))))))))))))))</f>
        <v>0</v>
      </c>
      <c r="G86" s="9" t="str">
        <f t="shared" si="19"/>
        <v/>
      </c>
      <c r="H86" s="1" t="str">
        <f t="shared" si="20"/>
        <v/>
      </c>
      <c r="I86" s="1" t="str">
        <f t="shared" si="21"/>
        <v/>
      </c>
      <c r="J86" s="1" t="str">
        <f t="shared" si="22"/>
        <v/>
      </c>
      <c r="K86" s="13" t="str">
        <f t="shared" si="23"/>
        <v/>
      </c>
      <c r="L86" s="9" t="str">
        <f t="shared" si="24"/>
        <v/>
      </c>
      <c r="M86" s="1" t="str">
        <f t="shared" si="25"/>
        <v/>
      </c>
      <c r="N86" s="1" t="str">
        <f t="shared" si="26"/>
        <v/>
      </c>
      <c r="O86" s="1" t="str">
        <f t="shared" si="27"/>
        <v/>
      </c>
      <c r="P86" s="1" t="str">
        <f t="shared" si="28"/>
        <v/>
      </c>
      <c r="Q86" s="1" t="str">
        <f t="shared" si="29"/>
        <v/>
      </c>
      <c r="R86" s="1" t="str">
        <f t="shared" si="30"/>
        <v/>
      </c>
      <c r="S86" s="1" t="str">
        <f t="shared" si="31"/>
        <v/>
      </c>
      <c r="T86" s="1" t="str">
        <f t="shared" si="32"/>
        <v/>
      </c>
      <c r="U86" s="1" t="str">
        <f t="shared" si="33"/>
        <v/>
      </c>
      <c r="V86" s="1" t="str">
        <f t="shared" si="34"/>
        <v/>
      </c>
      <c r="W86" s="26" t="str">
        <f t="shared" si="35"/>
        <v/>
      </c>
      <c r="X86" s="13" t="str">
        <f t="shared" si="36"/>
        <v/>
      </c>
      <c r="Y86" s="9">
        <f t="shared" si="37"/>
        <v>0</v>
      </c>
    </row>
    <row r="87" spans="1:25" x14ac:dyDescent="0.25">
      <c r="A87" s="28"/>
      <c r="B87" s="29"/>
      <c r="C87" s="30"/>
      <c r="D87" s="31"/>
      <c r="E87" s="29" t="s">
        <v>16</v>
      </c>
      <c r="F87" s="13" t="b">
        <f>IF($E87=Categories!$A$1,"",IF($E87=Categories!$A$2,Categories!$B$2,IF($E87=Categories!$A$3,Categories!$B$3,IF($E87=Categories!$A$4,Categories!$B$4,IF($E87=Categories!$A$5,Categories!$B$5,IF($E87=Categories!$A$6,Categories!$B$6,IF($E87=Categories!$A$7,Categories!$B$7,IF($E87=Categories!$A$8,Categories!$B$8,IF($E87=Categories!$A$9,Categories!$B$9,IF($E87=Categories!$A$10,Categories!$B$10,IF($E87=Categories!$A$11,Categories!$B$11,IF($E87=Categories!$A$12,Categories!$B$12,IF($E87=Categories!$A$13,Categories!$B$13,IF($E87=Categories!$A$14,Categories!$B$14,IF($E87=Categories!$A$15,Categories!$B$15,IF($E87=Categories!$A$16,Categories!$B$16,IF($E87=Categories!$A$17,Categories!$B$17,IF($E87=Categories!$A$18,Categories!$B$18,IF($E87=Categories!$A$19,Categories!$B$19)))))))))))))))))))</f>
        <v>0</v>
      </c>
      <c r="G87" s="9" t="str">
        <f t="shared" si="19"/>
        <v/>
      </c>
      <c r="H87" s="1" t="str">
        <f t="shared" si="20"/>
        <v/>
      </c>
      <c r="I87" s="1" t="str">
        <f t="shared" si="21"/>
        <v/>
      </c>
      <c r="J87" s="1" t="str">
        <f t="shared" si="22"/>
        <v/>
      </c>
      <c r="K87" s="13" t="str">
        <f t="shared" si="23"/>
        <v/>
      </c>
      <c r="L87" s="9" t="str">
        <f t="shared" si="24"/>
        <v/>
      </c>
      <c r="M87" s="1" t="str">
        <f t="shared" si="25"/>
        <v/>
      </c>
      <c r="N87" s="1" t="str">
        <f t="shared" si="26"/>
        <v/>
      </c>
      <c r="O87" s="1" t="str">
        <f t="shared" si="27"/>
        <v/>
      </c>
      <c r="P87" s="1" t="str">
        <f t="shared" si="28"/>
        <v/>
      </c>
      <c r="Q87" s="1" t="str">
        <f t="shared" si="29"/>
        <v/>
      </c>
      <c r="R87" s="1" t="str">
        <f t="shared" si="30"/>
        <v/>
      </c>
      <c r="S87" s="1" t="str">
        <f t="shared" si="31"/>
        <v/>
      </c>
      <c r="T87" s="1" t="str">
        <f t="shared" si="32"/>
        <v/>
      </c>
      <c r="U87" s="1" t="str">
        <f t="shared" si="33"/>
        <v/>
      </c>
      <c r="V87" s="1" t="str">
        <f t="shared" si="34"/>
        <v/>
      </c>
      <c r="W87" s="26" t="str">
        <f t="shared" si="35"/>
        <v/>
      </c>
      <c r="X87" s="13" t="str">
        <f t="shared" si="36"/>
        <v/>
      </c>
      <c r="Y87" s="9">
        <f t="shared" si="37"/>
        <v>0</v>
      </c>
    </row>
    <row r="88" spans="1:25" x14ac:dyDescent="0.25">
      <c r="A88" s="28"/>
      <c r="B88" s="29"/>
      <c r="C88" s="30"/>
      <c r="D88" s="31"/>
      <c r="E88" s="29" t="s">
        <v>16</v>
      </c>
      <c r="F88" s="13" t="b">
        <f>IF($E88=Categories!$A$1,"",IF($E88=Categories!$A$2,Categories!$B$2,IF($E88=Categories!$A$3,Categories!$B$3,IF($E88=Categories!$A$4,Categories!$B$4,IF($E88=Categories!$A$5,Categories!$B$5,IF($E88=Categories!$A$6,Categories!$B$6,IF($E88=Categories!$A$7,Categories!$B$7,IF($E88=Categories!$A$8,Categories!$B$8,IF($E88=Categories!$A$9,Categories!$B$9,IF($E88=Categories!$A$10,Categories!$B$10,IF($E88=Categories!$A$11,Categories!$B$11,IF($E88=Categories!$A$12,Categories!$B$12,IF($E88=Categories!$A$13,Categories!$B$13,IF($E88=Categories!$A$14,Categories!$B$14,IF($E88=Categories!$A$15,Categories!$B$15,IF($E88=Categories!$A$16,Categories!$B$16,IF($E88=Categories!$A$17,Categories!$B$17,IF($E88=Categories!$A$18,Categories!$B$18,IF($E88=Categories!$A$19,Categories!$B$19)))))))))))))))))))</f>
        <v>0</v>
      </c>
      <c r="G88" s="9" t="str">
        <f t="shared" si="19"/>
        <v/>
      </c>
      <c r="H88" s="1" t="str">
        <f t="shared" si="20"/>
        <v/>
      </c>
      <c r="I88" s="1" t="str">
        <f t="shared" si="21"/>
        <v/>
      </c>
      <c r="J88" s="1" t="str">
        <f t="shared" si="22"/>
        <v/>
      </c>
      <c r="K88" s="13" t="str">
        <f t="shared" si="23"/>
        <v/>
      </c>
      <c r="L88" s="9" t="str">
        <f t="shared" si="24"/>
        <v/>
      </c>
      <c r="M88" s="1" t="str">
        <f t="shared" si="25"/>
        <v/>
      </c>
      <c r="N88" s="1" t="str">
        <f t="shared" si="26"/>
        <v/>
      </c>
      <c r="O88" s="1" t="str">
        <f t="shared" si="27"/>
        <v/>
      </c>
      <c r="P88" s="1" t="str">
        <f t="shared" si="28"/>
        <v/>
      </c>
      <c r="Q88" s="1" t="str">
        <f t="shared" si="29"/>
        <v/>
      </c>
      <c r="R88" s="1" t="str">
        <f t="shared" si="30"/>
        <v/>
      </c>
      <c r="S88" s="1" t="str">
        <f t="shared" si="31"/>
        <v/>
      </c>
      <c r="T88" s="1" t="str">
        <f t="shared" si="32"/>
        <v/>
      </c>
      <c r="U88" s="1" t="str">
        <f t="shared" si="33"/>
        <v/>
      </c>
      <c r="V88" s="1" t="str">
        <f t="shared" si="34"/>
        <v/>
      </c>
      <c r="W88" s="26" t="str">
        <f t="shared" si="35"/>
        <v/>
      </c>
      <c r="X88" s="13" t="str">
        <f t="shared" si="36"/>
        <v/>
      </c>
      <c r="Y88" s="9">
        <f t="shared" si="37"/>
        <v>0</v>
      </c>
    </row>
    <row r="89" spans="1:25" x14ac:dyDescent="0.25">
      <c r="A89" s="28"/>
      <c r="B89" s="29"/>
      <c r="C89" s="30"/>
      <c r="D89" s="31"/>
      <c r="E89" s="29" t="s">
        <v>16</v>
      </c>
      <c r="F89" s="13" t="b">
        <f>IF($E89=Categories!$A$1,"",IF($E89=Categories!$A$2,Categories!$B$2,IF($E89=Categories!$A$3,Categories!$B$3,IF($E89=Categories!$A$4,Categories!$B$4,IF($E89=Categories!$A$5,Categories!$B$5,IF($E89=Categories!$A$6,Categories!$B$6,IF($E89=Categories!$A$7,Categories!$B$7,IF($E89=Categories!$A$8,Categories!$B$8,IF($E89=Categories!$A$9,Categories!$B$9,IF($E89=Categories!$A$10,Categories!$B$10,IF($E89=Categories!$A$11,Categories!$B$11,IF($E89=Categories!$A$12,Categories!$B$12,IF($E89=Categories!$A$13,Categories!$B$13,IF($E89=Categories!$A$14,Categories!$B$14,IF($E89=Categories!$A$15,Categories!$B$15,IF($E89=Categories!$A$16,Categories!$B$16,IF($E89=Categories!$A$17,Categories!$B$17,IF($E89=Categories!$A$18,Categories!$B$18,IF($E89=Categories!$A$19,Categories!$B$19)))))))))))))))))))</f>
        <v>0</v>
      </c>
      <c r="G89" s="9" t="str">
        <f t="shared" si="19"/>
        <v/>
      </c>
      <c r="H89" s="1" t="str">
        <f t="shared" si="20"/>
        <v/>
      </c>
      <c r="I89" s="1" t="str">
        <f t="shared" si="21"/>
        <v/>
      </c>
      <c r="J89" s="1" t="str">
        <f t="shared" si="22"/>
        <v/>
      </c>
      <c r="K89" s="13" t="str">
        <f t="shared" si="23"/>
        <v/>
      </c>
      <c r="L89" s="9" t="str">
        <f t="shared" si="24"/>
        <v/>
      </c>
      <c r="M89" s="1" t="str">
        <f t="shared" si="25"/>
        <v/>
      </c>
      <c r="N89" s="1" t="str">
        <f t="shared" si="26"/>
        <v/>
      </c>
      <c r="O89" s="1" t="str">
        <f t="shared" si="27"/>
        <v/>
      </c>
      <c r="P89" s="1" t="str">
        <f t="shared" si="28"/>
        <v/>
      </c>
      <c r="Q89" s="1" t="str">
        <f t="shared" si="29"/>
        <v/>
      </c>
      <c r="R89" s="1" t="str">
        <f t="shared" si="30"/>
        <v/>
      </c>
      <c r="S89" s="1" t="str">
        <f t="shared" si="31"/>
        <v/>
      </c>
      <c r="T89" s="1" t="str">
        <f t="shared" si="32"/>
        <v/>
      </c>
      <c r="U89" s="1" t="str">
        <f t="shared" si="33"/>
        <v/>
      </c>
      <c r="V89" s="1" t="str">
        <f t="shared" si="34"/>
        <v/>
      </c>
      <c r="W89" s="26" t="str">
        <f t="shared" si="35"/>
        <v/>
      </c>
      <c r="X89" s="13" t="str">
        <f t="shared" si="36"/>
        <v/>
      </c>
      <c r="Y89" s="9">
        <f t="shared" si="37"/>
        <v>0</v>
      </c>
    </row>
    <row r="90" spans="1:25" x14ac:dyDescent="0.25">
      <c r="A90" s="28"/>
      <c r="B90" s="29"/>
      <c r="C90" s="30"/>
      <c r="D90" s="31"/>
      <c r="E90" s="29" t="s">
        <v>16</v>
      </c>
      <c r="F90" s="13" t="b">
        <f>IF($E90=Categories!$A$1,"",IF($E90=Categories!$A$2,Categories!$B$2,IF($E90=Categories!$A$3,Categories!$B$3,IF($E90=Categories!$A$4,Categories!$B$4,IF($E90=Categories!$A$5,Categories!$B$5,IF($E90=Categories!$A$6,Categories!$B$6,IF($E90=Categories!$A$7,Categories!$B$7,IF($E90=Categories!$A$8,Categories!$B$8,IF($E90=Categories!$A$9,Categories!$B$9,IF($E90=Categories!$A$10,Categories!$B$10,IF($E90=Categories!$A$11,Categories!$B$11,IF($E90=Categories!$A$12,Categories!$B$12,IF($E90=Categories!$A$13,Categories!$B$13,IF($E90=Categories!$A$14,Categories!$B$14,IF($E90=Categories!$A$15,Categories!$B$15,IF($E90=Categories!$A$16,Categories!$B$16,IF($E90=Categories!$A$17,Categories!$B$17,IF($E90=Categories!$A$18,Categories!$B$18,IF($E90=Categories!$A$19,Categories!$B$19)))))))))))))))))))</f>
        <v>0</v>
      </c>
      <c r="G90" s="9" t="str">
        <f t="shared" si="19"/>
        <v/>
      </c>
      <c r="H90" s="1" t="str">
        <f t="shared" si="20"/>
        <v/>
      </c>
      <c r="I90" s="1" t="str">
        <f t="shared" si="21"/>
        <v/>
      </c>
      <c r="J90" s="1" t="str">
        <f t="shared" si="22"/>
        <v/>
      </c>
      <c r="K90" s="13" t="str">
        <f t="shared" si="23"/>
        <v/>
      </c>
      <c r="L90" s="9" t="str">
        <f t="shared" si="24"/>
        <v/>
      </c>
      <c r="M90" s="1" t="str">
        <f t="shared" si="25"/>
        <v/>
      </c>
      <c r="N90" s="1" t="str">
        <f t="shared" si="26"/>
        <v/>
      </c>
      <c r="O90" s="1" t="str">
        <f t="shared" si="27"/>
        <v/>
      </c>
      <c r="P90" s="1" t="str">
        <f t="shared" si="28"/>
        <v/>
      </c>
      <c r="Q90" s="1" t="str">
        <f t="shared" si="29"/>
        <v/>
      </c>
      <c r="R90" s="1" t="str">
        <f t="shared" si="30"/>
        <v/>
      </c>
      <c r="S90" s="1" t="str">
        <f t="shared" si="31"/>
        <v/>
      </c>
      <c r="T90" s="1" t="str">
        <f t="shared" si="32"/>
        <v/>
      </c>
      <c r="U90" s="1" t="str">
        <f t="shared" si="33"/>
        <v/>
      </c>
      <c r="V90" s="1" t="str">
        <f t="shared" si="34"/>
        <v/>
      </c>
      <c r="W90" s="26" t="str">
        <f t="shared" si="35"/>
        <v/>
      </c>
      <c r="X90" s="13" t="str">
        <f t="shared" si="36"/>
        <v/>
      </c>
      <c r="Y90" s="9">
        <f t="shared" si="37"/>
        <v>0</v>
      </c>
    </row>
    <row r="91" spans="1:25" x14ac:dyDescent="0.25">
      <c r="A91" s="28"/>
      <c r="B91" s="29"/>
      <c r="C91" s="30"/>
      <c r="D91" s="31"/>
      <c r="E91" s="29" t="s">
        <v>16</v>
      </c>
      <c r="F91" s="13" t="b">
        <f>IF($E91=Categories!$A$1,"",IF($E91=Categories!$A$2,Categories!$B$2,IF($E91=Categories!$A$3,Categories!$B$3,IF($E91=Categories!$A$4,Categories!$B$4,IF($E91=Categories!$A$5,Categories!$B$5,IF($E91=Categories!$A$6,Categories!$B$6,IF($E91=Categories!$A$7,Categories!$B$7,IF($E91=Categories!$A$8,Categories!$B$8,IF($E91=Categories!$A$9,Categories!$B$9,IF($E91=Categories!$A$10,Categories!$B$10,IF($E91=Categories!$A$11,Categories!$B$11,IF($E91=Categories!$A$12,Categories!$B$12,IF($E91=Categories!$A$13,Categories!$B$13,IF($E91=Categories!$A$14,Categories!$B$14,IF($E91=Categories!$A$15,Categories!$B$15,IF($E91=Categories!$A$16,Categories!$B$16,IF($E91=Categories!$A$17,Categories!$B$17,IF($E91=Categories!$A$18,Categories!$B$18,IF($E91=Categories!$A$19,Categories!$B$19)))))))))))))))))))</f>
        <v>0</v>
      </c>
      <c r="G91" s="9" t="str">
        <f t="shared" si="19"/>
        <v/>
      </c>
      <c r="H91" s="1" t="str">
        <f t="shared" si="20"/>
        <v/>
      </c>
      <c r="I91" s="1" t="str">
        <f t="shared" si="21"/>
        <v/>
      </c>
      <c r="J91" s="1" t="str">
        <f t="shared" si="22"/>
        <v/>
      </c>
      <c r="K91" s="13" t="str">
        <f t="shared" si="23"/>
        <v/>
      </c>
      <c r="L91" s="9" t="str">
        <f t="shared" si="24"/>
        <v/>
      </c>
      <c r="M91" s="1" t="str">
        <f t="shared" si="25"/>
        <v/>
      </c>
      <c r="N91" s="1" t="str">
        <f t="shared" si="26"/>
        <v/>
      </c>
      <c r="O91" s="1" t="str">
        <f t="shared" si="27"/>
        <v/>
      </c>
      <c r="P91" s="1" t="str">
        <f t="shared" si="28"/>
        <v/>
      </c>
      <c r="Q91" s="1" t="str">
        <f t="shared" si="29"/>
        <v/>
      </c>
      <c r="R91" s="1" t="str">
        <f t="shared" si="30"/>
        <v/>
      </c>
      <c r="S91" s="1" t="str">
        <f t="shared" si="31"/>
        <v/>
      </c>
      <c r="T91" s="1" t="str">
        <f t="shared" si="32"/>
        <v/>
      </c>
      <c r="U91" s="1" t="str">
        <f t="shared" si="33"/>
        <v/>
      </c>
      <c r="V91" s="1" t="str">
        <f t="shared" si="34"/>
        <v/>
      </c>
      <c r="W91" s="26" t="str">
        <f t="shared" si="35"/>
        <v/>
      </c>
      <c r="X91" s="13" t="str">
        <f t="shared" si="36"/>
        <v/>
      </c>
      <c r="Y91" s="9">
        <f t="shared" si="37"/>
        <v>0</v>
      </c>
    </row>
    <row r="92" spans="1:25" x14ac:dyDescent="0.25">
      <c r="A92" s="28"/>
      <c r="B92" s="29"/>
      <c r="C92" s="30"/>
      <c r="D92" s="31"/>
      <c r="E92" s="29" t="s">
        <v>16</v>
      </c>
      <c r="F92" s="13" t="b">
        <f>IF($E92=Categories!$A$1,"",IF($E92=Categories!$A$2,Categories!$B$2,IF($E92=Categories!$A$3,Categories!$B$3,IF($E92=Categories!$A$4,Categories!$B$4,IF($E92=Categories!$A$5,Categories!$B$5,IF($E92=Categories!$A$6,Categories!$B$6,IF($E92=Categories!$A$7,Categories!$B$7,IF($E92=Categories!$A$8,Categories!$B$8,IF($E92=Categories!$A$9,Categories!$B$9,IF($E92=Categories!$A$10,Categories!$B$10,IF($E92=Categories!$A$11,Categories!$B$11,IF($E92=Categories!$A$12,Categories!$B$12,IF($E92=Categories!$A$13,Categories!$B$13,IF($E92=Categories!$A$14,Categories!$B$14,IF($E92=Categories!$A$15,Categories!$B$15,IF($E92=Categories!$A$16,Categories!$B$16,IF($E92=Categories!$A$17,Categories!$B$17,IF($E92=Categories!$A$18,Categories!$B$18,IF($E92=Categories!$A$19,Categories!$B$19)))))))))))))))))))</f>
        <v>0</v>
      </c>
      <c r="G92" s="9" t="str">
        <f t="shared" si="19"/>
        <v/>
      </c>
      <c r="H92" s="1" t="str">
        <f t="shared" si="20"/>
        <v/>
      </c>
      <c r="I92" s="1" t="str">
        <f t="shared" si="21"/>
        <v/>
      </c>
      <c r="J92" s="1" t="str">
        <f t="shared" si="22"/>
        <v/>
      </c>
      <c r="K92" s="13" t="str">
        <f t="shared" si="23"/>
        <v/>
      </c>
      <c r="L92" s="9" t="str">
        <f t="shared" si="24"/>
        <v/>
      </c>
      <c r="M92" s="1" t="str">
        <f t="shared" si="25"/>
        <v/>
      </c>
      <c r="N92" s="1" t="str">
        <f t="shared" si="26"/>
        <v/>
      </c>
      <c r="O92" s="1" t="str">
        <f t="shared" si="27"/>
        <v/>
      </c>
      <c r="P92" s="1" t="str">
        <f t="shared" si="28"/>
        <v/>
      </c>
      <c r="Q92" s="1" t="str">
        <f t="shared" si="29"/>
        <v/>
      </c>
      <c r="R92" s="1" t="str">
        <f t="shared" si="30"/>
        <v/>
      </c>
      <c r="S92" s="1" t="str">
        <f t="shared" si="31"/>
        <v/>
      </c>
      <c r="T92" s="1" t="str">
        <f t="shared" si="32"/>
        <v/>
      </c>
      <c r="U92" s="1" t="str">
        <f t="shared" si="33"/>
        <v/>
      </c>
      <c r="V92" s="1" t="str">
        <f t="shared" si="34"/>
        <v/>
      </c>
      <c r="W92" s="26" t="str">
        <f t="shared" si="35"/>
        <v/>
      </c>
      <c r="X92" s="13" t="str">
        <f t="shared" si="36"/>
        <v/>
      </c>
      <c r="Y92" s="9">
        <f t="shared" si="37"/>
        <v>0</v>
      </c>
    </row>
    <row r="93" spans="1:25" x14ac:dyDescent="0.25">
      <c r="A93" s="28"/>
      <c r="B93" s="29"/>
      <c r="C93" s="30"/>
      <c r="D93" s="31"/>
      <c r="E93" s="29" t="s">
        <v>16</v>
      </c>
      <c r="F93" s="13" t="b">
        <f>IF($E93=Categories!$A$1,"",IF($E93=Categories!$A$2,Categories!$B$2,IF($E93=Categories!$A$3,Categories!$B$3,IF($E93=Categories!$A$4,Categories!$B$4,IF($E93=Categories!$A$5,Categories!$B$5,IF($E93=Categories!$A$6,Categories!$B$6,IF($E93=Categories!$A$7,Categories!$B$7,IF($E93=Categories!$A$8,Categories!$B$8,IF($E93=Categories!$A$9,Categories!$B$9,IF($E93=Categories!$A$10,Categories!$B$10,IF($E93=Categories!$A$11,Categories!$B$11,IF($E93=Categories!$A$12,Categories!$B$12,IF($E93=Categories!$A$13,Categories!$B$13,IF($E93=Categories!$A$14,Categories!$B$14,IF($E93=Categories!$A$15,Categories!$B$15,IF($E93=Categories!$A$16,Categories!$B$16,IF($E93=Categories!$A$17,Categories!$B$17,IF($E93=Categories!$A$18,Categories!$B$18,IF($E93=Categories!$A$19,Categories!$B$19)))))))))))))))))))</f>
        <v>0</v>
      </c>
      <c r="G93" s="9" t="str">
        <f t="shared" si="19"/>
        <v/>
      </c>
      <c r="H93" s="1" t="str">
        <f t="shared" si="20"/>
        <v/>
      </c>
      <c r="I93" s="1" t="str">
        <f t="shared" si="21"/>
        <v/>
      </c>
      <c r="J93" s="1" t="str">
        <f t="shared" si="22"/>
        <v/>
      </c>
      <c r="K93" s="13" t="str">
        <f t="shared" si="23"/>
        <v/>
      </c>
      <c r="L93" s="9" t="str">
        <f t="shared" si="24"/>
        <v/>
      </c>
      <c r="M93" s="1" t="str">
        <f t="shared" si="25"/>
        <v/>
      </c>
      <c r="N93" s="1" t="str">
        <f t="shared" si="26"/>
        <v/>
      </c>
      <c r="O93" s="1" t="str">
        <f t="shared" si="27"/>
        <v/>
      </c>
      <c r="P93" s="1" t="str">
        <f t="shared" si="28"/>
        <v/>
      </c>
      <c r="Q93" s="1" t="str">
        <f t="shared" si="29"/>
        <v/>
      </c>
      <c r="R93" s="1" t="str">
        <f t="shared" si="30"/>
        <v/>
      </c>
      <c r="S93" s="1" t="str">
        <f t="shared" si="31"/>
        <v/>
      </c>
      <c r="T93" s="1" t="str">
        <f t="shared" si="32"/>
        <v/>
      </c>
      <c r="U93" s="1" t="str">
        <f t="shared" si="33"/>
        <v/>
      </c>
      <c r="V93" s="1" t="str">
        <f t="shared" si="34"/>
        <v/>
      </c>
      <c r="W93" s="26" t="str">
        <f t="shared" si="35"/>
        <v/>
      </c>
      <c r="X93" s="13" t="str">
        <f t="shared" si="36"/>
        <v/>
      </c>
      <c r="Y93" s="9">
        <f t="shared" si="37"/>
        <v>0</v>
      </c>
    </row>
    <row r="94" spans="1:25" x14ac:dyDescent="0.25">
      <c r="A94" s="28"/>
      <c r="B94" s="29"/>
      <c r="C94" s="30"/>
      <c r="D94" s="31"/>
      <c r="E94" s="29" t="s">
        <v>16</v>
      </c>
      <c r="F94" s="13" t="b">
        <f>IF($E94=Categories!$A$1,"",IF($E94=Categories!$A$2,Categories!$B$2,IF($E94=Categories!$A$3,Categories!$B$3,IF($E94=Categories!$A$4,Categories!$B$4,IF($E94=Categories!$A$5,Categories!$B$5,IF($E94=Categories!$A$6,Categories!$B$6,IF($E94=Categories!$A$7,Categories!$B$7,IF($E94=Categories!$A$8,Categories!$B$8,IF($E94=Categories!$A$9,Categories!$B$9,IF($E94=Categories!$A$10,Categories!$B$10,IF($E94=Categories!$A$11,Categories!$B$11,IF($E94=Categories!$A$12,Categories!$B$12,IF($E94=Categories!$A$13,Categories!$B$13,IF($E94=Categories!$A$14,Categories!$B$14,IF($E94=Categories!$A$15,Categories!$B$15,IF($E94=Categories!$A$16,Categories!$B$16,IF($E94=Categories!$A$17,Categories!$B$17,IF($E94=Categories!$A$18,Categories!$B$18,IF($E94=Categories!$A$19,Categories!$B$19)))))))))))))))))))</f>
        <v>0</v>
      </c>
      <c r="G94" s="9" t="str">
        <f t="shared" si="19"/>
        <v/>
      </c>
      <c r="H94" s="1" t="str">
        <f t="shared" si="20"/>
        <v/>
      </c>
      <c r="I94" s="1" t="str">
        <f t="shared" si="21"/>
        <v/>
      </c>
      <c r="J94" s="1" t="str">
        <f t="shared" si="22"/>
        <v/>
      </c>
      <c r="K94" s="13" t="str">
        <f t="shared" si="23"/>
        <v/>
      </c>
      <c r="L94" s="9" t="str">
        <f t="shared" si="24"/>
        <v/>
      </c>
      <c r="M94" s="1" t="str">
        <f t="shared" si="25"/>
        <v/>
      </c>
      <c r="N94" s="1" t="str">
        <f t="shared" si="26"/>
        <v/>
      </c>
      <c r="O94" s="1" t="str">
        <f t="shared" si="27"/>
        <v/>
      </c>
      <c r="P94" s="1" t="str">
        <f t="shared" si="28"/>
        <v/>
      </c>
      <c r="Q94" s="1" t="str">
        <f t="shared" si="29"/>
        <v/>
      </c>
      <c r="R94" s="1" t="str">
        <f t="shared" si="30"/>
        <v/>
      </c>
      <c r="S94" s="1" t="str">
        <f t="shared" si="31"/>
        <v/>
      </c>
      <c r="T94" s="1" t="str">
        <f t="shared" si="32"/>
        <v/>
      </c>
      <c r="U94" s="1" t="str">
        <f t="shared" si="33"/>
        <v/>
      </c>
      <c r="V94" s="1" t="str">
        <f t="shared" si="34"/>
        <v/>
      </c>
      <c r="W94" s="26" t="str">
        <f t="shared" si="35"/>
        <v/>
      </c>
      <c r="X94" s="13" t="str">
        <f t="shared" si="36"/>
        <v/>
      </c>
      <c r="Y94" s="9">
        <f t="shared" si="37"/>
        <v>0</v>
      </c>
    </row>
    <row r="95" spans="1:25" x14ac:dyDescent="0.25">
      <c r="A95" s="28"/>
      <c r="B95" s="29"/>
      <c r="C95" s="30"/>
      <c r="D95" s="31"/>
      <c r="E95" s="29" t="s">
        <v>16</v>
      </c>
      <c r="F95" s="13" t="b">
        <f>IF($E95=Categories!$A$1,"",IF($E95=Categories!$A$2,Categories!$B$2,IF($E95=Categories!$A$3,Categories!$B$3,IF($E95=Categories!$A$4,Categories!$B$4,IF($E95=Categories!$A$5,Categories!$B$5,IF($E95=Categories!$A$6,Categories!$B$6,IF($E95=Categories!$A$7,Categories!$B$7,IF($E95=Categories!$A$8,Categories!$B$8,IF($E95=Categories!$A$9,Categories!$B$9,IF($E95=Categories!$A$10,Categories!$B$10,IF($E95=Categories!$A$11,Categories!$B$11,IF($E95=Categories!$A$12,Categories!$B$12,IF($E95=Categories!$A$13,Categories!$B$13,IF($E95=Categories!$A$14,Categories!$B$14,IF($E95=Categories!$A$15,Categories!$B$15,IF($E95=Categories!$A$16,Categories!$B$16,IF($E95=Categories!$A$17,Categories!$B$17,IF($E95=Categories!$A$18,Categories!$B$18,IF($E95=Categories!$A$19,Categories!$B$19)))))))))))))))))))</f>
        <v>0</v>
      </c>
      <c r="G95" s="9" t="str">
        <f t="shared" si="19"/>
        <v/>
      </c>
      <c r="H95" s="1" t="str">
        <f t="shared" si="20"/>
        <v/>
      </c>
      <c r="I95" s="1" t="str">
        <f t="shared" si="21"/>
        <v/>
      </c>
      <c r="J95" s="1" t="str">
        <f t="shared" si="22"/>
        <v/>
      </c>
      <c r="K95" s="13" t="str">
        <f t="shared" si="23"/>
        <v/>
      </c>
      <c r="L95" s="9" t="str">
        <f t="shared" si="24"/>
        <v/>
      </c>
      <c r="M95" s="1" t="str">
        <f t="shared" si="25"/>
        <v/>
      </c>
      <c r="N95" s="1" t="str">
        <f t="shared" si="26"/>
        <v/>
      </c>
      <c r="O95" s="1" t="str">
        <f t="shared" si="27"/>
        <v/>
      </c>
      <c r="P95" s="1" t="str">
        <f t="shared" si="28"/>
        <v/>
      </c>
      <c r="Q95" s="1" t="str">
        <f t="shared" si="29"/>
        <v/>
      </c>
      <c r="R95" s="1" t="str">
        <f t="shared" si="30"/>
        <v/>
      </c>
      <c r="S95" s="1" t="str">
        <f t="shared" si="31"/>
        <v/>
      </c>
      <c r="T95" s="1" t="str">
        <f t="shared" si="32"/>
        <v/>
      </c>
      <c r="U95" s="1" t="str">
        <f t="shared" si="33"/>
        <v/>
      </c>
      <c r="V95" s="1" t="str">
        <f t="shared" si="34"/>
        <v/>
      </c>
      <c r="W95" s="26" t="str">
        <f t="shared" si="35"/>
        <v/>
      </c>
      <c r="X95" s="13" t="str">
        <f t="shared" si="36"/>
        <v/>
      </c>
      <c r="Y95" s="9">
        <f t="shared" si="37"/>
        <v>0</v>
      </c>
    </row>
    <row r="96" spans="1:25" x14ac:dyDescent="0.25">
      <c r="A96" s="11"/>
      <c r="B96" s="16" t="s">
        <v>30</v>
      </c>
      <c r="C96" s="11"/>
      <c r="D96" s="11"/>
      <c r="E96" s="11"/>
      <c r="F96" s="21"/>
      <c r="G96" s="18">
        <f>SUM(G6:G95)</f>
        <v>0</v>
      </c>
      <c r="H96" s="18">
        <f t="shared" ref="H96:X96" si="38">SUM(H6:H95)</f>
        <v>0</v>
      </c>
      <c r="I96" s="18">
        <f t="shared" si="38"/>
        <v>0</v>
      </c>
      <c r="J96" s="18">
        <f t="shared" si="38"/>
        <v>0</v>
      </c>
      <c r="K96" s="19">
        <f t="shared" si="38"/>
        <v>0</v>
      </c>
      <c r="L96" s="20">
        <f t="shared" si="38"/>
        <v>0</v>
      </c>
      <c r="M96" s="18">
        <f t="shared" si="38"/>
        <v>0</v>
      </c>
      <c r="N96" s="18">
        <f t="shared" si="38"/>
        <v>0</v>
      </c>
      <c r="O96" s="18">
        <f t="shared" si="38"/>
        <v>0</v>
      </c>
      <c r="P96" s="18">
        <f t="shared" si="38"/>
        <v>0</v>
      </c>
      <c r="Q96" s="18">
        <f t="shared" si="38"/>
        <v>0</v>
      </c>
      <c r="R96" s="18">
        <f t="shared" si="38"/>
        <v>0</v>
      </c>
      <c r="S96" s="18">
        <f t="shared" si="38"/>
        <v>0</v>
      </c>
      <c r="T96" s="18">
        <f t="shared" si="38"/>
        <v>0</v>
      </c>
      <c r="U96" s="18">
        <f t="shared" si="38"/>
        <v>0</v>
      </c>
      <c r="V96" s="18">
        <f t="shared" si="38"/>
        <v>0</v>
      </c>
      <c r="W96" s="18">
        <f t="shared" si="38"/>
        <v>0</v>
      </c>
      <c r="X96" s="18">
        <f t="shared" si="38"/>
        <v>0</v>
      </c>
      <c r="Y96" s="18"/>
    </row>
  </sheetData>
  <mergeCells count="1">
    <mergeCell ref="A4:E4"/>
  </mergeCells>
  <printOptions gridLines="1"/>
  <pageMargins left="0.23622047244094491" right="0.23622047244094491" top="0.74803149606299213" bottom="0.74803149606299213" header="0.31496062992125984" footer="0.31496062992125984"/>
  <pageSetup paperSize="9" scale="50" fitToHeight="2" orientation="landscape" r:id="rId1"/>
  <extLst>
    <ext xmlns:x14="http://schemas.microsoft.com/office/spreadsheetml/2009/9/main" uri="{CCE6A557-97BC-4b89-ADB6-D9C93CAAB3DF}">
      <x14:dataValidations xmlns:xm="http://schemas.microsoft.com/office/excel/2006/main" count="1">
        <x14:dataValidation type="list" allowBlank="1" showErrorMessage="1" xr:uid="{00000000-0002-0000-0B00-000000000000}">
          <x14:formula1>
            <xm:f>Categories!$A$1:$A$19</xm:f>
          </x14:formula1>
          <xm:sqref>E6:E95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Y96"/>
  <sheetViews>
    <sheetView workbookViewId="0">
      <pane xSplit="6" ySplit="5" topLeftCell="G6" activePane="bottomRight" state="frozen"/>
      <selection activeCell="B78" sqref="B78"/>
      <selection pane="topRight" activeCell="B78" sqref="B78"/>
      <selection pane="bottomLeft" activeCell="B78" sqref="B78"/>
      <selection pane="bottomRight" activeCell="B78" sqref="B78"/>
    </sheetView>
  </sheetViews>
  <sheetFormatPr defaultRowHeight="15" x14ac:dyDescent="0.25"/>
  <cols>
    <col min="1" max="1" width="10.7109375" bestFit="1" customWidth="1"/>
    <col min="2" max="2" width="13.7109375" customWidth="1"/>
    <col min="3" max="3" width="12" customWidth="1"/>
    <col min="5" max="5" width="15.28515625" customWidth="1"/>
    <col min="6" max="6" width="12.7109375" hidden="1" customWidth="1"/>
    <col min="7" max="25" width="11.7109375" customWidth="1"/>
  </cols>
  <sheetData>
    <row r="1" spans="1:25" ht="23.25" x14ac:dyDescent="0.35">
      <c r="A1" s="3" t="s">
        <v>50</v>
      </c>
      <c r="D1" s="8" t="str">
        <f>Instructions!C3</f>
        <v>Lucy's Tailored Tails</v>
      </c>
      <c r="Y1" s="9"/>
    </row>
    <row r="2" spans="1:25" ht="15" customHeight="1" x14ac:dyDescent="0.35">
      <c r="A2" s="3"/>
      <c r="D2" s="8"/>
      <c r="Y2" s="9"/>
    </row>
    <row r="3" spans="1:25" x14ac:dyDescent="0.25">
      <c r="R3" t="s">
        <v>0</v>
      </c>
      <c r="Y3" s="9">
        <f>IF(Instructions!C7="November",Instructions!C6,Oct!Y95)</f>
        <v>0</v>
      </c>
    </row>
    <row r="4" spans="1:25" x14ac:dyDescent="0.25">
      <c r="A4" s="39" t="s">
        <v>111</v>
      </c>
      <c r="B4" s="40"/>
      <c r="C4" s="40"/>
      <c r="D4" s="40"/>
      <c r="E4" s="41"/>
      <c r="F4" s="12"/>
      <c r="G4" s="17" t="s">
        <v>31</v>
      </c>
      <c r="H4" s="11"/>
      <c r="I4" s="11"/>
      <c r="J4" s="11"/>
      <c r="K4" s="12"/>
      <c r="L4" s="17" t="s">
        <v>33</v>
      </c>
      <c r="M4" s="11"/>
      <c r="N4" s="11"/>
      <c r="O4" s="11"/>
      <c r="P4" s="11"/>
      <c r="Q4" s="11"/>
      <c r="R4" s="11"/>
      <c r="S4" s="11"/>
      <c r="T4" s="11"/>
      <c r="U4" s="11"/>
      <c r="V4" s="11"/>
      <c r="W4" s="21"/>
      <c r="X4" s="12"/>
      <c r="Y4" s="10"/>
    </row>
    <row r="5" spans="1:25" ht="30" x14ac:dyDescent="0.25">
      <c r="A5" s="34" t="s">
        <v>1</v>
      </c>
      <c r="B5" s="35" t="s">
        <v>39</v>
      </c>
      <c r="C5" s="34" t="s">
        <v>2</v>
      </c>
      <c r="D5" s="34" t="s">
        <v>3</v>
      </c>
      <c r="E5" s="34" t="s">
        <v>105</v>
      </c>
      <c r="F5" s="12"/>
      <c r="G5" s="10" t="str">
        <f>Categories!A2</f>
        <v>Shop Sales</v>
      </c>
      <c r="H5" s="11" t="str">
        <f>Categories!A3</f>
        <v>Income 2</v>
      </c>
      <c r="I5" s="11" t="str">
        <f>Categories!A4</f>
        <v>Income 3</v>
      </c>
      <c r="J5" s="11" t="str">
        <f>Categories!A5</f>
        <v>Income 4</v>
      </c>
      <c r="K5" s="12" t="str">
        <f>Categories!A6</f>
        <v>Income 5</v>
      </c>
      <c r="L5" s="10" t="str">
        <f>Categories!A7</f>
        <v>Website Fees</v>
      </c>
      <c r="M5" s="11" t="str">
        <f>Categories!A8</f>
        <v>Exp 2</v>
      </c>
      <c r="N5" s="11" t="str">
        <f>Categories!A9</f>
        <v>Exp 3</v>
      </c>
      <c r="O5" s="11" t="str">
        <f>Categories!A10</f>
        <v>Exp 4</v>
      </c>
      <c r="P5" s="11" t="str">
        <f>Categories!A11</f>
        <v>Exp 5</v>
      </c>
      <c r="Q5" s="11" t="str">
        <f>Categories!A12</f>
        <v>Exp 6</v>
      </c>
      <c r="R5" s="11" t="str">
        <f>Categories!A13</f>
        <v>Exp 7</v>
      </c>
      <c r="S5" s="11" t="str">
        <f>Categories!A14</f>
        <v>Exp 8</v>
      </c>
      <c r="T5" s="11" t="str">
        <f>Categories!A15</f>
        <v>Exp 9</v>
      </c>
      <c r="U5" s="11" t="str">
        <f>Categories!A16</f>
        <v>Exp 10</v>
      </c>
      <c r="V5" s="11" t="str">
        <f>Categories!A17</f>
        <v>Exp 11</v>
      </c>
      <c r="W5" s="21" t="str">
        <f>Categories!A18</f>
        <v>Exp 12</v>
      </c>
      <c r="X5" s="12" t="str">
        <f>Categories!A19</f>
        <v>Exp 13</v>
      </c>
      <c r="Y5" s="10" t="s">
        <v>4</v>
      </c>
    </row>
    <row r="6" spans="1:25" x14ac:dyDescent="0.25">
      <c r="A6" s="28"/>
      <c r="B6" s="29"/>
      <c r="C6" s="30"/>
      <c r="D6" s="31"/>
      <c r="E6" s="29" t="s">
        <v>16</v>
      </c>
      <c r="F6" s="13" t="b">
        <f>IF($E6=Categories!$A$1,"",IF($E6=Categories!$A$2,Categories!$B$2,IF($E6=Categories!$A$3,Categories!$B$3,IF($E6=Categories!$A$4,Categories!$B$4,IF($E6=Categories!$A$5,Categories!$B$5,IF($E6=Categories!$A$6,Categories!$B$6,IF($E6=Categories!$A$7,Categories!$B$7,IF($E6=Categories!$A$8,Categories!$B$8,IF($E6=Categories!$A$9,Categories!$B$9,IF($E6=Categories!$A$10,Categories!$B$10,IF($E6=Categories!$A$11,Categories!$B$11,IF($E6=Categories!$A$12,Categories!$B$12,IF($E6=Categories!$A$13,Categories!$B$13,IF($E6=Categories!$A$14,Categories!$B$14,IF($E6=Categories!$A$15,Categories!$B$15,IF($E6=Categories!$A$16,Categories!$B$16,IF($E6=Categories!$A$17,Categories!$B$17,IF($E6=Categories!$A$18,Categories!$B$18,IF($E6=Categories!$A$19,Categories!$B$19)))))))))))))))))))</f>
        <v>0</v>
      </c>
      <c r="G6" s="9" t="str">
        <f>IF($F6="Inc1",$D6,"")</f>
        <v/>
      </c>
      <c r="H6" s="1" t="str">
        <f>IF($F6="Inc2",$D6,"")</f>
        <v/>
      </c>
      <c r="I6" s="1" t="str">
        <f>IF($F6="Int",$D6,"")</f>
        <v/>
      </c>
      <c r="J6" s="1" t="str">
        <f>IF($F6="Inc4",$D6,"")</f>
        <v/>
      </c>
      <c r="K6" s="13" t="str">
        <f>IF($F6="Inc5",$D6,"")</f>
        <v/>
      </c>
      <c r="L6" s="9" t="str">
        <f>IF($F6="ExpA",$D6,"")</f>
        <v/>
      </c>
      <c r="M6" s="1" t="str">
        <f>IF($F6="ExpB",$D6,"")</f>
        <v/>
      </c>
      <c r="N6" s="1" t="str">
        <f>IF($F6="ExpC",$D6,"")</f>
        <v/>
      </c>
      <c r="O6" s="1" t="str">
        <f>IF($F6="ExpD",$D6,"")</f>
        <v/>
      </c>
      <c r="P6" s="1" t="str">
        <f>IF($F6="ExpE",$D6,"")</f>
        <v/>
      </c>
      <c r="Q6" s="1" t="str">
        <f>IF($F6="ExpF",$D6,"")</f>
        <v/>
      </c>
      <c r="R6" s="1" t="str">
        <f>IF($F6="ExpG",$D6,"")</f>
        <v/>
      </c>
      <c r="S6" s="1" t="str">
        <f>IF($F6="ExpH",$D6,"")</f>
        <v/>
      </c>
      <c r="T6" s="1" t="str">
        <f>IF($F6="ExpI",$D6,"")</f>
        <v/>
      </c>
      <c r="U6" s="1" t="str">
        <f>IF($F6="ExpJ",$D6,"")</f>
        <v/>
      </c>
      <c r="V6" s="1" t="str">
        <f>IF($F6="ExpK",$D6,"")</f>
        <v/>
      </c>
      <c r="W6" s="26" t="str">
        <f>IF($F6="ExpL",$D6,"")</f>
        <v/>
      </c>
      <c r="X6" s="13" t="str">
        <f>IF($F6="Expm",$D6,"")</f>
        <v/>
      </c>
      <c r="Y6" s="9">
        <f>$Y$3+SUM(G6:K6)-SUM(L6:X6)</f>
        <v>0</v>
      </c>
    </row>
    <row r="7" spans="1:25" x14ac:dyDescent="0.25">
      <c r="A7" s="28"/>
      <c r="B7" s="29"/>
      <c r="C7" s="30"/>
      <c r="D7" s="31"/>
      <c r="E7" s="29" t="s">
        <v>16</v>
      </c>
      <c r="F7" s="13" t="b">
        <f>IF($E7=Categories!$A$1,"",IF($E7=Categories!$A$2,Categories!$B$2,IF($E7=Categories!$A$3,Categories!$B$3,IF($E7=Categories!$A$4,Categories!$B$4,IF($E7=Categories!$A$5,Categories!$B$5,IF($E7=Categories!$A$6,Categories!$B$6,IF($E7=Categories!$A$7,Categories!$B$7,IF($E7=Categories!$A$8,Categories!$B$8,IF($E7=Categories!$A$9,Categories!$B$9,IF($E7=Categories!$A$10,Categories!$B$10,IF($E7=Categories!$A$11,Categories!$B$11,IF($E7=Categories!$A$12,Categories!$B$12,IF($E7=Categories!$A$13,Categories!$B$13,IF($E7=Categories!$A$14,Categories!$B$14,IF($E7=Categories!$A$15,Categories!$B$15,IF($E7=Categories!$A$16,Categories!$B$16,IF($E7=Categories!$A$17,Categories!$B$17,IF($E7=Categories!$A$18,Categories!$B$18,IF($E7=Categories!$A$19,Categories!$B$19)))))))))))))))))))</f>
        <v>0</v>
      </c>
      <c r="G7" s="9" t="str">
        <f t="shared" ref="G7:G70" si="0">IF($F7="Inc1",$D7,"")</f>
        <v/>
      </c>
      <c r="H7" s="1" t="str">
        <f t="shared" ref="H7:H70" si="1">IF($F7="Inc2",$D7,"")</f>
        <v/>
      </c>
      <c r="I7" s="1" t="str">
        <f t="shared" ref="I7:I70" si="2">IF($F7="Int",$D7,"")</f>
        <v/>
      </c>
      <c r="J7" s="1" t="str">
        <f t="shared" ref="J7:J70" si="3">IF($F7="Inc4",$D7,"")</f>
        <v/>
      </c>
      <c r="K7" s="13" t="str">
        <f t="shared" ref="K7:K70" si="4">IF($F7="Inc5",$D7,"")</f>
        <v/>
      </c>
      <c r="L7" s="9" t="str">
        <f t="shared" ref="L7:L70" si="5">IF($F7="ExpA",$D7,"")</f>
        <v/>
      </c>
      <c r="M7" s="1" t="str">
        <f t="shared" ref="M7:M70" si="6">IF($F7="ExpB",$D7,"")</f>
        <v/>
      </c>
      <c r="N7" s="1" t="str">
        <f t="shared" ref="N7:N70" si="7">IF($F7="ExpC",$D7,"")</f>
        <v/>
      </c>
      <c r="O7" s="1" t="str">
        <f t="shared" ref="O7:O70" si="8">IF($F7="ExpD",$D7,"")</f>
        <v/>
      </c>
      <c r="P7" s="1" t="str">
        <f t="shared" ref="P7:P70" si="9">IF($F7="ExpE",$D7,"")</f>
        <v/>
      </c>
      <c r="Q7" s="1" t="str">
        <f t="shared" ref="Q7:Q70" si="10">IF($F7="ExpF",$D7,"")</f>
        <v/>
      </c>
      <c r="R7" s="1" t="str">
        <f t="shared" ref="R7:R70" si="11">IF($F7="ExpG",$D7,"")</f>
        <v/>
      </c>
      <c r="S7" s="1" t="str">
        <f t="shared" ref="S7:S70" si="12">IF($F7="ExpH",$D7,"")</f>
        <v/>
      </c>
      <c r="T7" s="1" t="str">
        <f t="shared" ref="T7:T70" si="13">IF($F7="ExpI",$D7,"")</f>
        <v/>
      </c>
      <c r="U7" s="1" t="str">
        <f t="shared" ref="U7:U70" si="14">IF($F7="ExpJ",$D7,"")</f>
        <v/>
      </c>
      <c r="V7" s="1" t="str">
        <f t="shared" ref="V7:V70" si="15">IF($F7="ExpK",$D7,"")</f>
        <v/>
      </c>
      <c r="W7" s="26" t="str">
        <f t="shared" ref="W7:W70" si="16">IF($F7="ExpL",$D7,"")</f>
        <v/>
      </c>
      <c r="X7" s="13" t="str">
        <f t="shared" ref="X7:X70" si="17">IF($F7="Expm",$D7,"")</f>
        <v/>
      </c>
      <c r="Y7" s="9">
        <f>Y6+SUM(G7:K7)-SUM(L7:X7)</f>
        <v>0</v>
      </c>
    </row>
    <row r="8" spans="1:25" x14ac:dyDescent="0.25">
      <c r="A8" s="28"/>
      <c r="B8" s="29"/>
      <c r="C8" s="30"/>
      <c r="D8" s="31"/>
      <c r="E8" s="29" t="s">
        <v>16</v>
      </c>
      <c r="F8" s="13" t="b">
        <f>IF($E8=Categories!$A$1,"",IF($E8=Categories!$A$2,Categories!$B$2,IF($E8=Categories!$A$3,Categories!$B$3,IF($E8=Categories!$A$4,Categories!$B$4,IF($E8=Categories!$A$5,Categories!$B$5,IF($E8=Categories!$A$6,Categories!$B$6,IF($E8=Categories!$A$7,Categories!$B$7,IF($E8=Categories!$A$8,Categories!$B$8,IF($E8=Categories!$A$9,Categories!$B$9,IF($E8=Categories!$A$10,Categories!$B$10,IF($E8=Categories!$A$11,Categories!$B$11,IF($E8=Categories!$A$12,Categories!$B$12,IF($E8=Categories!$A$13,Categories!$B$13,IF($E8=Categories!$A$14,Categories!$B$14,IF($E8=Categories!$A$15,Categories!$B$15,IF($E8=Categories!$A$16,Categories!$B$16,IF($E8=Categories!$A$17,Categories!$B$17,IF($E8=Categories!$A$18,Categories!$B$18,IF($E8=Categories!$A$19,Categories!$B$19)))))))))))))))))))</f>
        <v>0</v>
      </c>
      <c r="G8" s="9" t="str">
        <f t="shared" si="0"/>
        <v/>
      </c>
      <c r="H8" s="1" t="str">
        <f t="shared" si="1"/>
        <v/>
      </c>
      <c r="I8" s="1" t="str">
        <f t="shared" si="2"/>
        <v/>
      </c>
      <c r="J8" s="1" t="str">
        <f t="shared" si="3"/>
        <v/>
      </c>
      <c r="K8" s="13" t="str">
        <f t="shared" si="4"/>
        <v/>
      </c>
      <c r="L8" s="9" t="str">
        <f t="shared" si="5"/>
        <v/>
      </c>
      <c r="M8" s="1" t="str">
        <f t="shared" si="6"/>
        <v/>
      </c>
      <c r="N8" s="1" t="str">
        <f t="shared" si="7"/>
        <v/>
      </c>
      <c r="O8" s="1" t="str">
        <f t="shared" si="8"/>
        <v/>
      </c>
      <c r="P8" s="1" t="str">
        <f t="shared" si="9"/>
        <v/>
      </c>
      <c r="Q8" s="1" t="str">
        <f t="shared" si="10"/>
        <v/>
      </c>
      <c r="R8" s="1" t="str">
        <f t="shared" si="11"/>
        <v/>
      </c>
      <c r="S8" s="1" t="str">
        <f t="shared" si="12"/>
        <v/>
      </c>
      <c r="T8" s="1" t="str">
        <f t="shared" si="13"/>
        <v/>
      </c>
      <c r="U8" s="1" t="str">
        <f t="shared" si="14"/>
        <v/>
      </c>
      <c r="V8" s="1" t="str">
        <f t="shared" si="15"/>
        <v/>
      </c>
      <c r="W8" s="26" t="str">
        <f t="shared" si="16"/>
        <v/>
      </c>
      <c r="X8" s="13" t="str">
        <f t="shared" si="17"/>
        <v/>
      </c>
      <c r="Y8" s="9">
        <f t="shared" ref="Y8:Y71" si="18">Y7+SUM(G8:K8)-SUM(L8:X8)</f>
        <v>0</v>
      </c>
    </row>
    <row r="9" spans="1:25" x14ac:dyDescent="0.25">
      <c r="A9" s="28"/>
      <c r="B9" s="29"/>
      <c r="C9" s="30"/>
      <c r="D9" s="31"/>
      <c r="E9" s="29" t="s">
        <v>16</v>
      </c>
      <c r="F9" s="13" t="b">
        <f>IF($E9=Categories!$A$1,"",IF($E9=Categories!$A$2,Categories!$B$2,IF($E9=Categories!$A$3,Categories!$B$3,IF($E9=Categories!$A$4,Categories!$B$4,IF($E9=Categories!$A$5,Categories!$B$5,IF($E9=Categories!$A$6,Categories!$B$6,IF($E9=Categories!$A$7,Categories!$B$7,IF($E9=Categories!$A$8,Categories!$B$8,IF($E9=Categories!$A$9,Categories!$B$9,IF($E9=Categories!$A$10,Categories!$B$10,IF($E9=Categories!$A$11,Categories!$B$11,IF($E9=Categories!$A$12,Categories!$B$12,IF($E9=Categories!$A$13,Categories!$B$13,IF($E9=Categories!$A$14,Categories!$B$14,IF($E9=Categories!$A$15,Categories!$B$15,IF($E9=Categories!$A$16,Categories!$B$16,IF($E9=Categories!$A$17,Categories!$B$17,IF($E9=Categories!$A$18,Categories!$B$18,IF($E9=Categories!$A$19,Categories!$B$19)))))))))))))))))))</f>
        <v>0</v>
      </c>
      <c r="G9" s="9" t="str">
        <f t="shared" si="0"/>
        <v/>
      </c>
      <c r="H9" s="1" t="str">
        <f t="shared" si="1"/>
        <v/>
      </c>
      <c r="I9" s="1" t="str">
        <f t="shared" si="2"/>
        <v/>
      </c>
      <c r="J9" s="1" t="str">
        <f t="shared" si="3"/>
        <v/>
      </c>
      <c r="K9" s="13" t="str">
        <f t="shared" si="4"/>
        <v/>
      </c>
      <c r="L9" s="9" t="str">
        <f t="shared" si="5"/>
        <v/>
      </c>
      <c r="M9" s="1" t="str">
        <f t="shared" si="6"/>
        <v/>
      </c>
      <c r="N9" s="1" t="str">
        <f t="shared" si="7"/>
        <v/>
      </c>
      <c r="O9" s="1" t="str">
        <f t="shared" si="8"/>
        <v/>
      </c>
      <c r="P9" s="1" t="str">
        <f t="shared" si="9"/>
        <v/>
      </c>
      <c r="Q9" s="1" t="str">
        <f t="shared" si="10"/>
        <v/>
      </c>
      <c r="R9" s="1" t="str">
        <f t="shared" si="11"/>
        <v/>
      </c>
      <c r="S9" s="1" t="str">
        <f t="shared" si="12"/>
        <v/>
      </c>
      <c r="T9" s="1" t="str">
        <f t="shared" si="13"/>
        <v/>
      </c>
      <c r="U9" s="1" t="str">
        <f t="shared" si="14"/>
        <v/>
      </c>
      <c r="V9" s="1" t="str">
        <f t="shared" si="15"/>
        <v/>
      </c>
      <c r="W9" s="26" t="str">
        <f t="shared" si="16"/>
        <v/>
      </c>
      <c r="X9" s="13" t="str">
        <f t="shared" si="17"/>
        <v/>
      </c>
      <c r="Y9" s="9">
        <f t="shared" si="18"/>
        <v>0</v>
      </c>
    </row>
    <row r="10" spans="1:25" x14ac:dyDescent="0.25">
      <c r="A10" s="28"/>
      <c r="B10" s="29"/>
      <c r="C10" s="30"/>
      <c r="D10" s="31"/>
      <c r="E10" s="29" t="s">
        <v>16</v>
      </c>
      <c r="F10" s="13" t="b">
        <f>IF($E10=Categories!$A$1,"",IF($E10=Categories!$A$2,Categories!$B$2,IF($E10=Categories!$A$3,Categories!$B$3,IF($E10=Categories!$A$4,Categories!$B$4,IF($E10=Categories!$A$5,Categories!$B$5,IF($E10=Categories!$A$6,Categories!$B$6,IF($E10=Categories!$A$7,Categories!$B$7,IF($E10=Categories!$A$8,Categories!$B$8,IF($E10=Categories!$A$9,Categories!$B$9,IF($E10=Categories!$A$10,Categories!$B$10,IF($E10=Categories!$A$11,Categories!$B$11,IF($E10=Categories!$A$12,Categories!$B$12,IF($E10=Categories!$A$13,Categories!$B$13,IF($E10=Categories!$A$14,Categories!$B$14,IF($E10=Categories!$A$15,Categories!$B$15,IF($E10=Categories!$A$16,Categories!$B$16,IF($E10=Categories!$A$17,Categories!$B$17,IF($E10=Categories!$A$18,Categories!$B$18,IF($E10=Categories!$A$19,Categories!$B$19)))))))))))))))))))</f>
        <v>0</v>
      </c>
      <c r="G10" s="9" t="str">
        <f t="shared" si="0"/>
        <v/>
      </c>
      <c r="H10" s="1" t="str">
        <f t="shared" si="1"/>
        <v/>
      </c>
      <c r="I10" s="1" t="str">
        <f t="shared" si="2"/>
        <v/>
      </c>
      <c r="J10" s="1" t="str">
        <f t="shared" si="3"/>
        <v/>
      </c>
      <c r="K10" s="13" t="str">
        <f t="shared" si="4"/>
        <v/>
      </c>
      <c r="L10" s="9" t="str">
        <f t="shared" si="5"/>
        <v/>
      </c>
      <c r="M10" s="1" t="str">
        <f t="shared" si="6"/>
        <v/>
      </c>
      <c r="N10" s="1" t="str">
        <f t="shared" si="7"/>
        <v/>
      </c>
      <c r="O10" s="1" t="str">
        <f t="shared" si="8"/>
        <v/>
      </c>
      <c r="P10" s="1" t="str">
        <f t="shared" si="9"/>
        <v/>
      </c>
      <c r="Q10" s="1" t="str">
        <f t="shared" si="10"/>
        <v/>
      </c>
      <c r="R10" s="1" t="str">
        <f t="shared" si="11"/>
        <v/>
      </c>
      <c r="S10" s="1" t="str">
        <f t="shared" si="12"/>
        <v/>
      </c>
      <c r="T10" s="1" t="str">
        <f t="shared" si="13"/>
        <v/>
      </c>
      <c r="U10" s="1" t="str">
        <f t="shared" si="14"/>
        <v/>
      </c>
      <c r="V10" s="1" t="str">
        <f t="shared" si="15"/>
        <v/>
      </c>
      <c r="W10" s="26" t="str">
        <f t="shared" si="16"/>
        <v/>
      </c>
      <c r="X10" s="13" t="str">
        <f t="shared" si="17"/>
        <v/>
      </c>
      <c r="Y10" s="9">
        <f t="shared" si="18"/>
        <v>0</v>
      </c>
    </row>
    <row r="11" spans="1:25" x14ac:dyDescent="0.25">
      <c r="A11" s="28"/>
      <c r="B11" s="29"/>
      <c r="C11" s="30"/>
      <c r="D11" s="31"/>
      <c r="E11" s="29" t="s">
        <v>16</v>
      </c>
      <c r="F11" s="13" t="b">
        <f>IF($E11=Categories!$A$1,"",IF($E11=Categories!$A$2,Categories!$B$2,IF($E11=Categories!$A$3,Categories!$B$3,IF($E11=Categories!$A$4,Categories!$B$4,IF($E11=Categories!$A$5,Categories!$B$5,IF($E11=Categories!$A$6,Categories!$B$6,IF($E11=Categories!$A$7,Categories!$B$7,IF($E11=Categories!$A$8,Categories!$B$8,IF($E11=Categories!$A$9,Categories!$B$9,IF($E11=Categories!$A$10,Categories!$B$10,IF($E11=Categories!$A$11,Categories!$B$11,IF($E11=Categories!$A$12,Categories!$B$12,IF($E11=Categories!$A$13,Categories!$B$13,IF($E11=Categories!$A$14,Categories!$B$14,IF($E11=Categories!$A$15,Categories!$B$15,IF($E11=Categories!$A$16,Categories!$B$16,IF($E11=Categories!$A$17,Categories!$B$17,IF($E11=Categories!$A$18,Categories!$B$18,IF($E11=Categories!$A$19,Categories!$B$19)))))))))))))))))))</f>
        <v>0</v>
      </c>
      <c r="G11" s="9" t="str">
        <f t="shared" si="0"/>
        <v/>
      </c>
      <c r="H11" s="1" t="str">
        <f t="shared" si="1"/>
        <v/>
      </c>
      <c r="I11" s="1" t="str">
        <f t="shared" si="2"/>
        <v/>
      </c>
      <c r="J11" s="1" t="str">
        <f t="shared" si="3"/>
        <v/>
      </c>
      <c r="K11" s="13" t="str">
        <f t="shared" si="4"/>
        <v/>
      </c>
      <c r="L11" s="9" t="str">
        <f t="shared" si="5"/>
        <v/>
      </c>
      <c r="M11" s="1" t="str">
        <f t="shared" si="6"/>
        <v/>
      </c>
      <c r="N11" s="1" t="str">
        <f t="shared" si="7"/>
        <v/>
      </c>
      <c r="O11" s="1" t="str">
        <f t="shared" si="8"/>
        <v/>
      </c>
      <c r="P11" s="1" t="str">
        <f t="shared" si="9"/>
        <v/>
      </c>
      <c r="Q11" s="1" t="str">
        <f t="shared" si="10"/>
        <v/>
      </c>
      <c r="R11" s="1" t="str">
        <f t="shared" si="11"/>
        <v/>
      </c>
      <c r="S11" s="1" t="str">
        <f t="shared" si="12"/>
        <v/>
      </c>
      <c r="T11" s="1" t="str">
        <f t="shared" si="13"/>
        <v/>
      </c>
      <c r="U11" s="1" t="str">
        <f t="shared" si="14"/>
        <v/>
      </c>
      <c r="V11" s="1" t="str">
        <f t="shared" si="15"/>
        <v/>
      </c>
      <c r="W11" s="26" t="str">
        <f t="shared" si="16"/>
        <v/>
      </c>
      <c r="X11" s="13" t="str">
        <f t="shared" si="17"/>
        <v/>
      </c>
      <c r="Y11" s="9">
        <f t="shared" si="18"/>
        <v>0</v>
      </c>
    </row>
    <row r="12" spans="1:25" x14ac:dyDescent="0.25">
      <c r="A12" s="28"/>
      <c r="B12" s="29"/>
      <c r="C12" s="30"/>
      <c r="D12" s="31"/>
      <c r="E12" s="29" t="s">
        <v>16</v>
      </c>
      <c r="F12" s="13" t="b">
        <f>IF($E12=Categories!$A$1,"",IF($E12=Categories!$A$2,Categories!$B$2,IF($E12=Categories!$A$3,Categories!$B$3,IF($E12=Categories!$A$4,Categories!$B$4,IF($E12=Categories!$A$5,Categories!$B$5,IF($E12=Categories!$A$6,Categories!$B$6,IF($E12=Categories!$A$7,Categories!$B$7,IF($E12=Categories!$A$8,Categories!$B$8,IF($E12=Categories!$A$9,Categories!$B$9,IF($E12=Categories!$A$10,Categories!$B$10,IF($E12=Categories!$A$11,Categories!$B$11,IF($E12=Categories!$A$12,Categories!$B$12,IF($E12=Categories!$A$13,Categories!$B$13,IF($E12=Categories!$A$14,Categories!$B$14,IF($E12=Categories!$A$15,Categories!$B$15,IF($E12=Categories!$A$16,Categories!$B$16,IF($E12=Categories!$A$17,Categories!$B$17,IF($E12=Categories!$A$18,Categories!$B$18,IF($E12=Categories!$A$19,Categories!$B$19)))))))))))))))))))</f>
        <v>0</v>
      </c>
      <c r="G12" s="9" t="str">
        <f t="shared" si="0"/>
        <v/>
      </c>
      <c r="H12" s="1" t="str">
        <f t="shared" si="1"/>
        <v/>
      </c>
      <c r="I12" s="1" t="str">
        <f t="shared" si="2"/>
        <v/>
      </c>
      <c r="J12" s="1" t="str">
        <f t="shared" si="3"/>
        <v/>
      </c>
      <c r="K12" s="13" t="str">
        <f t="shared" si="4"/>
        <v/>
      </c>
      <c r="L12" s="9" t="str">
        <f t="shared" si="5"/>
        <v/>
      </c>
      <c r="M12" s="1" t="str">
        <f t="shared" si="6"/>
        <v/>
      </c>
      <c r="N12" s="1" t="str">
        <f t="shared" si="7"/>
        <v/>
      </c>
      <c r="O12" s="1" t="str">
        <f t="shared" si="8"/>
        <v/>
      </c>
      <c r="P12" s="1" t="str">
        <f t="shared" si="9"/>
        <v/>
      </c>
      <c r="Q12" s="1" t="str">
        <f t="shared" si="10"/>
        <v/>
      </c>
      <c r="R12" s="1" t="str">
        <f t="shared" si="11"/>
        <v/>
      </c>
      <c r="S12" s="1" t="str">
        <f t="shared" si="12"/>
        <v/>
      </c>
      <c r="T12" s="1" t="str">
        <f t="shared" si="13"/>
        <v/>
      </c>
      <c r="U12" s="1" t="str">
        <f t="shared" si="14"/>
        <v/>
      </c>
      <c r="V12" s="1" t="str">
        <f t="shared" si="15"/>
        <v/>
      </c>
      <c r="W12" s="26" t="str">
        <f t="shared" si="16"/>
        <v/>
      </c>
      <c r="X12" s="13" t="str">
        <f t="shared" si="17"/>
        <v/>
      </c>
      <c r="Y12" s="9">
        <f t="shared" si="18"/>
        <v>0</v>
      </c>
    </row>
    <row r="13" spans="1:25" x14ac:dyDescent="0.25">
      <c r="A13" s="28"/>
      <c r="B13" s="29"/>
      <c r="C13" s="30"/>
      <c r="D13" s="31"/>
      <c r="E13" s="29" t="s">
        <v>16</v>
      </c>
      <c r="F13" s="13" t="b">
        <f>IF($E13=Categories!$A$1,"",IF($E13=Categories!$A$2,Categories!$B$2,IF($E13=Categories!$A$3,Categories!$B$3,IF($E13=Categories!$A$4,Categories!$B$4,IF($E13=Categories!$A$5,Categories!$B$5,IF($E13=Categories!$A$6,Categories!$B$6,IF($E13=Categories!$A$7,Categories!$B$7,IF($E13=Categories!$A$8,Categories!$B$8,IF($E13=Categories!$A$9,Categories!$B$9,IF($E13=Categories!$A$10,Categories!$B$10,IF($E13=Categories!$A$11,Categories!$B$11,IF($E13=Categories!$A$12,Categories!$B$12,IF($E13=Categories!$A$13,Categories!$B$13,IF($E13=Categories!$A$14,Categories!$B$14,IF($E13=Categories!$A$15,Categories!$B$15,IF($E13=Categories!$A$16,Categories!$B$16,IF($E13=Categories!$A$17,Categories!$B$17,IF($E13=Categories!$A$18,Categories!$B$18,IF($E13=Categories!$A$19,Categories!$B$19)))))))))))))))))))</f>
        <v>0</v>
      </c>
      <c r="G13" s="9" t="str">
        <f t="shared" si="0"/>
        <v/>
      </c>
      <c r="H13" s="1" t="str">
        <f t="shared" si="1"/>
        <v/>
      </c>
      <c r="I13" s="1" t="str">
        <f t="shared" si="2"/>
        <v/>
      </c>
      <c r="J13" s="1" t="str">
        <f t="shared" si="3"/>
        <v/>
      </c>
      <c r="K13" s="13" t="str">
        <f t="shared" si="4"/>
        <v/>
      </c>
      <c r="L13" s="9" t="str">
        <f t="shared" si="5"/>
        <v/>
      </c>
      <c r="M13" s="1" t="str">
        <f t="shared" si="6"/>
        <v/>
      </c>
      <c r="N13" s="1" t="str">
        <f t="shared" si="7"/>
        <v/>
      </c>
      <c r="O13" s="1" t="str">
        <f t="shared" si="8"/>
        <v/>
      </c>
      <c r="P13" s="1" t="str">
        <f t="shared" si="9"/>
        <v/>
      </c>
      <c r="Q13" s="1" t="str">
        <f t="shared" si="10"/>
        <v/>
      </c>
      <c r="R13" s="1" t="str">
        <f t="shared" si="11"/>
        <v/>
      </c>
      <c r="S13" s="1" t="str">
        <f t="shared" si="12"/>
        <v/>
      </c>
      <c r="T13" s="1" t="str">
        <f t="shared" si="13"/>
        <v/>
      </c>
      <c r="U13" s="1" t="str">
        <f t="shared" si="14"/>
        <v/>
      </c>
      <c r="V13" s="1" t="str">
        <f t="shared" si="15"/>
        <v/>
      </c>
      <c r="W13" s="26" t="str">
        <f t="shared" si="16"/>
        <v/>
      </c>
      <c r="X13" s="13" t="str">
        <f t="shared" si="17"/>
        <v/>
      </c>
      <c r="Y13" s="9">
        <f t="shared" si="18"/>
        <v>0</v>
      </c>
    </row>
    <row r="14" spans="1:25" x14ac:dyDescent="0.25">
      <c r="A14" s="28"/>
      <c r="B14" s="29"/>
      <c r="C14" s="30"/>
      <c r="D14" s="31"/>
      <c r="E14" s="29" t="s">
        <v>16</v>
      </c>
      <c r="F14" s="13" t="b">
        <f>IF($E14=Categories!$A$1,"",IF($E14=Categories!$A$2,Categories!$B$2,IF($E14=Categories!$A$3,Categories!$B$3,IF($E14=Categories!$A$4,Categories!$B$4,IF($E14=Categories!$A$5,Categories!$B$5,IF($E14=Categories!$A$6,Categories!$B$6,IF($E14=Categories!$A$7,Categories!$B$7,IF($E14=Categories!$A$8,Categories!$B$8,IF($E14=Categories!$A$9,Categories!$B$9,IF($E14=Categories!$A$10,Categories!$B$10,IF($E14=Categories!$A$11,Categories!$B$11,IF($E14=Categories!$A$12,Categories!$B$12,IF($E14=Categories!$A$13,Categories!$B$13,IF($E14=Categories!$A$14,Categories!$B$14,IF($E14=Categories!$A$15,Categories!$B$15,IF($E14=Categories!$A$16,Categories!$B$16,IF($E14=Categories!$A$17,Categories!$B$17,IF($E14=Categories!$A$18,Categories!$B$18,IF($E14=Categories!$A$19,Categories!$B$19)))))))))))))))))))</f>
        <v>0</v>
      </c>
      <c r="G14" s="9" t="str">
        <f t="shared" si="0"/>
        <v/>
      </c>
      <c r="H14" s="1" t="str">
        <f t="shared" si="1"/>
        <v/>
      </c>
      <c r="I14" s="1" t="str">
        <f t="shared" si="2"/>
        <v/>
      </c>
      <c r="J14" s="1" t="str">
        <f t="shared" si="3"/>
        <v/>
      </c>
      <c r="K14" s="13" t="str">
        <f t="shared" si="4"/>
        <v/>
      </c>
      <c r="L14" s="9" t="str">
        <f t="shared" si="5"/>
        <v/>
      </c>
      <c r="M14" s="1" t="str">
        <f t="shared" si="6"/>
        <v/>
      </c>
      <c r="N14" s="1" t="str">
        <f t="shared" si="7"/>
        <v/>
      </c>
      <c r="O14" s="1" t="str">
        <f t="shared" si="8"/>
        <v/>
      </c>
      <c r="P14" s="1" t="str">
        <f t="shared" si="9"/>
        <v/>
      </c>
      <c r="Q14" s="1" t="str">
        <f t="shared" si="10"/>
        <v/>
      </c>
      <c r="R14" s="1" t="str">
        <f t="shared" si="11"/>
        <v/>
      </c>
      <c r="S14" s="1" t="str">
        <f t="shared" si="12"/>
        <v/>
      </c>
      <c r="T14" s="1" t="str">
        <f t="shared" si="13"/>
        <v/>
      </c>
      <c r="U14" s="1" t="str">
        <f t="shared" si="14"/>
        <v/>
      </c>
      <c r="V14" s="1" t="str">
        <f t="shared" si="15"/>
        <v/>
      </c>
      <c r="W14" s="26" t="str">
        <f t="shared" si="16"/>
        <v/>
      </c>
      <c r="X14" s="13" t="str">
        <f t="shared" si="17"/>
        <v/>
      </c>
      <c r="Y14" s="9">
        <f t="shared" si="18"/>
        <v>0</v>
      </c>
    </row>
    <row r="15" spans="1:25" x14ac:dyDescent="0.25">
      <c r="A15" s="28"/>
      <c r="B15" s="29"/>
      <c r="C15" s="30"/>
      <c r="D15" s="31"/>
      <c r="E15" s="29" t="s">
        <v>16</v>
      </c>
      <c r="F15" s="13" t="b">
        <f>IF($E15=Categories!$A$1,"",IF($E15=Categories!$A$2,Categories!$B$2,IF($E15=Categories!$A$3,Categories!$B$3,IF($E15=Categories!$A$4,Categories!$B$4,IF($E15=Categories!$A$5,Categories!$B$5,IF($E15=Categories!$A$6,Categories!$B$6,IF($E15=Categories!$A$7,Categories!$B$7,IF($E15=Categories!$A$8,Categories!$B$8,IF($E15=Categories!$A$9,Categories!$B$9,IF($E15=Categories!$A$10,Categories!$B$10,IF($E15=Categories!$A$11,Categories!$B$11,IF($E15=Categories!$A$12,Categories!$B$12,IF($E15=Categories!$A$13,Categories!$B$13,IF($E15=Categories!$A$14,Categories!$B$14,IF($E15=Categories!$A$15,Categories!$B$15,IF($E15=Categories!$A$16,Categories!$B$16,IF($E15=Categories!$A$17,Categories!$B$17,IF($E15=Categories!$A$18,Categories!$B$18,IF($E15=Categories!$A$19,Categories!$B$19)))))))))))))))))))</f>
        <v>0</v>
      </c>
      <c r="G15" s="9" t="str">
        <f t="shared" si="0"/>
        <v/>
      </c>
      <c r="H15" s="1" t="str">
        <f t="shared" si="1"/>
        <v/>
      </c>
      <c r="I15" s="1" t="str">
        <f t="shared" si="2"/>
        <v/>
      </c>
      <c r="J15" s="1" t="str">
        <f t="shared" si="3"/>
        <v/>
      </c>
      <c r="K15" s="13" t="str">
        <f t="shared" si="4"/>
        <v/>
      </c>
      <c r="L15" s="9" t="str">
        <f t="shared" si="5"/>
        <v/>
      </c>
      <c r="M15" s="1" t="str">
        <f t="shared" si="6"/>
        <v/>
      </c>
      <c r="N15" s="1" t="str">
        <f t="shared" si="7"/>
        <v/>
      </c>
      <c r="O15" s="1" t="str">
        <f t="shared" si="8"/>
        <v/>
      </c>
      <c r="P15" s="1" t="str">
        <f t="shared" si="9"/>
        <v/>
      </c>
      <c r="Q15" s="1" t="str">
        <f t="shared" si="10"/>
        <v/>
      </c>
      <c r="R15" s="1" t="str">
        <f t="shared" si="11"/>
        <v/>
      </c>
      <c r="S15" s="1" t="str">
        <f t="shared" si="12"/>
        <v/>
      </c>
      <c r="T15" s="1" t="str">
        <f t="shared" si="13"/>
        <v/>
      </c>
      <c r="U15" s="1" t="str">
        <f t="shared" si="14"/>
        <v/>
      </c>
      <c r="V15" s="1" t="str">
        <f t="shared" si="15"/>
        <v/>
      </c>
      <c r="W15" s="26" t="str">
        <f t="shared" si="16"/>
        <v/>
      </c>
      <c r="X15" s="13" t="str">
        <f t="shared" si="17"/>
        <v/>
      </c>
      <c r="Y15" s="9">
        <f t="shared" si="18"/>
        <v>0</v>
      </c>
    </row>
    <row r="16" spans="1:25" x14ac:dyDescent="0.25">
      <c r="A16" s="28"/>
      <c r="B16" s="29"/>
      <c r="C16" s="30"/>
      <c r="D16" s="31"/>
      <c r="E16" s="29" t="s">
        <v>16</v>
      </c>
      <c r="F16" s="13" t="b">
        <f>IF($E16=Categories!$A$1,"",IF($E16=Categories!$A$2,Categories!$B$2,IF($E16=Categories!$A$3,Categories!$B$3,IF($E16=Categories!$A$4,Categories!$B$4,IF($E16=Categories!$A$5,Categories!$B$5,IF($E16=Categories!$A$6,Categories!$B$6,IF($E16=Categories!$A$7,Categories!$B$7,IF($E16=Categories!$A$8,Categories!$B$8,IF($E16=Categories!$A$9,Categories!$B$9,IF($E16=Categories!$A$10,Categories!$B$10,IF($E16=Categories!$A$11,Categories!$B$11,IF($E16=Categories!$A$12,Categories!$B$12,IF($E16=Categories!$A$13,Categories!$B$13,IF($E16=Categories!$A$14,Categories!$B$14,IF($E16=Categories!$A$15,Categories!$B$15,IF($E16=Categories!$A$16,Categories!$B$16,IF($E16=Categories!$A$17,Categories!$B$17,IF($E16=Categories!$A$18,Categories!$B$18,IF($E16=Categories!$A$19,Categories!$B$19)))))))))))))))))))</f>
        <v>0</v>
      </c>
      <c r="G16" s="9" t="str">
        <f t="shared" si="0"/>
        <v/>
      </c>
      <c r="H16" s="1" t="str">
        <f t="shared" si="1"/>
        <v/>
      </c>
      <c r="I16" s="1" t="str">
        <f t="shared" si="2"/>
        <v/>
      </c>
      <c r="J16" s="1" t="str">
        <f t="shared" si="3"/>
        <v/>
      </c>
      <c r="K16" s="13" t="str">
        <f t="shared" si="4"/>
        <v/>
      </c>
      <c r="L16" s="9" t="str">
        <f t="shared" si="5"/>
        <v/>
      </c>
      <c r="M16" s="1" t="str">
        <f t="shared" si="6"/>
        <v/>
      </c>
      <c r="N16" s="1" t="str">
        <f t="shared" si="7"/>
        <v/>
      </c>
      <c r="O16" s="1" t="str">
        <f t="shared" si="8"/>
        <v/>
      </c>
      <c r="P16" s="1" t="str">
        <f t="shared" si="9"/>
        <v/>
      </c>
      <c r="Q16" s="1" t="str">
        <f t="shared" si="10"/>
        <v/>
      </c>
      <c r="R16" s="1" t="str">
        <f t="shared" si="11"/>
        <v/>
      </c>
      <c r="S16" s="1" t="str">
        <f t="shared" si="12"/>
        <v/>
      </c>
      <c r="T16" s="1" t="str">
        <f t="shared" si="13"/>
        <v/>
      </c>
      <c r="U16" s="1" t="str">
        <f t="shared" si="14"/>
        <v/>
      </c>
      <c r="V16" s="1" t="str">
        <f t="shared" si="15"/>
        <v/>
      </c>
      <c r="W16" s="26" t="str">
        <f t="shared" si="16"/>
        <v/>
      </c>
      <c r="X16" s="13" t="str">
        <f t="shared" si="17"/>
        <v/>
      </c>
      <c r="Y16" s="9">
        <f t="shared" si="18"/>
        <v>0</v>
      </c>
    </row>
    <row r="17" spans="1:25" x14ac:dyDescent="0.25">
      <c r="A17" s="28"/>
      <c r="B17" s="29"/>
      <c r="C17" s="30"/>
      <c r="D17" s="31"/>
      <c r="E17" s="29" t="s">
        <v>16</v>
      </c>
      <c r="F17" s="13" t="b">
        <f>IF($E17=Categories!$A$1,"",IF($E17=Categories!$A$2,Categories!$B$2,IF($E17=Categories!$A$3,Categories!$B$3,IF($E17=Categories!$A$4,Categories!$B$4,IF($E17=Categories!$A$5,Categories!$B$5,IF($E17=Categories!$A$6,Categories!$B$6,IF($E17=Categories!$A$7,Categories!$B$7,IF($E17=Categories!$A$8,Categories!$B$8,IF($E17=Categories!$A$9,Categories!$B$9,IF($E17=Categories!$A$10,Categories!$B$10,IF($E17=Categories!$A$11,Categories!$B$11,IF($E17=Categories!$A$12,Categories!$B$12,IF($E17=Categories!$A$13,Categories!$B$13,IF($E17=Categories!$A$14,Categories!$B$14,IF($E17=Categories!$A$15,Categories!$B$15,IF($E17=Categories!$A$16,Categories!$B$16,IF($E17=Categories!$A$17,Categories!$B$17,IF($E17=Categories!$A$18,Categories!$B$18,IF($E17=Categories!$A$19,Categories!$B$19)))))))))))))))))))</f>
        <v>0</v>
      </c>
      <c r="G17" s="9" t="str">
        <f t="shared" si="0"/>
        <v/>
      </c>
      <c r="H17" s="1" t="str">
        <f t="shared" si="1"/>
        <v/>
      </c>
      <c r="I17" s="1" t="str">
        <f t="shared" si="2"/>
        <v/>
      </c>
      <c r="J17" s="1" t="str">
        <f t="shared" si="3"/>
        <v/>
      </c>
      <c r="K17" s="13" t="str">
        <f t="shared" si="4"/>
        <v/>
      </c>
      <c r="L17" s="9" t="str">
        <f t="shared" si="5"/>
        <v/>
      </c>
      <c r="M17" s="1" t="str">
        <f t="shared" si="6"/>
        <v/>
      </c>
      <c r="N17" s="1" t="str">
        <f t="shared" si="7"/>
        <v/>
      </c>
      <c r="O17" s="1" t="str">
        <f t="shared" si="8"/>
        <v/>
      </c>
      <c r="P17" s="1" t="str">
        <f t="shared" si="9"/>
        <v/>
      </c>
      <c r="Q17" s="1" t="str">
        <f t="shared" si="10"/>
        <v/>
      </c>
      <c r="R17" s="1" t="str">
        <f t="shared" si="11"/>
        <v/>
      </c>
      <c r="S17" s="1" t="str">
        <f t="shared" si="12"/>
        <v/>
      </c>
      <c r="T17" s="1" t="str">
        <f t="shared" si="13"/>
        <v/>
      </c>
      <c r="U17" s="1" t="str">
        <f t="shared" si="14"/>
        <v/>
      </c>
      <c r="V17" s="1" t="str">
        <f t="shared" si="15"/>
        <v/>
      </c>
      <c r="W17" s="26" t="str">
        <f t="shared" si="16"/>
        <v/>
      </c>
      <c r="X17" s="13" t="str">
        <f t="shared" si="17"/>
        <v/>
      </c>
      <c r="Y17" s="9">
        <f t="shared" si="18"/>
        <v>0</v>
      </c>
    </row>
    <row r="18" spans="1:25" x14ac:dyDescent="0.25">
      <c r="A18" s="28"/>
      <c r="B18" s="29"/>
      <c r="C18" s="30"/>
      <c r="D18" s="31"/>
      <c r="E18" s="29" t="s">
        <v>16</v>
      </c>
      <c r="F18" s="13" t="b">
        <f>IF($E18=Categories!$A$1,"",IF($E18=Categories!$A$2,Categories!$B$2,IF($E18=Categories!$A$3,Categories!$B$3,IF($E18=Categories!$A$4,Categories!$B$4,IF($E18=Categories!$A$5,Categories!$B$5,IF($E18=Categories!$A$6,Categories!$B$6,IF($E18=Categories!$A$7,Categories!$B$7,IF($E18=Categories!$A$8,Categories!$B$8,IF($E18=Categories!$A$9,Categories!$B$9,IF($E18=Categories!$A$10,Categories!$B$10,IF($E18=Categories!$A$11,Categories!$B$11,IF($E18=Categories!$A$12,Categories!$B$12,IF($E18=Categories!$A$13,Categories!$B$13,IF($E18=Categories!$A$14,Categories!$B$14,IF($E18=Categories!$A$15,Categories!$B$15,IF($E18=Categories!$A$16,Categories!$B$16,IF($E18=Categories!$A$17,Categories!$B$17,IF($E18=Categories!$A$18,Categories!$B$18,IF($E18=Categories!$A$19,Categories!$B$19)))))))))))))))))))</f>
        <v>0</v>
      </c>
      <c r="G18" s="9" t="str">
        <f t="shared" si="0"/>
        <v/>
      </c>
      <c r="H18" s="1" t="str">
        <f t="shared" si="1"/>
        <v/>
      </c>
      <c r="I18" s="1" t="str">
        <f t="shared" si="2"/>
        <v/>
      </c>
      <c r="J18" s="1" t="str">
        <f t="shared" si="3"/>
        <v/>
      </c>
      <c r="K18" s="13" t="str">
        <f t="shared" si="4"/>
        <v/>
      </c>
      <c r="L18" s="9" t="str">
        <f t="shared" si="5"/>
        <v/>
      </c>
      <c r="M18" s="1" t="str">
        <f t="shared" si="6"/>
        <v/>
      </c>
      <c r="N18" s="1" t="str">
        <f t="shared" si="7"/>
        <v/>
      </c>
      <c r="O18" s="1" t="str">
        <f t="shared" si="8"/>
        <v/>
      </c>
      <c r="P18" s="1" t="str">
        <f t="shared" si="9"/>
        <v/>
      </c>
      <c r="Q18" s="1" t="str">
        <f t="shared" si="10"/>
        <v/>
      </c>
      <c r="R18" s="1" t="str">
        <f t="shared" si="11"/>
        <v/>
      </c>
      <c r="S18" s="1" t="str">
        <f t="shared" si="12"/>
        <v/>
      </c>
      <c r="T18" s="1" t="str">
        <f t="shared" si="13"/>
        <v/>
      </c>
      <c r="U18" s="1" t="str">
        <f t="shared" si="14"/>
        <v/>
      </c>
      <c r="V18" s="1" t="str">
        <f t="shared" si="15"/>
        <v/>
      </c>
      <c r="W18" s="26" t="str">
        <f t="shared" si="16"/>
        <v/>
      </c>
      <c r="X18" s="13" t="str">
        <f t="shared" si="17"/>
        <v/>
      </c>
      <c r="Y18" s="9">
        <f t="shared" si="18"/>
        <v>0</v>
      </c>
    </row>
    <row r="19" spans="1:25" x14ac:dyDescent="0.25">
      <c r="A19" s="28"/>
      <c r="B19" s="29"/>
      <c r="C19" s="30"/>
      <c r="D19" s="31"/>
      <c r="E19" s="29" t="s">
        <v>16</v>
      </c>
      <c r="F19" s="13" t="b">
        <f>IF($E19=Categories!$A$1,"",IF($E19=Categories!$A$2,Categories!$B$2,IF($E19=Categories!$A$3,Categories!$B$3,IF($E19=Categories!$A$4,Categories!$B$4,IF($E19=Categories!$A$5,Categories!$B$5,IF($E19=Categories!$A$6,Categories!$B$6,IF($E19=Categories!$A$7,Categories!$B$7,IF($E19=Categories!$A$8,Categories!$B$8,IF($E19=Categories!$A$9,Categories!$B$9,IF($E19=Categories!$A$10,Categories!$B$10,IF($E19=Categories!$A$11,Categories!$B$11,IF($E19=Categories!$A$12,Categories!$B$12,IF($E19=Categories!$A$13,Categories!$B$13,IF($E19=Categories!$A$14,Categories!$B$14,IF($E19=Categories!$A$15,Categories!$B$15,IF($E19=Categories!$A$16,Categories!$B$16,IF($E19=Categories!$A$17,Categories!$B$17,IF($E19=Categories!$A$18,Categories!$B$18,IF($E19=Categories!$A$19,Categories!$B$19)))))))))))))))))))</f>
        <v>0</v>
      </c>
      <c r="G19" s="9" t="str">
        <f t="shared" si="0"/>
        <v/>
      </c>
      <c r="H19" s="1" t="str">
        <f t="shared" si="1"/>
        <v/>
      </c>
      <c r="I19" s="1" t="str">
        <f t="shared" si="2"/>
        <v/>
      </c>
      <c r="J19" s="1" t="str">
        <f t="shared" si="3"/>
        <v/>
      </c>
      <c r="K19" s="13" t="str">
        <f t="shared" si="4"/>
        <v/>
      </c>
      <c r="L19" s="9" t="str">
        <f t="shared" si="5"/>
        <v/>
      </c>
      <c r="M19" s="1" t="str">
        <f t="shared" si="6"/>
        <v/>
      </c>
      <c r="N19" s="1" t="str">
        <f t="shared" si="7"/>
        <v/>
      </c>
      <c r="O19" s="1" t="str">
        <f t="shared" si="8"/>
        <v/>
      </c>
      <c r="P19" s="1" t="str">
        <f t="shared" si="9"/>
        <v/>
      </c>
      <c r="Q19" s="1" t="str">
        <f t="shared" si="10"/>
        <v/>
      </c>
      <c r="R19" s="1" t="str">
        <f t="shared" si="11"/>
        <v/>
      </c>
      <c r="S19" s="1" t="str">
        <f t="shared" si="12"/>
        <v/>
      </c>
      <c r="T19" s="1" t="str">
        <f t="shared" si="13"/>
        <v/>
      </c>
      <c r="U19" s="1" t="str">
        <f t="shared" si="14"/>
        <v/>
      </c>
      <c r="V19" s="1" t="str">
        <f t="shared" si="15"/>
        <v/>
      </c>
      <c r="W19" s="26" t="str">
        <f t="shared" si="16"/>
        <v/>
      </c>
      <c r="X19" s="13" t="str">
        <f t="shared" si="17"/>
        <v/>
      </c>
      <c r="Y19" s="9">
        <f t="shared" si="18"/>
        <v>0</v>
      </c>
    </row>
    <row r="20" spans="1:25" x14ac:dyDescent="0.25">
      <c r="A20" s="28"/>
      <c r="B20" s="29"/>
      <c r="C20" s="30"/>
      <c r="D20" s="31"/>
      <c r="E20" s="29" t="s">
        <v>16</v>
      </c>
      <c r="F20" s="13" t="b">
        <f>IF($E20=Categories!$A$1,"",IF($E20=Categories!$A$2,Categories!$B$2,IF($E20=Categories!$A$3,Categories!$B$3,IF($E20=Categories!$A$4,Categories!$B$4,IF($E20=Categories!$A$5,Categories!$B$5,IF($E20=Categories!$A$6,Categories!$B$6,IF($E20=Categories!$A$7,Categories!$B$7,IF($E20=Categories!$A$8,Categories!$B$8,IF($E20=Categories!$A$9,Categories!$B$9,IF($E20=Categories!$A$10,Categories!$B$10,IF($E20=Categories!$A$11,Categories!$B$11,IF($E20=Categories!$A$12,Categories!$B$12,IF($E20=Categories!$A$13,Categories!$B$13,IF($E20=Categories!$A$14,Categories!$B$14,IF($E20=Categories!$A$15,Categories!$B$15,IF($E20=Categories!$A$16,Categories!$B$16,IF($E20=Categories!$A$17,Categories!$B$17,IF($E20=Categories!$A$18,Categories!$B$18,IF($E20=Categories!$A$19,Categories!$B$19)))))))))))))))))))</f>
        <v>0</v>
      </c>
      <c r="G20" s="9" t="str">
        <f t="shared" si="0"/>
        <v/>
      </c>
      <c r="H20" s="1" t="str">
        <f t="shared" si="1"/>
        <v/>
      </c>
      <c r="I20" s="1" t="str">
        <f t="shared" si="2"/>
        <v/>
      </c>
      <c r="J20" s="1" t="str">
        <f t="shared" si="3"/>
        <v/>
      </c>
      <c r="K20" s="13" t="str">
        <f t="shared" si="4"/>
        <v/>
      </c>
      <c r="L20" s="9" t="str">
        <f t="shared" si="5"/>
        <v/>
      </c>
      <c r="M20" s="1" t="str">
        <f t="shared" si="6"/>
        <v/>
      </c>
      <c r="N20" s="1" t="str">
        <f t="shared" si="7"/>
        <v/>
      </c>
      <c r="O20" s="1" t="str">
        <f t="shared" si="8"/>
        <v/>
      </c>
      <c r="P20" s="1" t="str">
        <f t="shared" si="9"/>
        <v/>
      </c>
      <c r="Q20" s="1" t="str">
        <f t="shared" si="10"/>
        <v/>
      </c>
      <c r="R20" s="1" t="str">
        <f t="shared" si="11"/>
        <v/>
      </c>
      <c r="S20" s="1" t="str">
        <f t="shared" si="12"/>
        <v/>
      </c>
      <c r="T20" s="1" t="str">
        <f t="shared" si="13"/>
        <v/>
      </c>
      <c r="U20" s="1" t="str">
        <f t="shared" si="14"/>
        <v/>
      </c>
      <c r="V20" s="1" t="str">
        <f t="shared" si="15"/>
        <v/>
      </c>
      <c r="W20" s="26" t="str">
        <f t="shared" si="16"/>
        <v/>
      </c>
      <c r="X20" s="13" t="str">
        <f t="shared" si="17"/>
        <v/>
      </c>
      <c r="Y20" s="9">
        <f t="shared" si="18"/>
        <v>0</v>
      </c>
    </row>
    <row r="21" spans="1:25" x14ac:dyDescent="0.25">
      <c r="A21" s="28"/>
      <c r="B21" s="29"/>
      <c r="C21" s="30"/>
      <c r="D21" s="31"/>
      <c r="E21" s="29" t="s">
        <v>16</v>
      </c>
      <c r="F21" s="13" t="b">
        <f>IF($E21=Categories!$A$1,"",IF($E21=Categories!$A$2,Categories!$B$2,IF($E21=Categories!$A$3,Categories!$B$3,IF($E21=Categories!$A$4,Categories!$B$4,IF($E21=Categories!$A$5,Categories!$B$5,IF($E21=Categories!$A$6,Categories!$B$6,IF($E21=Categories!$A$7,Categories!$B$7,IF($E21=Categories!$A$8,Categories!$B$8,IF($E21=Categories!$A$9,Categories!$B$9,IF($E21=Categories!$A$10,Categories!$B$10,IF($E21=Categories!$A$11,Categories!$B$11,IF($E21=Categories!$A$12,Categories!$B$12,IF($E21=Categories!$A$13,Categories!$B$13,IF($E21=Categories!$A$14,Categories!$B$14,IF($E21=Categories!$A$15,Categories!$B$15,IF($E21=Categories!$A$16,Categories!$B$16,IF($E21=Categories!$A$17,Categories!$B$17,IF($E21=Categories!$A$18,Categories!$B$18,IF($E21=Categories!$A$19,Categories!$B$19)))))))))))))))))))</f>
        <v>0</v>
      </c>
      <c r="G21" s="9" t="str">
        <f t="shared" si="0"/>
        <v/>
      </c>
      <c r="H21" s="1" t="str">
        <f t="shared" si="1"/>
        <v/>
      </c>
      <c r="I21" s="1" t="str">
        <f t="shared" si="2"/>
        <v/>
      </c>
      <c r="J21" s="1" t="str">
        <f t="shared" si="3"/>
        <v/>
      </c>
      <c r="K21" s="13" t="str">
        <f t="shared" si="4"/>
        <v/>
      </c>
      <c r="L21" s="9" t="str">
        <f t="shared" si="5"/>
        <v/>
      </c>
      <c r="M21" s="1" t="str">
        <f t="shared" si="6"/>
        <v/>
      </c>
      <c r="N21" s="1" t="str">
        <f t="shared" si="7"/>
        <v/>
      </c>
      <c r="O21" s="1" t="str">
        <f t="shared" si="8"/>
        <v/>
      </c>
      <c r="P21" s="1" t="str">
        <f t="shared" si="9"/>
        <v/>
      </c>
      <c r="Q21" s="1" t="str">
        <f t="shared" si="10"/>
        <v/>
      </c>
      <c r="R21" s="1" t="str">
        <f t="shared" si="11"/>
        <v/>
      </c>
      <c r="S21" s="1" t="str">
        <f t="shared" si="12"/>
        <v/>
      </c>
      <c r="T21" s="1" t="str">
        <f t="shared" si="13"/>
        <v/>
      </c>
      <c r="U21" s="1" t="str">
        <f t="shared" si="14"/>
        <v/>
      </c>
      <c r="V21" s="1" t="str">
        <f t="shared" si="15"/>
        <v/>
      </c>
      <c r="W21" s="26" t="str">
        <f t="shared" si="16"/>
        <v/>
      </c>
      <c r="X21" s="13" t="str">
        <f t="shared" si="17"/>
        <v/>
      </c>
      <c r="Y21" s="9">
        <f t="shared" si="18"/>
        <v>0</v>
      </c>
    </row>
    <row r="22" spans="1:25" x14ac:dyDescent="0.25">
      <c r="A22" s="28"/>
      <c r="B22" s="29"/>
      <c r="C22" s="30"/>
      <c r="D22" s="31"/>
      <c r="E22" s="29" t="s">
        <v>16</v>
      </c>
      <c r="F22" s="13" t="b">
        <f>IF($E22=Categories!$A$1,"",IF($E22=Categories!$A$2,Categories!$B$2,IF($E22=Categories!$A$3,Categories!$B$3,IF($E22=Categories!$A$4,Categories!$B$4,IF($E22=Categories!$A$5,Categories!$B$5,IF($E22=Categories!$A$6,Categories!$B$6,IF($E22=Categories!$A$7,Categories!$B$7,IF($E22=Categories!$A$8,Categories!$B$8,IF($E22=Categories!$A$9,Categories!$B$9,IF($E22=Categories!$A$10,Categories!$B$10,IF($E22=Categories!$A$11,Categories!$B$11,IF($E22=Categories!$A$12,Categories!$B$12,IF($E22=Categories!$A$13,Categories!$B$13,IF($E22=Categories!$A$14,Categories!$B$14,IF($E22=Categories!$A$15,Categories!$B$15,IF($E22=Categories!$A$16,Categories!$B$16,IF($E22=Categories!$A$17,Categories!$B$17,IF($E22=Categories!$A$18,Categories!$B$18,IF($E22=Categories!$A$19,Categories!$B$19)))))))))))))))))))</f>
        <v>0</v>
      </c>
      <c r="G22" s="9" t="str">
        <f t="shared" si="0"/>
        <v/>
      </c>
      <c r="H22" s="1" t="str">
        <f t="shared" si="1"/>
        <v/>
      </c>
      <c r="I22" s="1" t="str">
        <f t="shared" si="2"/>
        <v/>
      </c>
      <c r="J22" s="1" t="str">
        <f t="shared" si="3"/>
        <v/>
      </c>
      <c r="K22" s="13" t="str">
        <f t="shared" si="4"/>
        <v/>
      </c>
      <c r="L22" s="9" t="str">
        <f t="shared" si="5"/>
        <v/>
      </c>
      <c r="M22" s="1" t="str">
        <f t="shared" si="6"/>
        <v/>
      </c>
      <c r="N22" s="1" t="str">
        <f t="shared" si="7"/>
        <v/>
      </c>
      <c r="O22" s="1" t="str">
        <f t="shared" si="8"/>
        <v/>
      </c>
      <c r="P22" s="1" t="str">
        <f t="shared" si="9"/>
        <v/>
      </c>
      <c r="Q22" s="1" t="str">
        <f t="shared" si="10"/>
        <v/>
      </c>
      <c r="R22" s="1" t="str">
        <f t="shared" si="11"/>
        <v/>
      </c>
      <c r="S22" s="1" t="str">
        <f t="shared" si="12"/>
        <v/>
      </c>
      <c r="T22" s="1" t="str">
        <f t="shared" si="13"/>
        <v/>
      </c>
      <c r="U22" s="1" t="str">
        <f t="shared" si="14"/>
        <v/>
      </c>
      <c r="V22" s="1" t="str">
        <f t="shared" si="15"/>
        <v/>
      </c>
      <c r="W22" s="26" t="str">
        <f t="shared" si="16"/>
        <v/>
      </c>
      <c r="X22" s="13" t="str">
        <f t="shared" si="17"/>
        <v/>
      </c>
      <c r="Y22" s="9">
        <f t="shared" si="18"/>
        <v>0</v>
      </c>
    </row>
    <row r="23" spans="1:25" x14ac:dyDescent="0.25">
      <c r="A23" s="28"/>
      <c r="B23" s="29"/>
      <c r="C23" s="30"/>
      <c r="D23" s="31"/>
      <c r="E23" s="29" t="s">
        <v>16</v>
      </c>
      <c r="F23" s="13" t="b">
        <f>IF($E23=Categories!$A$1,"",IF($E23=Categories!$A$2,Categories!$B$2,IF($E23=Categories!$A$3,Categories!$B$3,IF($E23=Categories!$A$4,Categories!$B$4,IF($E23=Categories!$A$5,Categories!$B$5,IF($E23=Categories!$A$6,Categories!$B$6,IF($E23=Categories!$A$7,Categories!$B$7,IF($E23=Categories!$A$8,Categories!$B$8,IF($E23=Categories!$A$9,Categories!$B$9,IF($E23=Categories!$A$10,Categories!$B$10,IF($E23=Categories!$A$11,Categories!$B$11,IF($E23=Categories!$A$12,Categories!$B$12,IF($E23=Categories!$A$13,Categories!$B$13,IF($E23=Categories!$A$14,Categories!$B$14,IF($E23=Categories!$A$15,Categories!$B$15,IF($E23=Categories!$A$16,Categories!$B$16,IF($E23=Categories!$A$17,Categories!$B$17,IF($E23=Categories!$A$18,Categories!$B$18,IF($E23=Categories!$A$19,Categories!$B$19)))))))))))))))))))</f>
        <v>0</v>
      </c>
      <c r="G23" s="9" t="str">
        <f t="shared" si="0"/>
        <v/>
      </c>
      <c r="H23" s="1" t="str">
        <f t="shared" si="1"/>
        <v/>
      </c>
      <c r="I23" s="1" t="str">
        <f t="shared" si="2"/>
        <v/>
      </c>
      <c r="J23" s="1" t="str">
        <f t="shared" si="3"/>
        <v/>
      </c>
      <c r="K23" s="13" t="str">
        <f t="shared" si="4"/>
        <v/>
      </c>
      <c r="L23" s="9" t="str">
        <f t="shared" si="5"/>
        <v/>
      </c>
      <c r="M23" s="1" t="str">
        <f t="shared" si="6"/>
        <v/>
      </c>
      <c r="N23" s="1" t="str">
        <f t="shared" si="7"/>
        <v/>
      </c>
      <c r="O23" s="1" t="str">
        <f t="shared" si="8"/>
        <v/>
      </c>
      <c r="P23" s="1" t="str">
        <f t="shared" si="9"/>
        <v/>
      </c>
      <c r="Q23" s="1" t="str">
        <f t="shared" si="10"/>
        <v/>
      </c>
      <c r="R23" s="1" t="str">
        <f t="shared" si="11"/>
        <v/>
      </c>
      <c r="S23" s="1" t="str">
        <f t="shared" si="12"/>
        <v/>
      </c>
      <c r="T23" s="1" t="str">
        <f t="shared" si="13"/>
        <v/>
      </c>
      <c r="U23" s="1" t="str">
        <f t="shared" si="14"/>
        <v/>
      </c>
      <c r="V23" s="1" t="str">
        <f t="shared" si="15"/>
        <v/>
      </c>
      <c r="W23" s="26" t="str">
        <f t="shared" si="16"/>
        <v/>
      </c>
      <c r="X23" s="13" t="str">
        <f t="shared" si="17"/>
        <v/>
      </c>
      <c r="Y23" s="9">
        <f t="shared" si="18"/>
        <v>0</v>
      </c>
    </row>
    <row r="24" spans="1:25" x14ac:dyDescent="0.25">
      <c r="A24" s="28"/>
      <c r="B24" s="29"/>
      <c r="C24" s="30"/>
      <c r="D24" s="31"/>
      <c r="E24" s="29" t="s">
        <v>16</v>
      </c>
      <c r="F24" s="13" t="b">
        <f>IF($E24=Categories!$A$1,"",IF($E24=Categories!$A$2,Categories!$B$2,IF($E24=Categories!$A$3,Categories!$B$3,IF($E24=Categories!$A$4,Categories!$B$4,IF($E24=Categories!$A$5,Categories!$B$5,IF($E24=Categories!$A$6,Categories!$B$6,IF($E24=Categories!$A$7,Categories!$B$7,IF($E24=Categories!$A$8,Categories!$B$8,IF($E24=Categories!$A$9,Categories!$B$9,IF($E24=Categories!$A$10,Categories!$B$10,IF($E24=Categories!$A$11,Categories!$B$11,IF($E24=Categories!$A$12,Categories!$B$12,IF($E24=Categories!$A$13,Categories!$B$13,IF($E24=Categories!$A$14,Categories!$B$14,IF($E24=Categories!$A$15,Categories!$B$15,IF($E24=Categories!$A$16,Categories!$B$16,IF($E24=Categories!$A$17,Categories!$B$17,IF($E24=Categories!$A$18,Categories!$B$18,IF($E24=Categories!$A$19,Categories!$B$19)))))))))))))))))))</f>
        <v>0</v>
      </c>
      <c r="G24" s="9" t="str">
        <f t="shared" si="0"/>
        <v/>
      </c>
      <c r="H24" s="1" t="str">
        <f t="shared" si="1"/>
        <v/>
      </c>
      <c r="I24" s="1" t="str">
        <f t="shared" si="2"/>
        <v/>
      </c>
      <c r="J24" s="1" t="str">
        <f t="shared" si="3"/>
        <v/>
      </c>
      <c r="K24" s="13" t="str">
        <f t="shared" si="4"/>
        <v/>
      </c>
      <c r="L24" s="9" t="str">
        <f t="shared" si="5"/>
        <v/>
      </c>
      <c r="M24" s="1" t="str">
        <f t="shared" si="6"/>
        <v/>
      </c>
      <c r="N24" s="1" t="str">
        <f t="shared" si="7"/>
        <v/>
      </c>
      <c r="O24" s="1" t="str">
        <f t="shared" si="8"/>
        <v/>
      </c>
      <c r="P24" s="1" t="str">
        <f t="shared" si="9"/>
        <v/>
      </c>
      <c r="Q24" s="1" t="str">
        <f t="shared" si="10"/>
        <v/>
      </c>
      <c r="R24" s="1" t="str">
        <f t="shared" si="11"/>
        <v/>
      </c>
      <c r="S24" s="1" t="str">
        <f t="shared" si="12"/>
        <v/>
      </c>
      <c r="T24" s="1" t="str">
        <f t="shared" si="13"/>
        <v/>
      </c>
      <c r="U24" s="1" t="str">
        <f t="shared" si="14"/>
        <v/>
      </c>
      <c r="V24" s="1" t="str">
        <f t="shared" si="15"/>
        <v/>
      </c>
      <c r="W24" s="26" t="str">
        <f t="shared" si="16"/>
        <v/>
      </c>
      <c r="X24" s="13" t="str">
        <f t="shared" si="17"/>
        <v/>
      </c>
      <c r="Y24" s="9">
        <f t="shared" si="18"/>
        <v>0</v>
      </c>
    </row>
    <row r="25" spans="1:25" x14ac:dyDescent="0.25">
      <c r="A25" s="28"/>
      <c r="B25" s="29"/>
      <c r="C25" s="30"/>
      <c r="D25" s="31"/>
      <c r="E25" s="29" t="s">
        <v>16</v>
      </c>
      <c r="F25" s="13" t="b">
        <f>IF($E25=Categories!$A$1,"",IF($E25=Categories!$A$2,Categories!$B$2,IF($E25=Categories!$A$3,Categories!$B$3,IF($E25=Categories!$A$4,Categories!$B$4,IF($E25=Categories!$A$5,Categories!$B$5,IF($E25=Categories!$A$6,Categories!$B$6,IF($E25=Categories!$A$7,Categories!$B$7,IF($E25=Categories!$A$8,Categories!$B$8,IF($E25=Categories!$A$9,Categories!$B$9,IF($E25=Categories!$A$10,Categories!$B$10,IF($E25=Categories!$A$11,Categories!$B$11,IF($E25=Categories!$A$12,Categories!$B$12,IF($E25=Categories!$A$13,Categories!$B$13,IF($E25=Categories!$A$14,Categories!$B$14,IF($E25=Categories!$A$15,Categories!$B$15,IF($E25=Categories!$A$16,Categories!$B$16,IF($E25=Categories!$A$17,Categories!$B$17,IF($E25=Categories!$A$18,Categories!$B$18,IF($E25=Categories!$A$19,Categories!$B$19)))))))))))))))))))</f>
        <v>0</v>
      </c>
      <c r="G25" s="9" t="str">
        <f t="shared" si="0"/>
        <v/>
      </c>
      <c r="H25" s="1" t="str">
        <f t="shared" si="1"/>
        <v/>
      </c>
      <c r="I25" s="1" t="str">
        <f t="shared" si="2"/>
        <v/>
      </c>
      <c r="J25" s="1" t="str">
        <f t="shared" si="3"/>
        <v/>
      </c>
      <c r="K25" s="13" t="str">
        <f t="shared" si="4"/>
        <v/>
      </c>
      <c r="L25" s="9" t="str">
        <f t="shared" si="5"/>
        <v/>
      </c>
      <c r="M25" s="1" t="str">
        <f t="shared" si="6"/>
        <v/>
      </c>
      <c r="N25" s="1" t="str">
        <f t="shared" si="7"/>
        <v/>
      </c>
      <c r="O25" s="1" t="str">
        <f t="shared" si="8"/>
        <v/>
      </c>
      <c r="P25" s="1" t="str">
        <f t="shared" si="9"/>
        <v/>
      </c>
      <c r="Q25" s="1" t="str">
        <f t="shared" si="10"/>
        <v/>
      </c>
      <c r="R25" s="1" t="str">
        <f t="shared" si="11"/>
        <v/>
      </c>
      <c r="S25" s="1" t="str">
        <f t="shared" si="12"/>
        <v/>
      </c>
      <c r="T25" s="1" t="str">
        <f t="shared" si="13"/>
        <v/>
      </c>
      <c r="U25" s="1" t="str">
        <f t="shared" si="14"/>
        <v/>
      </c>
      <c r="V25" s="1" t="str">
        <f t="shared" si="15"/>
        <v/>
      </c>
      <c r="W25" s="26" t="str">
        <f t="shared" si="16"/>
        <v/>
      </c>
      <c r="X25" s="13" t="str">
        <f t="shared" si="17"/>
        <v/>
      </c>
      <c r="Y25" s="9">
        <f t="shared" si="18"/>
        <v>0</v>
      </c>
    </row>
    <row r="26" spans="1:25" x14ac:dyDescent="0.25">
      <c r="A26" s="28"/>
      <c r="B26" s="29"/>
      <c r="C26" s="30"/>
      <c r="D26" s="31"/>
      <c r="E26" s="29" t="s">
        <v>16</v>
      </c>
      <c r="F26" s="13" t="b">
        <f>IF($E26=Categories!$A$1,"",IF($E26=Categories!$A$2,Categories!$B$2,IF($E26=Categories!$A$3,Categories!$B$3,IF($E26=Categories!$A$4,Categories!$B$4,IF($E26=Categories!$A$5,Categories!$B$5,IF($E26=Categories!$A$6,Categories!$B$6,IF($E26=Categories!$A$7,Categories!$B$7,IF($E26=Categories!$A$8,Categories!$B$8,IF($E26=Categories!$A$9,Categories!$B$9,IF($E26=Categories!$A$10,Categories!$B$10,IF($E26=Categories!$A$11,Categories!$B$11,IF($E26=Categories!$A$12,Categories!$B$12,IF($E26=Categories!$A$13,Categories!$B$13,IF($E26=Categories!$A$14,Categories!$B$14,IF($E26=Categories!$A$15,Categories!$B$15,IF($E26=Categories!$A$16,Categories!$B$16,IF($E26=Categories!$A$17,Categories!$B$17,IF($E26=Categories!$A$18,Categories!$B$18,IF($E26=Categories!$A$19,Categories!$B$19)))))))))))))))))))</f>
        <v>0</v>
      </c>
      <c r="G26" s="9" t="str">
        <f t="shared" si="0"/>
        <v/>
      </c>
      <c r="H26" s="1" t="str">
        <f t="shared" si="1"/>
        <v/>
      </c>
      <c r="I26" s="1" t="str">
        <f t="shared" si="2"/>
        <v/>
      </c>
      <c r="J26" s="1" t="str">
        <f t="shared" si="3"/>
        <v/>
      </c>
      <c r="K26" s="13" t="str">
        <f t="shared" si="4"/>
        <v/>
      </c>
      <c r="L26" s="9" t="str">
        <f t="shared" si="5"/>
        <v/>
      </c>
      <c r="M26" s="1" t="str">
        <f t="shared" si="6"/>
        <v/>
      </c>
      <c r="N26" s="1" t="str">
        <f t="shared" si="7"/>
        <v/>
      </c>
      <c r="O26" s="1" t="str">
        <f t="shared" si="8"/>
        <v/>
      </c>
      <c r="P26" s="1" t="str">
        <f t="shared" si="9"/>
        <v/>
      </c>
      <c r="Q26" s="1" t="str">
        <f t="shared" si="10"/>
        <v/>
      </c>
      <c r="R26" s="1" t="str">
        <f t="shared" si="11"/>
        <v/>
      </c>
      <c r="S26" s="1" t="str">
        <f t="shared" si="12"/>
        <v/>
      </c>
      <c r="T26" s="1" t="str">
        <f t="shared" si="13"/>
        <v/>
      </c>
      <c r="U26" s="1" t="str">
        <f t="shared" si="14"/>
        <v/>
      </c>
      <c r="V26" s="1" t="str">
        <f t="shared" si="15"/>
        <v/>
      </c>
      <c r="W26" s="26" t="str">
        <f t="shared" si="16"/>
        <v/>
      </c>
      <c r="X26" s="13" t="str">
        <f t="shared" si="17"/>
        <v/>
      </c>
      <c r="Y26" s="9">
        <f t="shared" si="18"/>
        <v>0</v>
      </c>
    </row>
    <row r="27" spans="1:25" x14ac:dyDescent="0.25">
      <c r="A27" s="28"/>
      <c r="B27" s="29"/>
      <c r="C27" s="30"/>
      <c r="D27" s="31"/>
      <c r="E27" s="29" t="s">
        <v>16</v>
      </c>
      <c r="F27" s="13" t="b">
        <f>IF($E27=Categories!$A$1,"",IF($E27=Categories!$A$2,Categories!$B$2,IF($E27=Categories!$A$3,Categories!$B$3,IF($E27=Categories!$A$4,Categories!$B$4,IF($E27=Categories!$A$5,Categories!$B$5,IF($E27=Categories!$A$6,Categories!$B$6,IF($E27=Categories!$A$7,Categories!$B$7,IF($E27=Categories!$A$8,Categories!$B$8,IF($E27=Categories!$A$9,Categories!$B$9,IF($E27=Categories!$A$10,Categories!$B$10,IF($E27=Categories!$A$11,Categories!$B$11,IF($E27=Categories!$A$12,Categories!$B$12,IF($E27=Categories!$A$13,Categories!$B$13,IF($E27=Categories!$A$14,Categories!$B$14,IF($E27=Categories!$A$15,Categories!$B$15,IF($E27=Categories!$A$16,Categories!$B$16,IF($E27=Categories!$A$17,Categories!$B$17,IF($E27=Categories!$A$18,Categories!$B$18,IF($E27=Categories!$A$19,Categories!$B$19)))))))))))))))))))</f>
        <v>0</v>
      </c>
      <c r="G27" s="9" t="str">
        <f t="shared" si="0"/>
        <v/>
      </c>
      <c r="H27" s="1" t="str">
        <f t="shared" si="1"/>
        <v/>
      </c>
      <c r="I27" s="1" t="str">
        <f t="shared" si="2"/>
        <v/>
      </c>
      <c r="J27" s="1" t="str">
        <f t="shared" si="3"/>
        <v/>
      </c>
      <c r="K27" s="13" t="str">
        <f t="shared" si="4"/>
        <v/>
      </c>
      <c r="L27" s="9" t="str">
        <f t="shared" si="5"/>
        <v/>
      </c>
      <c r="M27" s="1" t="str">
        <f t="shared" si="6"/>
        <v/>
      </c>
      <c r="N27" s="1" t="str">
        <f t="shared" si="7"/>
        <v/>
      </c>
      <c r="O27" s="1" t="str">
        <f t="shared" si="8"/>
        <v/>
      </c>
      <c r="P27" s="1" t="str">
        <f t="shared" si="9"/>
        <v/>
      </c>
      <c r="Q27" s="1" t="str">
        <f t="shared" si="10"/>
        <v/>
      </c>
      <c r="R27" s="1" t="str">
        <f t="shared" si="11"/>
        <v/>
      </c>
      <c r="S27" s="1" t="str">
        <f t="shared" si="12"/>
        <v/>
      </c>
      <c r="T27" s="1" t="str">
        <f t="shared" si="13"/>
        <v/>
      </c>
      <c r="U27" s="1" t="str">
        <f t="shared" si="14"/>
        <v/>
      </c>
      <c r="V27" s="1" t="str">
        <f t="shared" si="15"/>
        <v/>
      </c>
      <c r="W27" s="26" t="str">
        <f t="shared" si="16"/>
        <v/>
      </c>
      <c r="X27" s="13" t="str">
        <f t="shared" si="17"/>
        <v/>
      </c>
      <c r="Y27" s="9">
        <f t="shared" si="18"/>
        <v>0</v>
      </c>
    </row>
    <row r="28" spans="1:25" x14ac:dyDescent="0.25">
      <c r="A28" s="28"/>
      <c r="B28" s="29"/>
      <c r="C28" s="30"/>
      <c r="D28" s="31"/>
      <c r="E28" s="29" t="s">
        <v>16</v>
      </c>
      <c r="F28" s="13" t="b">
        <f>IF($E28=Categories!$A$1,"",IF($E28=Categories!$A$2,Categories!$B$2,IF($E28=Categories!$A$3,Categories!$B$3,IF($E28=Categories!$A$4,Categories!$B$4,IF($E28=Categories!$A$5,Categories!$B$5,IF($E28=Categories!$A$6,Categories!$B$6,IF($E28=Categories!$A$7,Categories!$B$7,IF($E28=Categories!$A$8,Categories!$B$8,IF($E28=Categories!$A$9,Categories!$B$9,IF($E28=Categories!$A$10,Categories!$B$10,IF($E28=Categories!$A$11,Categories!$B$11,IF($E28=Categories!$A$12,Categories!$B$12,IF($E28=Categories!$A$13,Categories!$B$13,IF($E28=Categories!$A$14,Categories!$B$14,IF($E28=Categories!$A$15,Categories!$B$15,IF($E28=Categories!$A$16,Categories!$B$16,IF($E28=Categories!$A$17,Categories!$B$17,IF($E28=Categories!$A$18,Categories!$B$18,IF($E28=Categories!$A$19,Categories!$B$19)))))))))))))))))))</f>
        <v>0</v>
      </c>
      <c r="G28" s="9" t="str">
        <f t="shared" si="0"/>
        <v/>
      </c>
      <c r="H28" s="1" t="str">
        <f t="shared" si="1"/>
        <v/>
      </c>
      <c r="I28" s="1" t="str">
        <f t="shared" si="2"/>
        <v/>
      </c>
      <c r="J28" s="1" t="str">
        <f t="shared" si="3"/>
        <v/>
      </c>
      <c r="K28" s="13" t="str">
        <f t="shared" si="4"/>
        <v/>
      </c>
      <c r="L28" s="9" t="str">
        <f t="shared" si="5"/>
        <v/>
      </c>
      <c r="M28" s="1" t="str">
        <f t="shared" si="6"/>
        <v/>
      </c>
      <c r="N28" s="1" t="str">
        <f t="shared" si="7"/>
        <v/>
      </c>
      <c r="O28" s="1" t="str">
        <f t="shared" si="8"/>
        <v/>
      </c>
      <c r="P28" s="1" t="str">
        <f t="shared" si="9"/>
        <v/>
      </c>
      <c r="Q28" s="1" t="str">
        <f t="shared" si="10"/>
        <v/>
      </c>
      <c r="R28" s="1" t="str">
        <f t="shared" si="11"/>
        <v/>
      </c>
      <c r="S28" s="1" t="str">
        <f t="shared" si="12"/>
        <v/>
      </c>
      <c r="T28" s="1" t="str">
        <f t="shared" si="13"/>
        <v/>
      </c>
      <c r="U28" s="1" t="str">
        <f t="shared" si="14"/>
        <v/>
      </c>
      <c r="V28" s="1" t="str">
        <f t="shared" si="15"/>
        <v/>
      </c>
      <c r="W28" s="26" t="str">
        <f t="shared" si="16"/>
        <v/>
      </c>
      <c r="X28" s="13" t="str">
        <f t="shared" si="17"/>
        <v/>
      </c>
      <c r="Y28" s="9">
        <f t="shared" si="18"/>
        <v>0</v>
      </c>
    </row>
    <row r="29" spans="1:25" x14ac:dyDescent="0.25">
      <c r="A29" s="28"/>
      <c r="B29" s="29"/>
      <c r="C29" s="30"/>
      <c r="D29" s="31"/>
      <c r="E29" s="29" t="s">
        <v>16</v>
      </c>
      <c r="F29" s="13" t="b">
        <f>IF($E29=Categories!$A$1,"",IF($E29=Categories!$A$2,Categories!$B$2,IF($E29=Categories!$A$3,Categories!$B$3,IF($E29=Categories!$A$4,Categories!$B$4,IF($E29=Categories!$A$5,Categories!$B$5,IF($E29=Categories!$A$6,Categories!$B$6,IF($E29=Categories!$A$7,Categories!$B$7,IF($E29=Categories!$A$8,Categories!$B$8,IF($E29=Categories!$A$9,Categories!$B$9,IF($E29=Categories!$A$10,Categories!$B$10,IF($E29=Categories!$A$11,Categories!$B$11,IF($E29=Categories!$A$12,Categories!$B$12,IF($E29=Categories!$A$13,Categories!$B$13,IF($E29=Categories!$A$14,Categories!$B$14,IF($E29=Categories!$A$15,Categories!$B$15,IF($E29=Categories!$A$16,Categories!$B$16,IF($E29=Categories!$A$17,Categories!$B$17,IF($E29=Categories!$A$18,Categories!$B$18,IF($E29=Categories!$A$19,Categories!$B$19)))))))))))))))))))</f>
        <v>0</v>
      </c>
      <c r="G29" s="9" t="str">
        <f t="shared" si="0"/>
        <v/>
      </c>
      <c r="H29" s="1" t="str">
        <f t="shared" si="1"/>
        <v/>
      </c>
      <c r="I29" s="1" t="str">
        <f t="shared" si="2"/>
        <v/>
      </c>
      <c r="J29" s="1" t="str">
        <f t="shared" si="3"/>
        <v/>
      </c>
      <c r="K29" s="13" t="str">
        <f t="shared" si="4"/>
        <v/>
      </c>
      <c r="L29" s="9" t="str">
        <f t="shared" si="5"/>
        <v/>
      </c>
      <c r="M29" s="1" t="str">
        <f t="shared" si="6"/>
        <v/>
      </c>
      <c r="N29" s="1" t="str">
        <f t="shared" si="7"/>
        <v/>
      </c>
      <c r="O29" s="1" t="str">
        <f t="shared" si="8"/>
        <v/>
      </c>
      <c r="P29" s="1" t="str">
        <f t="shared" si="9"/>
        <v/>
      </c>
      <c r="Q29" s="1" t="str">
        <f t="shared" si="10"/>
        <v/>
      </c>
      <c r="R29" s="1" t="str">
        <f t="shared" si="11"/>
        <v/>
      </c>
      <c r="S29" s="1" t="str">
        <f t="shared" si="12"/>
        <v/>
      </c>
      <c r="T29" s="1" t="str">
        <f t="shared" si="13"/>
        <v/>
      </c>
      <c r="U29" s="1" t="str">
        <f t="shared" si="14"/>
        <v/>
      </c>
      <c r="V29" s="1" t="str">
        <f t="shared" si="15"/>
        <v/>
      </c>
      <c r="W29" s="26" t="str">
        <f t="shared" si="16"/>
        <v/>
      </c>
      <c r="X29" s="13" t="str">
        <f t="shared" si="17"/>
        <v/>
      </c>
      <c r="Y29" s="9">
        <f t="shared" si="18"/>
        <v>0</v>
      </c>
    </row>
    <row r="30" spans="1:25" x14ac:dyDescent="0.25">
      <c r="A30" s="28"/>
      <c r="B30" s="29"/>
      <c r="C30" s="30"/>
      <c r="D30" s="31"/>
      <c r="E30" s="29" t="s">
        <v>16</v>
      </c>
      <c r="F30" s="13" t="b">
        <f>IF($E30=Categories!$A$1,"",IF($E30=Categories!$A$2,Categories!$B$2,IF($E30=Categories!$A$3,Categories!$B$3,IF($E30=Categories!$A$4,Categories!$B$4,IF($E30=Categories!$A$5,Categories!$B$5,IF($E30=Categories!$A$6,Categories!$B$6,IF($E30=Categories!$A$7,Categories!$B$7,IF($E30=Categories!$A$8,Categories!$B$8,IF($E30=Categories!$A$9,Categories!$B$9,IF($E30=Categories!$A$10,Categories!$B$10,IF($E30=Categories!$A$11,Categories!$B$11,IF($E30=Categories!$A$12,Categories!$B$12,IF($E30=Categories!$A$13,Categories!$B$13,IF($E30=Categories!$A$14,Categories!$B$14,IF($E30=Categories!$A$15,Categories!$B$15,IF($E30=Categories!$A$16,Categories!$B$16,IF($E30=Categories!$A$17,Categories!$B$17,IF($E30=Categories!$A$18,Categories!$B$18,IF($E30=Categories!$A$19,Categories!$B$19)))))))))))))))))))</f>
        <v>0</v>
      </c>
      <c r="G30" s="9" t="str">
        <f t="shared" si="0"/>
        <v/>
      </c>
      <c r="H30" s="1" t="str">
        <f t="shared" si="1"/>
        <v/>
      </c>
      <c r="I30" s="1" t="str">
        <f t="shared" si="2"/>
        <v/>
      </c>
      <c r="J30" s="1" t="str">
        <f t="shared" si="3"/>
        <v/>
      </c>
      <c r="K30" s="13" t="str">
        <f t="shared" si="4"/>
        <v/>
      </c>
      <c r="L30" s="9" t="str">
        <f t="shared" si="5"/>
        <v/>
      </c>
      <c r="M30" s="1" t="str">
        <f t="shared" si="6"/>
        <v/>
      </c>
      <c r="N30" s="1" t="str">
        <f t="shared" si="7"/>
        <v/>
      </c>
      <c r="O30" s="1" t="str">
        <f t="shared" si="8"/>
        <v/>
      </c>
      <c r="P30" s="1" t="str">
        <f t="shared" si="9"/>
        <v/>
      </c>
      <c r="Q30" s="1" t="str">
        <f t="shared" si="10"/>
        <v/>
      </c>
      <c r="R30" s="1" t="str">
        <f t="shared" si="11"/>
        <v/>
      </c>
      <c r="S30" s="1" t="str">
        <f t="shared" si="12"/>
        <v/>
      </c>
      <c r="T30" s="1" t="str">
        <f t="shared" si="13"/>
        <v/>
      </c>
      <c r="U30" s="1" t="str">
        <f t="shared" si="14"/>
        <v/>
      </c>
      <c r="V30" s="1" t="str">
        <f t="shared" si="15"/>
        <v/>
      </c>
      <c r="W30" s="26" t="str">
        <f t="shared" si="16"/>
        <v/>
      </c>
      <c r="X30" s="13" t="str">
        <f t="shared" si="17"/>
        <v/>
      </c>
      <c r="Y30" s="9">
        <f t="shared" si="18"/>
        <v>0</v>
      </c>
    </row>
    <row r="31" spans="1:25" x14ac:dyDescent="0.25">
      <c r="A31" s="28"/>
      <c r="B31" s="29"/>
      <c r="C31" s="30"/>
      <c r="D31" s="31"/>
      <c r="E31" s="29" t="s">
        <v>16</v>
      </c>
      <c r="F31" s="13" t="b">
        <f>IF($E31=Categories!$A$1,"",IF($E31=Categories!$A$2,Categories!$B$2,IF($E31=Categories!$A$3,Categories!$B$3,IF($E31=Categories!$A$4,Categories!$B$4,IF($E31=Categories!$A$5,Categories!$B$5,IF($E31=Categories!$A$6,Categories!$B$6,IF($E31=Categories!$A$7,Categories!$B$7,IF($E31=Categories!$A$8,Categories!$B$8,IF($E31=Categories!$A$9,Categories!$B$9,IF($E31=Categories!$A$10,Categories!$B$10,IF($E31=Categories!$A$11,Categories!$B$11,IF($E31=Categories!$A$12,Categories!$B$12,IF($E31=Categories!$A$13,Categories!$B$13,IF($E31=Categories!$A$14,Categories!$B$14,IF($E31=Categories!$A$15,Categories!$B$15,IF($E31=Categories!$A$16,Categories!$B$16,IF($E31=Categories!$A$17,Categories!$B$17,IF($E31=Categories!$A$18,Categories!$B$18,IF($E31=Categories!$A$19,Categories!$B$19)))))))))))))))))))</f>
        <v>0</v>
      </c>
      <c r="G31" s="9" t="str">
        <f t="shared" si="0"/>
        <v/>
      </c>
      <c r="H31" s="1" t="str">
        <f t="shared" si="1"/>
        <v/>
      </c>
      <c r="I31" s="1" t="str">
        <f t="shared" si="2"/>
        <v/>
      </c>
      <c r="J31" s="1" t="str">
        <f t="shared" si="3"/>
        <v/>
      </c>
      <c r="K31" s="13" t="str">
        <f t="shared" si="4"/>
        <v/>
      </c>
      <c r="L31" s="9" t="str">
        <f t="shared" si="5"/>
        <v/>
      </c>
      <c r="M31" s="1" t="str">
        <f t="shared" si="6"/>
        <v/>
      </c>
      <c r="N31" s="1" t="str">
        <f t="shared" si="7"/>
        <v/>
      </c>
      <c r="O31" s="1" t="str">
        <f t="shared" si="8"/>
        <v/>
      </c>
      <c r="P31" s="1" t="str">
        <f t="shared" si="9"/>
        <v/>
      </c>
      <c r="Q31" s="1" t="str">
        <f t="shared" si="10"/>
        <v/>
      </c>
      <c r="R31" s="1" t="str">
        <f t="shared" si="11"/>
        <v/>
      </c>
      <c r="S31" s="1" t="str">
        <f t="shared" si="12"/>
        <v/>
      </c>
      <c r="T31" s="1" t="str">
        <f t="shared" si="13"/>
        <v/>
      </c>
      <c r="U31" s="1" t="str">
        <f t="shared" si="14"/>
        <v/>
      </c>
      <c r="V31" s="1" t="str">
        <f t="shared" si="15"/>
        <v/>
      </c>
      <c r="W31" s="26" t="str">
        <f t="shared" si="16"/>
        <v/>
      </c>
      <c r="X31" s="13" t="str">
        <f t="shared" si="17"/>
        <v/>
      </c>
      <c r="Y31" s="9">
        <f t="shared" si="18"/>
        <v>0</v>
      </c>
    </row>
    <row r="32" spans="1:25" x14ac:dyDescent="0.25">
      <c r="A32" s="28"/>
      <c r="B32" s="29"/>
      <c r="C32" s="30"/>
      <c r="D32" s="31"/>
      <c r="E32" s="29" t="s">
        <v>16</v>
      </c>
      <c r="F32" s="13" t="b">
        <f>IF($E32=Categories!$A$1,"",IF($E32=Categories!$A$2,Categories!$B$2,IF($E32=Categories!$A$3,Categories!$B$3,IF($E32=Categories!$A$4,Categories!$B$4,IF($E32=Categories!$A$5,Categories!$B$5,IF($E32=Categories!$A$6,Categories!$B$6,IF($E32=Categories!$A$7,Categories!$B$7,IF($E32=Categories!$A$8,Categories!$B$8,IF($E32=Categories!$A$9,Categories!$B$9,IF($E32=Categories!$A$10,Categories!$B$10,IF($E32=Categories!$A$11,Categories!$B$11,IF($E32=Categories!$A$12,Categories!$B$12,IF($E32=Categories!$A$13,Categories!$B$13,IF($E32=Categories!$A$14,Categories!$B$14,IF($E32=Categories!$A$15,Categories!$B$15,IF($E32=Categories!$A$16,Categories!$B$16,IF($E32=Categories!$A$17,Categories!$B$17,IF($E32=Categories!$A$18,Categories!$B$18,IF($E32=Categories!$A$19,Categories!$B$19)))))))))))))))))))</f>
        <v>0</v>
      </c>
      <c r="G32" s="9" t="str">
        <f t="shared" si="0"/>
        <v/>
      </c>
      <c r="H32" s="1" t="str">
        <f t="shared" si="1"/>
        <v/>
      </c>
      <c r="I32" s="1" t="str">
        <f t="shared" si="2"/>
        <v/>
      </c>
      <c r="J32" s="1" t="str">
        <f t="shared" si="3"/>
        <v/>
      </c>
      <c r="K32" s="13" t="str">
        <f t="shared" si="4"/>
        <v/>
      </c>
      <c r="L32" s="9" t="str">
        <f t="shared" si="5"/>
        <v/>
      </c>
      <c r="M32" s="1" t="str">
        <f t="shared" si="6"/>
        <v/>
      </c>
      <c r="N32" s="1" t="str">
        <f t="shared" si="7"/>
        <v/>
      </c>
      <c r="O32" s="1" t="str">
        <f t="shared" si="8"/>
        <v/>
      </c>
      <c r="P32" s="1" t="str">
        <f t="shared" si="9"/>
        <v/>
      </c>
      <c r="Q32" s="1" t="str">
        <f t="shared" si="10"/>
        <v/>
      </c>
      <c r="R32" s="1" t="str">
        <f t="shared" si="11"/>
        <v/>
      </c>
      <c r="S32" s="1" t="str">
        <f t="shared" si="12"/>
        <v/>
      </c>
      <c r="T32" s="1" t="str">
        <f t="shared" si="13"/>
        <v/>
      </c>
      <c r="U32" s="1" t="str">
        <f t="shared" si="14"/>
        <v/>
      </c>
      <c r="V32" s="1" t="str">
        <f t="shared" si="15"/>
        <v/>
      </c>
      <c r="W32" s="26" t="str">
        <f t="shared" si="16"/>
        <v/>
      </c>
      <c r="X32" s="13" t="str">
        <f t="shared" si="17"/>
        <v/>
      </c>
      <c r="Y32" s="9">
        <f t="shared" si="18"/>
        <v>0</v>
      </c>
    </row>
    <row r="33" spans="1:25" x14ac:dyDescent="0.25">
      <c r="A33" s="28"/>
      <c r="B33" s="29"/>
      <c r="C33" s="30"/>
      <c r="D33" s="31"/>
      <c r="E33" s="29" t="s">
        <v>16</v>
      </c>
      <c r="F33" s="13" t="b">
        <f>IF($E33=Categories!$A$1,"",IF($E33=Categories!$A$2,Categories!$B$2,IF($E33=Categories!$A$3,Categories!$B$3,IF($E33=Categories!$A$4,Categories!$B$4,IF($E33=Categories!$A$5,Categories!$B$5,IF($E33=Categories!$A$6,Categories!$B$6,IF($E33=Categories!$A$7,Categories!$B$7,IF($E33=Categories!$A$8,Categories!$B$8,IF($E33=Categories!$A$9,Categories!$B$9,IF($E33=Categories!$A$10,Categories!$B$10,IF($E33=Categories!$A$11,Categories!$B$11,IF($E33=Categories!$A$12,Categories!$B$12,IF($E33=Categories!$A$13,Categories!$B$13,IF($E33=Categories!$A$14,Categories!$B$14,IF($E33=Categories!$A$15,Categories!$B$15,IF($E33=Categories!$A$16,Categories!$B$16,IF($E33=Categories!$A$17,Categories!$B$17,IF($E33=Categories!$A$18,Categories!$B$18,IF($E33=Categories!$A$19,Categories!$B$19)))))))))))))))))))</f>
        <v>0</v>
      </c>
      <c r="G33" s="9" t="str">
        <f t="shared" si="0"/>
        <v/>
      </c>
      <c r="H33" s="1" t="str">
        <f t="shared" si="1"/>
        <v/>
      </c>
      <c r="I33" s="1" t="str">
        <f t="shared" si="2"/>
        <v/>
      </c>
      <c r="J33" s="1" t="str">
        <f t="shared" si="3"/>
        <v/>
      </c>
      <c r="K33" s="13" t="str">
        <f t="shared" si="4"/>
        <v/>
      </c>
      <c r="L33" s="9" t="str">
        <f t="shared" si="5"/>
        <v/>
      </c>
      <c r="M33" s="1" t="str">
        <f t="shared" si="6"/>
        <v/>
      </c>
      <c r="N33" s="1" t="str">
        <f t="shared" si="7"/>
        <v/>
      </c>
      <c r="O33" s="1" t="str">
        <f t="shared" si="8"/>
        <v/>
      </c>
      <c r="P33" s="1" t="str">
        <f t="shared" si="9"/>
        <v/>
      </c>
      <c r="Q33" s="1" t="str">
        <f t="shared" si="10"/>
        <v/>
      </c>
      <c r="R33" s="1" t="str">
        <f t="shared" si="11"/>
        <v/>
      </c>
      <c r="S33" s="1" t="str">
        <f t="shared" si="12"/>
        <v/>
      </c>
      <c r="T33" s="1" t="str">
        <f t="shared" si="13"/>
        <v/>
      </c>
      <c r="U33" s="1" t="str">
        <f t="shared" si="14"/>
        <v/>
      </c>
      <c r="V33" s="1" t="str">
        <f t="shared" si="15"/>
        <v/>
      </c>
      <c r="W33" s="26" t="str">
        <f t="shared" si="16"/>
        <v/>
      </c>
      <c r="X33" s="13" t="str">
        <f t="shared" si="17"/>
        <v/>
      </c>
      <c r="Y33" s="9">
        <f t="shared" si="18"/>
        <v>0</v>
      </c>
    </row>
    <row r="34" spans="1:25" x14ac:dyDescent="0.25">
      <c r="A34" s="28"/>
      <c r="B34" s="29"/>
      <c r="C34" s="30"/>
      <c r="D34" s="31"/>
      <c r="E34" s="29" t="s">
        <v>16</v>
      </c>
      <c r="F34" s="13" t="b">
        <f>IF($E34=Categories!$A$1,"",IF($E34=Categories!$A$2,Categories!$B$2,IF($E34=Categories!$A$3,Categories!$B$3,IF($E34=Categories!$A$4,Categories!$B$4,IF($E34=Categories!$A$5,Categories!$B$5,IF($E34=Categories!$A$6,Categories!$B$6,IF($E34=Categories!$A$7,Categories!$B$7,IF($E34=Categories!$A$8,Categories!$B$8,IF($E34=Categories!$A$9,Categories!$B$9,IF($E34=Categories!$A$10,Categories!$B$10,IF($E34=Categories!$A$11,Categories!$B$11,IF($E34=Categories!$A$12,Categories!$B$12,IF($E34=Categories!$A$13,Categories!$B$13,IF($E34=Categories!$A$14,Categories!$B$14,IF($E34=Categories!$A$15,Categories!$B$15,IF($E34=Categories!$A$16,Categories!$B$16,IF($E34=Categories!$A$17,Categories!$B$17,IF($E34=Categories!$A$18,Categories!$B$18,IF($E34=Categories!$A$19,Categories!$B$19)))))))))))))))))))</f>
        <v>0</v>
      </c>
      <c r="G34" s="9" t="str">
        <f t="shared" si="0"/>
        <v/>
      </c>
      <c r="H34" s="1" t="str">
        <f t="shared" si="1"/>
        <v/>
      </c>
      <c r="I34" s="1" t="str">
        <f t="shared" si="2"/>
        <v/>
      </c>
      <c r="J34" s="1" t="str">
        <f t="shared" si="3"/>
        <v/>
      </c>
      <c r="K34" s="13" t="str">
        <f t="shared" si="4"/>
        <v/>
      </c>
      <c r="L34" s="9" t="str">
        <f t="shared" si="5"/>
        <v/>
      </c>
      <c r="M34" s="1" t="str">
        <f t="shared" si="6"/>
        <v/>
      </c>
      <c r="N34" s="1" t="str">
        <f t="shared" si="7"/>
        <v/>
      </c>
      <c r="O34" s="1" t="str">
        <f t="shared" si="8"/>
        <v/>
      </c>
      <c r="P34" s="1" t="str">
        <f t="shared" si="9"/>
        <v/>
      </c>
      <c r="Q34" s="1" t="str">
        <f t="shared" si="10"/>
        <v/>
      </c>
      <c r="R34" s="1" t="str">
        <f t="shared" si="11"/>
        <v/>
      </c>
      <c r="S34" s="1" t="str">
        <f t="shared" si="12"/>
        <v/>
      </c>
      <c r="T34" s="1" t="str">
        <f t="shared" si="13"/>
        <v/>
      </c>
      <c r="U34" s="1" t="str">
        <f t="shared" si="14"/>
        <v/>
      </c>
      <c r="V34" s="1" t="str">
        <f t="shared" si="15"/>
        <v/>
      </c>
      <c r="W34" s="26" t="str">
        <f t="shared" si="16"/>
        <v/>
      </c>
      <c r="X34" s="13" t="str">
        <f t="shared" si="17"/>
        <v/>
      </c>
      <c r="Y34" s="9">
        <f t="shared" si="18"/>
        <v>0</v>
      </c>
    </row>
    <row r="35" spans="1:25" x14ac:dyDescent="0.25">
      <c r="A35" s="28"/>
      <c r="B35" s="29"/>
      <c r="C35" s="30"/>
      <c r="D35" s="31"/>
      <c r="E35" s="29" t="s">
        <v>16</v>
      </c>
      <c r="F35" s="13" t="b">
        <f>IF($E35=Categories!$A$1,"",IF($E35=Categories!$A$2,Categories!$B$2,IF($E35=Categories!$A$3,Categories!$B$3,IF($E35=Categories!$A$4,Categories!$B$4,IF($E35=Categories!$A$5,Categories!$B$5,IF($E35=Categories!$A$6,Categories!$B$6,IF($E35=Categories!$A$7,Categories!$B$7,IF($E35=Categories!$A$8,Categories!$B$8,IF($E35=Categories!$A$9,Categories!$B$9,IF($E35=Categories!$A$10,Categories!$B$10,IF($E35=Categories!$A$11,Categories!$B$11,IF($E35=Categories!$A$12,Categories!$B$12,IF($E35=Categories!$A$13,Categories!$B$13,IF($E35=Categories!$A$14,Categories!$B$14,IF($E35=Categories!$A$15,Categories!$B$15,IF($E35=Categories!$A$16,Categories!$B$16,IF($E35=Categories!$A$17,Categories!$B$17,IF($E35=Categories!$A$18,Categories!$B$18,IF($E35=Categories!$A$19,Categories!$B$19)))))))))))))))))))</f>
        <v>0</v>
      </c>
      <c r="G35" s="9" t="str">
        <f t="shared" si="0"/>
        <v/>
      </c>
      <c r="H35" s="1" t="str">
        <f t="shared" si="1"/>
        <v/>
      </c>
      <c r="I35" s="1" t="str">
        <f t="shared" si="2"/>
        <v/>
      </c>
      <c r="J35" s="1" t="str">
        <f t="shared" si="3"/>
        <v/>
      </c>
      <c r="K35" s="13" t="str">
        <f t="shared" si="4"/>
        <v/>
      </c>
      <c r="L35" s="9" t="str">
        <f t="shared" si="5"/>
        <v/>
      </c>
      <c r="M35" s="1" t="str">
        <f t="shared" si="6"/>
        <v/>
      </c>
      <c r="N35" s="1" t="str">
        <f t="shared" si="7"/>
        <v/>
      </c>
      <c r="O35" s="1" t="str">
        <f t="shared" si="8"/>
        <v/>
      </c>
      <c r="P35" s="1" t="str">
        <f t="shared" si="9"/>
        <v/>
      </c>
      <c r="Q35" s="1" t="str">
        <f t="shared" si="10"/>
        <v/>
      </c>
      <c r="R35" s="1" t="str">
        <f t="shared" si="11"/>
        <v/>
      </c>
      <c r="S35" s="1" t="str">
        <f t="shared" si="12"/>
        <v/>
      </c>
      <c r="T35" s="1" t="str">
        <f t="shared" si="13"/>
        <v/>
      </c>
      <c r="U35" s="1" t="str">
        <f t="shared" si="14"/>
        <v/>
      </c>
      <c r="V35" s="1" t="str">
        <f t="shared" si="15"/>
        <v/>
      </c>
      <c r="W35" s="26" t="str">
        <f t="shared" si="16"/>
        <v/>
      </c>
      <c r="X35" s="13" t="str">
        <f t="shared" si="17"/>
        <v/>
      </c>
      <c r="Y35" s="9">
        <f t="shared" si="18"/>
        <v>0</v>
      </c>
    </row>
    <row r="36" spans="1:25" x14ac:dyDescent="0.25">
      <c r="A36" s="28"/>
      <c r="B36" s="29"/>
      <c r="C36" s="30"/>
      <c r="D36" s="31"/>
      <c r="E36" s="29" t="s">
        <v>16</v>
      </c>
      <c r="F36" s="13" t="b">
        <f>IF($E36=Categories!$A$1,"",IF($E36=Categories!$A$2,Categories!$B$2,IF($E36=Categories!$A$3,Categories!$B$3,IF($E36=Categories!$A$4,Categories!$B$4,IF($E36=Categories!$A$5,Categories!$B$5,IF($E36=Categories!$A$6,Categories!$B$6,IF($E36=Categories!$A$7,Categories!$B$7,IF($E36=Categories!$A$8,Categories!$B$8,IF($E36=Categories!$A$9,Categories!$B$9,IF($E36=Categories!$A$10,Categories!$B$10,IF($E36=Categories!$A$11,Categories!$B$11,IF($E36=Categories!$A$12,Categories!$B$12,IF($E36=Categories!$A$13,Categories!$B$13,IF($E36=Categories!$A$14,Categories!$B$14,IF($E36=Categories!$A$15,Categories!$B$15,IF($E36=Categories!$A$16,Categories!$B$16,IF($E36=Categories!$A$17,Categories!$B$17,IF($E36=Categories!$A$18,Categories!$B$18,IF($E36=Categories!$A$19,Categories!$B$19)))))))))))))))))))</f>
        <v>0</v>
      </c>
      <c r="G36" s="9" t="str">
        <f t="shared" si="0"/>
        <v/>
      </c>
      <c r="H36" s="1" t="str">
        <f t="shared" si="1"/>
        <v/>
      </c>
      <c r="I36" s="1" t="str">
        <f t="shared" si="2"/>
        <v/>
      </c>
      <c r="J36" s="1" t="str">
        <f t="shared" si="3"/>
        <v/>
      </c>
      <c r="K36" s="13" t="str">
        <f t="shared" si="4"/>
        <v/>
      </c>
      <c r="L36" s="9" t="str">
        <f t="shared" si="5"/>
        <v/>
      </c>
      <c r="M36" s="1" t="str">
        <f t="shared" si="6"/>
        <v/>
      </c>
      <c r="N36" s="1" t="str">
        <f t="shared" si="7"/>
        <v/>
      </c>
      <c r="O36" s="1" t="str">
        <f t="shared" si="8"/>
        <v/>
      </c>
      <c r="P36" s="1" t="str">
        <f t="shared" si="9"/>
        <v/>
      </c>
      <c r="Q36" s="1" t="str">
        <f t="shared" si="10"/>
        <v/>
      </c>
      <c r="R36" s="1" t="str">
        <f t="shared" si="11"/>
        <v/>
      </c>
      <c r="S36" s="1" t="str">
        <f t="shared" si="12"/>
        <v/>
      </c>
      <c r="T36" s="1" t="str">
        <f t="shared" si="13"/>
        <v/>
      </c>
      <c r="U36" s="1" t="str">
        <f t="shared" si="14"/>
        <v/>
      </c>
      <c r="V36" s="1" t="str">
        <f t="shared" si="15"/>
        <v/>
      </c>
      <c r="W36" s="26" t="str">
        <f t="shared" si="16"/>
        <v/>
      </c>
      <c r="X36" s="13" t="str">
        <f t="shared" si="17"/>
        <v/>
      </c>
      <c r="Y36" s="9">
        <f t="shared" si="18"/>
        <v>0</v>
      </c>
    </row>
    <row r="37" spans="1:25" x14ac:dyDescent="0.25">
      <c r="A37" s="28"/>
      <c r="B37" s="29"/>
      <c r="C37" s="30"/>
      <c r="D37" s="31"/>
      <c r="E37" s="29" t="s">
        <v>16</v>
      </c>
      <c r="F37" s="13" t="b">
        <f>IF($E37=Categories!$A$1,"",IF($E37=Categories!$A$2,Categories!$B$2,IF($E37=Categories!$A$3,Categories!$B$3,IF($E37=Categories!$A$4,Categories!$B$4,IF($E37=Categories!$A$5,Categories!$B$5,IF($E37=Categories!$A$6,Categories!$B$6,IF($E37=Categories!$A$7,Categories!$B$7,IF($E37=Categories!$A$8,Categories!$B$8,IF($E37=Categories!$A$9,Categories!$B$9,IF($E37=Categories!$A$10,Categories!$B$10,IF($E37=Categories!$A$11,Categories!$B$11,IF($E37=Categories!$A$12,Categories!$B$12,IF($E37=Categories!$A$13,Categories!$B$13,IF($E37=Categories!$A$14,Categories!$B$14,IF($E37=Categories!$A$15,Categories!$B$15,IF($E37=Categories!$A$16,Categories!$B$16,IF($E37=Categories!$A$17,Categories!$B$17,IF($E37=Categories!$A$18,Categories!$B$18,IF($E37=Categories!$A$19,Categories!$B$19)))))))))))))))))))</f>
        <v>0</v>
      </c>
      <c r="G37" s="9" t="str">
        <f t="shared" si="0"/>
        <v/>
      </c>
      <c r="H37" s="1" t="str">
        <f t="shared" si="1"/>
        <v/>
      </c>
      <c r="I37" s="1" t="str">
        <f t="shared" si="2"/>
        <v/>
      </c>
      <c r="J37" s="1" t="str">
        <f t="shared" si="3"/>
        <v/>
      </c>
      <c r="K37" s="13" t="str">
        <f t="shared" si="4"/>
        <v/>
      </c>
      <c r="L37" s="9" t="str">
        <f t="shared" si="5"/>
        <v/>
      </c>
      <c r="M37" s="1" t="str">
        <f t="shared" si="6"/>
        <v/>
      </c>
      <c r="N37" s="1" t="str">
        <f t="shared" si="7"/>
        <v/>
      </c>
      <c r="O37" s="1" t="str">
        <f t="shared" si="8"/>
        <v/>
      </c>
      <c r="P37" s="1" t="str">
        <f t="shared" si="9"/>
        <v/>
      </c>
      <c r="Q37" s="1" t="str">
        <f t="shared" si="10"/>
        <v/>
      </c>
      <c r="R37" s="1" t="str">
        <f t="shared" si="11"/>
        <v/>
      </c>
      <c r="S37" s="1" t="str">
        <f t="shared" si="12"/>
        <v/>
      </c>
      <c r="T37" s="1" t="str">
        <f t="shared" si="13"/>
        <v/>
      </c>
      <c r="U37" s="1" t="str">
        <f t="shared" si="14"/>
        <v/>
      </c>
      <c r="V37" s="1" t="str">
        <f t="shared" si="15"/>
        <v/>
      </c>
      <c r="W37" s="26" t="str">
        <f t="shared" si="16"/>
        <v/>
      </c>
      <c r="X37" s="13" t="str">
        <f t="shared" si="17"/>
        <v/>
      </c>
      <c r="Y37" s="9">
        <f t="shared" si="18"/>
        <v>0</v>
      </c>
    </row>
    <row r="38" spans="1:25" x14ac:dyDescent="0.25">
      <c r="A38" s="28"/>
      <c r="B38" s="29"/>
      <c r="C38" s="30"/>
      <c r="D38" s="31"/>
      <c r="E38" s="29" t="s">
        <v>16</v>
      </c>
      <c r="F38" s="13" t="b">
        <f>IF($E38=Categories!$A$1,"",IF($E38=Categories!$A$2,Categories!$B$2,IF($E38=Categories!$A$3,Categories!$B$3,IF($E38=Categories!$A$4,Categories!$B$4,IF($E38=Categories!$A$5,Categories!$B$5,IF($E38=Categories!$A$6,Categories!$B$6,IF($E38=Categories!$A$7,Categories!$B$7,IF($E38=Categories!$A$8,Categories!$B$8,IF($E38=Categories!$A$9,Categories!$B$9,IF($E38=Categories!$A$10,Categories!$B$10,IF($E38=Categories!$A$11,Categories!$B$11,IF($E38=Categories!$A$12,Categories!$B$12,IF($E38=Categories!$A$13,Categories!$B$13,IF($E38=Categories!$A$14,Categories!$B$14,IF($E38=Categories!$A$15,Categories!$B$15,IF($E38=Categories!$A$16,Categories!$B$16,IF($E38=Categories!$A$17,Categories!$B$17,IF($E38=Categories!$A$18,Categories!$B$18,IF($E38=Categories!$A$19,Categories!$B$19)))))))))))))))))))</f>
        <v>0</v>
      </c>
      <c r="G38" s="9" t="str">
        <f t="shared" si="0"/>
        <v/>
      </c>
      <c r="H38" s="1" t="str">
        <f t="shared" si="1"/>
        <v/>
      </c>
      <c r="I38" s="1" t="str">
        <f t="shared" si="2"/>
        <v/>
      </c>
      <c r="J38" s="1" t="str">
        <f t="shared" si="3"/>
        <v/>
      </c>
      <c r="K38" s="13" t="str">
        <f t="shared" si="4"/>
        <v/>
      </c>
      <c r="L38" s="9" t="str">
        <f t="shared" si="5"/>
        <v/>
      </c>
      <c r="M38" s="1" t="str">
        <f t="shared" si="6"/>
        <v/>
      </c>
      <c r="N38" s="1" t="str">
        <f t="shared" si="7"/>
        <v/>
      </c>
      <c r="O38" s="1" t="str">
        <f t="shared" si="8"/>
        <v/>
      </c>
      <c r="P38" s="1" t="str">
        <f t="shared" si="9"/>
        <v/>
      </c>
      <c r="Q38" s="1" t="str">
        <f t="shared" si="10"/>
        <v/>
      </c>
      <c r="R38" s="1" t="str">
        <f t="shared" si="11"/>
        <v/>
      </c>
      <c r="S38" s="1" t="str">
        <f t="shared" si="12"/>
        <v/>
      </c>
      <c r="T38" s="1" t="str">
        <f t="shared" si="13"/>
        <v/>
      </c>
      <c r="U38" s="1" t="str">
        <f t="shared" si="14"/>
        <v/>
      </c>
      <c r="V38" s="1" t="str">
        <f t="shared" si="15"/>
        <v/>
      </c>
      <c r="W38" s="26" t="str">
        <f t="shared" si="16"/>
        <v/>
      </c>
      <c r="X38" s="13" t="str">
        <f t="shared" si="17"/>
        <v/>
      </c>
      <c r="Y38" s="9">
        <f t="shared" si="18"/>
        <v>0</v>
      </c>
    </row>
    <row r="39" spans="1:25" x14ac:dyDescent="0.25">
      <c r="A39" s="28"/>
      <c r="B39" s="29"/>
      <c r="C39" s="30"/>
      <c r="D39" s="31"/>
      <c r="E39" s="29" t="s">
        <v>16</v>
      </c>
      <c r="F39" s="13" t="b">
        <f>IF($E39=Categories!$A$1,"",IF($E39=Categories!$A$2,Categories!$B$2,IF($E39=Categories!$A$3,Categories!$B$3,IF($E39=Categories!$A$4,Categories!$B$4,IF($E39=Categories!$A$5,Categories!$B$5,IF($E39=Categories!$A$6,Categories!$B$6,IF($E39=Categories!$A$7,Categories!$B$7,IF($E39=Categories!$A$8,Categories!$B$8,IF($E39=Categories!$A$9,Categories!$B$9,IF($E39=Categories!$A$10,Categories!$B$10,IF($E39=Categories!$A$11,Categories!$B$11,IF($E39=Categories!$A$12,Categories!$B$12,IF($E39=Categories!$A$13,Categories!$B$13,IF($E39=Categories!$A$14,Categories!$B$14,IF($E39=Categories!$A$15,Categories!$B$15,IF($E39=Categories!$A$16,Categories!$B$16,IF($E39=Categories!$A$17,Categories!$B$17,IF($E39=Categories!$A$18,Categories!$B$18,IF($E39=Categories!$A$19,Categories!$B$19)))))))))))))))))))</f>
        <v>0</v>
      </c>
      <c r="G39" s="9" t="str">
        <f t="shared" si="0"/>
        <v/>
      </c>
      <c r="H39" s="1" t="str">
        <f t="shared" si="1"/>
        <v/>
      </c>
      <c r="I39" s="1" t="str">
        <f t="shared" si="2"/>
        <v/>
      </c>
      <c r="J39" s="1" t="str">
        <f t="shared" si="3"/>
        <v/>
      </c>
      <c r="K39" s="13" t="str">
        <f t="shared" si="4"/>
        <v/>
      </c>
      <c r="L39" s="9" t="str">
        <f t="shared" si="5"/>
        <v/>
      </c>
      <c r="M39" s="1" t="str">
        <f t="shared" si="6"/>
        <v/>
      </c>
      <c r="N39" s="1" t="str">
        <f t="shared" si="7"/>
        <v/>
      </c>
      <c r="O39" s="1" t="str">
        <f t="shared" si="8"/>
        <v/>
      </c>
      <c r="P39" s="1" t="str">
        <f t="shared" si="9"/>
        <v/>
      </c>
      <c r="Q39" s="1" t="str">
        <f t="shared" si="10"/>
        <v/>
      </c>
      <c r="R39" s="1" t="str">
        <f t="shared" si="11"/>
        <v/>
      </c>
      <c r="S39" s="1" t="str">
        <f t="shared" si="12"/>
        <v/>
      </c>
      <c r="T39" s="1" t="str">
        <f t="shared" si="13"/>
        <v/>
      </c>
      <c r="U39" s="1" t="str">
        <f t="shared" si="14"/>
        <v/>
      </c>
      <c r="V39" s="1" t="str">
        <f t="shared" si="15"/>
        <v/>
      </c>
      <c r="W39" s="26" t="str">
        <f t="shared" si="16"/>
        <v/>
      </c>
      <c r="X39" s="13" t="str">
        <f t="shared" si="17"/>
        <v/>
      </c>
      <c r="Y39" s="9">
        <f t="shared" si="18"/>
        <v>0</v>
      </c>
    </row>
    <row r="40" spans="1:25" x14ac:dyDescent="0.25">
      <c r="A40" s="28"/>
      <c r="B40" s="29"/>
      <c r="C40" s="30"/>
      <c r="D40" s="31"/>
      <c r="E40" s="29" t="s">
        <v>16</v>
      </c>
      <c r="F40" s="13" t="b">
        <f>IF($E40=Categories!$A$1,"",IF($E40=Categories!$A$2,Categories!$B$2,IF($E40=Categories!$A$3,Categories!$B$3,IF($E40=Categories!$A$4,Categories!$B$4,IF($E40=Categories!$A$5,Categories!$B$5,IF($E40=Categories!$A$6,Categories!$B$6,IF($E40=Categories!$A$7,Categories!$B$7,IF($E40=Categories!$A$8,Categories!$B$8,IF($E40=Categories!$A$9,Categories!$B$9,IF($E40=Categories!$A$10,Categories!$B$10,IF($E40=Categories!$A$11,Categories!$B$11,IF($E40=Categories!$A$12,Categories!$B$12,IF($E40=Categories!$A$13,Categories!$B$13,IF($E40=Categories!$A$14,Categories!$B$14,IF($E40=Categories!$A$15,Categories!$B$15,IF($E40=Categories!$A$16,Categories!$B$16,IF($E40=Categories!$A$17,Categories!$B$17,IF($E40=Categories!$A$18,Categories!$B$18,IF($E40=Categories!$A$19,Categories!$B$19)))))))))))))))))))</f>
        <v>0</v>
      </c>
      <c r="G40" s="9" t="str">
        <f t="shared" si="0"/>
        <v/>
      </c>
      <c r="H40" s="1" t="str">
        <f t="shared" si="1"/>
        <v/>
      </c>
      <c r="I40" s="1" t="str">
        <f t="shared" si="2"/>
        <v/>
      </c>
      <c r="J40" s="1" t="str">
        <f t="shared" si="3"/>
        <v/>
      </c>
      <c r="K40" s="13" t="str">
        <f t="shared" si="4"/>
        <v/>
      </c>
      <c r="L40" s="9" t="str">
        <f t="shared" si="5"/>
        <v/>
      </c>
      <c r="M40" s="1" t="str">
        <f t="shared" si="6"/>
        <v/>
      </c>
      <c r="N40" s="1" t="str">
        <f t="shared" si="7"/>
        <v/>
      </c>
      <c r="O40" s="1" t="str">
        <f t="shared" si="8"/>
        <v/>
      </c>
      <c r="P40" s="1" t="str">
        <f t="shared" si="9"/>
        <v/>
      </c>
      <c r="Q40" s="1" t="str">
        <f t="shared" si="10"/>
        <v/>
      </c>
      <c r="R40" s="1" t="str">
        <f t="shared" si="11"/>
        <v/>
      </c>
      <c r="S40" s="1" t="str">
        <f t="shared" si="12"/>
        <v/>
      </c>
      <c r="T40" s="1" t="str">
        <f t="shared" si="13"/>
        <v/>
      </c>
      <c r="U40" s="1" t="str">
        <f t="shared" si="14"/>
        <v/>
      </c>
      <c r="V40" s="1" t="str">
        <f t="shared" si="15"/>
        <v/>
      </c>
      <c r="W40" s="26" t="str">
        <f t="shared" si="16"/>
        <v/>
      </c>
      <c r="X40" s="13" t="str">
        <f t="shared" si="17"/>
        <v/>
      </c>
      <c r="Y40" s="9">
        <f t="shared" si="18"/>
        <v>0</v>
      </c>
    </row>
    <row r="41" spans="1:25" x14ac:dyDescent="0.25">
      <c r="A41" s="28"/>
      <c r="B41" s="29"/>
      <c r="C41" s="30"/>
      <c r="D41" s="31"/>
      <c r="E41" s="29" t="s">
        <v>16</v>
      </c>
      <c r="F41" s="13" t="b">
        <f>IF($E41=Categories!$A$1,"",IF($E41=Categories!$A$2,Categories!$B$2,IF($E41=Categories!$A$3,Categories!$B$3,IF($E41=Categories!$A$4,Categories!$B$4,IF($E41=Categories!$A$5,Categories!$B$5,IF($E41=Categories!$A$6,Categories!$B$6,IF($E41=Categories!$A$7,Categories!$B$7,IF($E41=Categories!$A$8,Categories!$B$8,IF($E41=Categories!$A$9,Categories!$B$9,IF($E41=Categories!$A$10,Categories!$B$10,IF($E41=Categories!$A$11,Categories!$B$11,IF($E41=Categories!$A$12,Categories!$B$12,IF($E41=Categories!$A$13,Categories!$B$13,IF($E41=Categories!$A$14,Categories!$B$14,IF($E41=Categories!$A$15,Categories!$B$15,IF($E41=Categories!$A$16,Categories!$B$16,IF($E41=Categories!$A$17,Categories!$B$17,IF($E41=Categories!$A$18,Categories!$B$18,IF($E41=Categories!$A$19,Categories!$B$19)))))))))))))))))))</f>
        <v>0</v>
      </c>
      <c r="G41" s="9" t="str">
        <f t="shared" si="0"/>
        <v/>
      </c>
      <c r="H41" s="1" t="str">
        <f t="shared" si="1"/>
        <v/>
      </c>
      <c r="I41" s="1" t="str">
        <f t="shared" si="2"/>
        <v/>
      </c>
      <c r="J41" s="1" t="str">
        <f t="shared" si="3"/>
        <v/>
      </c>
      <c r="K41" s="13" t="str">
        <f t="shared" si="4"/>
        <v/>
      </c>
      <c r="L41" s="9" t="str">
        <f t="shared" si="5"/>
        <v/>
      </c>
      <c r="M41" s="1" t="str">
        <f t="shared" si="6"/>
        <v/>
      </c>
      <c r="N41" s="1" t="str">
        <f t="shared" si="7"/>
        <v/>
      </c>
      <c r="O41" s="1" t="str">
        <f t="shared" si="8"/>
        <v/>
      </c>
      <c r="P41" s="1" t="str">
        <f t="shared" si="9"/>
        <v/>
      </c>
      <c r="Q41" s="1" t="str">
        <f t="shared" si="10"/>
        <v/>
      </c>
      <c r="R41" s="1" t="str">
        <f t="shared" si="11"/>
        <v/>
      </c>
      <c r="S41" s="1" t="str">
        <f t="shared" si="12"/>
        <v/>
      </c>
      <c r="T41" s="1" t="str">
        <f t="shared" si="13"/>
        <v/>
      </c>
      <c r="U41" s="1" t="str">
        <f t="shared" si="14"/>
        <v/>
      </c>
      <c r="V41" s="1" t="str">
        <f t="shared" si="15"/>
        <v/>
      </c>
      <c r="W41" s="26" t="str">
        <f t="shared" si="16"/>
        <v/>
      </c>
      <c r="X41" s="13" t="str">
        <f t="shared" si="17"/>
        <v/>
      </c>
      <c r="Y41" s="9">
        <f t="shared" si="18"/>
        <v>0</v>
      </c>
    </row>
    <row r="42" spans="1:25" x14ac:dyDescent="0.25">
      <c r="A42" s="28"/>
      <c r="B42" s="29"/>
      <c r="C42" s="30"/>
      <c r="D42" s="31"/>
      <c r="E42" s="29" t="s">
        <v>16</v>
      </c>
      <c r="F42" s="13" t="b">
        <f>IF($E42=Categories!$A$1,"",IF($E42=Categories!$A$2,Categories!$B$2,IF($E42=Categories!$A$3,Categories!$B$3,IF($E42=Categories!$A$4,Categories!$B$4,IF($E42=Categories!$A$5,Categories!$B$5,IF($E42=Categories!$A$6,Categories!$B$6,IF($E42=Categories!$A$7,Categories!$B$7,IF($E42=Categories!$A$8,Categories!$B$8,IF($E42=Categories!$A$9,Categories!$B$9,IF($E42=Categories!$A$10,Categories!$B$10,IF($E42=Categories!$A$11,Categories!$B$11,IF($E42=Categories!$A$12,Categories!$B$12,IF($E42=Categories!$A$13,Categories!$B$13,IF($E42=Categories!$A$14,Categories!$B$14,IF($E42=Categories!$A$15,Categories!$B$15,IF($E42=Categories!$A$16,Categories!$B$16,IF($E42=Categories!$A$17,Categories!$B$17,IF($E42=Categories!$A$18,Categories!$B$18,IF($E42=Categories!$A$19,Categories!$B$19)))))))))))))))))))</f>
        <v>0</v>
      </c>
      <c r="G42" s="9" t="str">
        <f t="shared" si="0"/>
        <v/>
      </c>
      <c r="H42" s="1" t="str">
        <f t="shared" si="1"/>
        <v/>
      </c>
      <c r="I42" s="1" t="str">
        <f t="shared" si="2"/>
        <v/>
      </c>
      <c r="J42" s="1" t="str">
        <f t="shared" si="3"/>
        <v/>
      </c>
      <c r="K42" s="13" t="str">
        <f t="shared" si="4"/>
        <v/>
      </c>
      <c r="L42" s="9" t="str">
        <f t="shared" si="5"/>
        <v/>
      </c>
      <c r="M42" s="1" t="str">
        <f t="shared" si="6"/>
        <v/>
      </c>
      <c r="N42" s="1" t="str">
        <f t="shared" si="7"/>
        <v/>
      </c>
      <c r="O42" s="1" t="str">
        <f t="shared" si="8"/>
        <v/>
      </c>
      <c r="P42" s="1" t="str">
        <f t="shared" si="9"/>
        <v/>
      </c>
      <c r="Q42" s="1" t="str">
        <f t="shared" si="10"/>
        <v/>
      </c>
      <c r="R42" s="1" t="str">
        <f t="shared" si="11"/>
        <v/>
      </c>
      <c r="S42" s="1" t="str">
        <f t="shared" si="12"/>
        <v/>
      </c>
      <c r="T42" s="1" t="str">
        <f t="shared" si="13"/>
        <v/>
      </c>
      <c r="U42" s="1" t="str">
        <f t="shared" si="14"/>
        <v/>
      </c>
      <c r="V42" s="1" t="str">
        <f t="shared" si="15"/>
        <v/>
      </c>
      <c r="W42" s="26" t="str">
        <f t="shared" si="16"/>
        <v/>
      </c>
      <c r="X42" s="13" t="str">
        <f t="shared" si="17"/>
        <v/>
      </c>
      <c r="Y42" s="9">
        <f t="shared" si="18"/>
        <v>0</v>
      </c>
    </row>
    <row r="43" spans="1:25" x14ac:dyDescent="0.25">
      <c r="A43" s="28"/>
      <c r="B43" s="29"/>
      <c r="C43" s="30"/>
      <c r="D43" s="31"/>
      <c r="E43" s="29" t="s">
        <v>16</v>
      </c>
      <c r="F43" s="13" t="b">
        <f>IF($E43=Categories!$A$1,"",IF($E43=Categories!$A$2,Categories!$B$2,IF($E43=Categories!$A$3,Categories!$B$3,IF($E43=Categories!$A$4,Categories!$B$4,IF($E43=Categories!$A$5,Categories!$B$5,IF($E43=Categories!$A$6,Categories!$B$6,IF($E43=Categories!$A$7,Categories!$B$7,IF($E43=Categories!$A$8,Categories!$B$8,IF($E43=Categories!$A$9,Categories!$B$9,IF($E43=Categories!$A$10,Categories!$B$10,IF($E43=Categories!$A$11,Categories!$B$11,IF($E43=Categories!$A$12,Categories!$B$12,IF($E43=Categories!$A$13,Categories!$B$13,IF($E43=Categories!$A$14,Categories!$B$14,IF($E43=Categories!$A$15,Categories!$B$15,IF($E43=Categories!$A$16,Categories!$B$16,IF($E43=Categories!$A$17,Categories!$B$17,IF($E43=Categories!$A$18,Categories!$B$18,IF($E43=Categories!$A$19,Categories!$B$19)))))))))))))))))))</f>
        <v>0</v>
      </c>
      <c r="G43" s="9" t="str">
        <f t="shared" si="0"/>
        <v/>
      </c>
      <c r="H43" s="1" t="str">
        <f t="shared" si="1"/>
        <v/>
      </c>
      <c r="I43" s="1" t="str">
        <f t="shared" si="2"/>
        <v/>
      </c>
      <c r="J43" s="1" t="str">
        <f t="shared" si="3"/>
        <v/>
      </c>
      <c r="K43" s="13" t="str">
        <f t="shared" si="4"/>
        <v/>
      </c>
      <c r="L43" s="9" t="str">
        <f t="shared" si="5"/>
        <v/>
      </c>
      <c r="M43" s="1" t="str">
        <f t="shared" si="6"/>
        <v/>
      </c>
      <c r="N43" s="1" t="str">
        <f t="shared" si="7"/>
        <v/>
      </c>
      <c r="O43" s="1" t="str">
        <f t="shared" si="8"/>
        <v/>
      </c>
      <c r="P43" s="1" t="str">
        <f t="shared" si="9"/>
        <v/>
      </c>
      <c r="Q43" s="1" t="str">
        <f t="shared" si="10"/>
        <v/>
      </c>
      <c r="R43" s="1" t="str">
        <f t="shared" si="11"/>
        <v/>
      </c>
      <c r="S43" s="1" t="str">
        <f t="shared" si="12"/>
        <v/>
      </c>
      <c r="T43" s="1" t="str">
        <f t="shared" si="13"/>
        <v/>
      </c>
      <c r="U43" s="1" t="str">
        <f t="shared" si="14"/>
        <v/>
      </c>
      <c r="V43" s="1" t="str">
        <f t="shared" si="15"/>
        <v/>
      </c>
      <c r="W43" s="26" t="str">
        <f t="shared" si="16"/>
        <v/>
      </c>
      <c r="X43" s="13" t="str">
        <f t="shared" si="17"/>
        <v/>
      </c>
      <c r="Y43" s="9">
        <f t="shared" si="18"/>
        <v>0</v>
      </c>
    </row>
    <row r="44" spans="1:25" x14ac:dyDescent="0.25">
      <c r="A44" s="28"/>
      <c r="B44" s="29"/>
      <c r="C44" s="30"/>
      <c r="D44" s="31"/>
      <c r="E44" s="29" t="s">
        <v>16</v>
      </c>
      <c r="F44" s="13" t="b">
        <f>IF($E44=Categories!$A$1,"",IF($E44=Categories!$A$2,Categories!$B$2,IF($E44=Categories!$A$3,Categories!$B$3,IF($E44=Categories!$A$4,Categories!$B$4,IF($E44=Categories!$A$5,Categories!$B$5,IF($E44=Categories!$A$6,Categories!$B$6,IF($E44=Categories!$A$7,Categories!$B$7,IF($E44=Categories!$A$8,Categories!$B$8,IF($E44=Categories!$A$9,Categories!$B$9,IF($E44=Categories!$A$10,Categories!$B$10,IF($E44=Categories!$A$11,Categories!$B$11,IF($E44=Categories!$A$12,Categories!$B$12,IF($E44=Categories!$A$13,Categories!$B$13,IF($E44=Categories!$A$14,Categories!$B$14,IF($E44=Categories!$A$15,Categories!$B$15,IF($E44=Categories!$A$16,Categories!$B$16,IF($E44=Categories!$A$17,Categories!$B$17,IF($E44=Categories!$A$18,Categories!$B$18,IF($E44=Categories!$A$19,Categories!$B$19)))))))))))))))))))</f>
        <v>0</v>
      </c>
      <c r="G44" s="9" t="str">
        <f t="shared" si="0"/>
        <v/>
      </c>
      <c r="H44" s="1" t="str">
        <f t="shared" si="1"/>
        <v/>
      </c>
      <c r="I44" s="1" t="str">
        <f t="shared" si="2"/>
        <v/>
      </c>
      <c r="J44" s="1" t="str">
        <f t="shared" si="3"/>
        <v/>
      </c>
      <c r="K44" s="13" t="str">
        <f t="shared" si="4"/>
        <v/>
      </c>
      <c r="L44" s="9" t="str">
        <f t="shared" si="5"/>
        <v/>
      </c>
      <c r="M44" s="1" t="str">
        <f t="shared" si="6"/>
        <v/>
      </c>
      <c r="N44" s="1" t="str">
        <f t="shared" si="7"/>
        <v/>
      </c>
      <c r="O44" s="1" t="str">
        <f t="shared" si="8"/>
        <v/>
      </c>
      <c r="P44" s="1" t="str">
        <f t="shared" si="9"/>
        <v/>
      </c>
      <c r="Q44" s="1" t="str">
        <f t="shared" si="10"/>
        <v/>
      </c>
      <c r="R44" s="1" t="str">
        <f t="shared" si="11"/>
        <v/>
      </c>
      <c r="S44" s="1" t="str">
        <f t="shared" si="12"/>
        <v/>
      </c>
      <c r="T44" s="1" t="str">
        <f t="shared" si="13"/>
        <v/>
      </c>
      <c r="U44" s="1" t="str">
        <f t="shared" si="14"/>
        <v/>
      </c>
      <c r="V44" s="1" t="str">
        <f t="shared" si="15"/>
        <v/>
      </c>
      <c r="W44" s="26" t="str">
        <f t="shared" si="16"/>
        <v/>
      </c>
      <c r="X44" s="13" t="str">
        <f t="shared" si="17"/>
        <v/>
      </c>
      <c r="Y44" s="9">
        <f t="shared" si="18"/>
        <v>0</v>
      </c>
    </row>
    <row r="45" spans="1:25" x14ac:dyDescent="0.25">
      <c r="A45" s="28"/>
      <c r="B45" s="29"/>
      <c r="C45" s="30"/>
      <c r="D45" s="31"/>
      <c r="E45" s="29" t="s">
        <v>16</v>
      </c>
      <c r="F45" s="13" t="b">
        <f>IF($E45=Categories!$A$1,"",IF($E45=Categories!$A$2,Categories!$B$2,IF($E45=Categories!$A$3,Categories!$B$3,IF($E45=Categories!$A$4,Categories!$B$4,IF($E45=Categories!$A$5,Categories!$B$5,IF($E45=Categories!$A$6,Categories!$B$6,IF($E45=Categories!$A$7,Categories!$B$7,IF($E45=Categories!$A$8,Categories!$B$8,IF($E45=Categories!$A$9,Categories!$B$9,IF($E45=Categories!$A$10,Categories!$B$10,IF($E45=Categories!$A$11,Categories!$B$11,IF($E45=Categories!$A$12,Categories!$B$12,IF($E45=Categories!$A$13,Categories!$B$13,IF($E45=Categories!$A$14,Categories!$B$14,IF($E45=Categories!$A$15,Categories!$B$15,IF($E45=Categories!$A$16,Categories!$B$16,IF($E45=Categories!$A$17,Categories!$B$17,IF($E45=Categories!$A$18,Categories!$B$18,IF($E45=Categories!$A$19,Categories!$B$19)))))))))))))))))))</f>
        <v>0</v>
      </c>
      <c r="G45" s="9" t="str">
        <f t="shared" si="0"/>
        <v/>
      </c>
      <c r="H45" s="1" t="str">
        <f t="shared" si="1"/>
        <v/>
      </c>
      <c r="I45" s="1" t="str">
        <f t="shared" si="2"/>
        <v/>
      </c>
      <c r="J45" s="1" t="str">
        <f t="shared" si="3"/>
        <v/>
      </c>
      <c r="K45" s="13" t="str">
        <f t="shared" si="4"/>
        <v/>
      </c>
      <c r="L45" s="9" t="str">
        <f t="shared" si="5"/>
        <v/>
      </c>
      <c r="M45" s="1" t="str">
        <f t="shared" si="6"/>
        <v/>
      </c>
      <c r="N45" s="1" t="str">
        <f t="shared" si="7"/>
        <v/>
      </c>
      <c r="O45" s="1" t="str">
        <f t="shared" si="8"/>
        <v/>
      </c>
      <c r="P45" s="1" t="str">
        <f t="shared" si="9"/>
        <v/>
      </c>
      <c r="Q45" s="1" t="str">
        <f t="shared" si="10"/>
        <v/>
      </c>
      <c r="R45" s="1" t="str">
        <f t="shared" si="11"/>
        <v/>
      </c>
      <c r="S45" s="1" t="str">
        <f t="shared" si="12"/>
        <v/>
      </c>
      <c r="T45" s="1" t="str">
        <f t="shared" si="13"/>
        <v/>
      </c>
      <c r="U45" s="1" t="str">
        <f t="shared" si="14"/>
        <v/>
      </c>
      <c r="V45" s="1" t="str">
        <f t="shared" si="15"/>
        <v/>
      </c>
      <c r="W45" s="26" t="str">
        <f t="shared" si="16"/>
        <v/>
      </c>
      <c r="X45" s="13" t="str">
        <f t="shared" si="17"/>
        <v/>
      </c>
      <c r="Y45" s="9">
        <f t="shared" si="18"/>
        <v>0</v>
      </c>
    </row>
    <row r="46" spans="1:25" x14ac:dyDescent="0.25">
      <c r="A46" s="28"/>
      <c r="B46" s="29"/>
      <c r="C46" s="30"/>
      <c r="D46" s="31"/>
      <c r="E46" s="29" t="s">
        <v>16</v>
      </c>
      <c r="F46" s="13" t="b">
        <f>IF($E46=Categories!$A$1,"",IF($E46=Categories!$A$2,Categories!$B$2,IF($E46=Categories!$A$3,Categories!$B$3,IF($E46=Categories!$A$4,Categories!$B$4,IF($E46=Categories!$A$5,Categories!$B$5,IF($E46=Categories!$A$6,Categories!$B$6,IF($E46=Categories!$A$7,Categories!$B$7,IF($E46=Categories!$A$8,Categories!$B$8,IF($E46=Categories!$A$9,Categories!$B$9,IF($E46=Categories!$A$10,Categories!$B$10,IF($E46=Categories!$A$11,Categories!$B$11,IF($E46=Categories!$A$12,Categories!$B$12,IF($E46=Categories!$A$13,Categories!$B$13,IF($E46=Categories!$A$14,Categories!$B$14,IF($E46=Categories!$A$15,Categories!$B$15,IF($E46=Categories!$A$16,Categories!$B$16,IF($E46=Categories!$A$17,Categories!$B$17,IF($E46=Categories!$A$18,Categories!$B$18,IF($E46=Categories!$A$19,Categories!$B$19)))))))))))))))))))</f>
        <v>0</v>
      </c>
      <c r="G46" s="9" t="str">
        <f t="shared" si="0"/>
        <v/>
      </c>
      <c r="H46" s="1" t="str">
        <f t="shared" si="1"/>
        <v/>
      </c>
      <c r="I46" s="1" t="str">
        <f t="shared" si="2"/>
        <v/>
      </c>
      <c r="J46" s="1" t="str">
        <f t="shared" si="3"/>
        <v/>
      </c>
      <c r="K46" s="13" t="str">
        <f t="shared" si="4"/>
        <v/>
      </c>
      <c r="L46" s="9" t="str">
        <f t="shared" si="5"/>
        <v/>
      </c>
      <c r="M46" s="1" t="str">
        <f t="shared" si="6"/>
        <v/>
      </c>
      <c r="N46" s="1" t="str">
        <f t="shared" si="7"/>
        <v/>
      </c>
      <c r="O46" s="1" t="str">
        <f t="shared" si="8"/>
        <v/>
      </c>
      <c r="P46" s="1" t="str">
        <f t="shared" si="9"/>
        <v/>
      </c>
      <c r="Q46" s="1" t="str">
        <f t="shared" si="10"/>
        <v/>
      </c>
      <c r="R46" s="1" t="str">
        <f t="shared" si="11"/>
        <v/>
      </c>
      <c r="S46" s="1" t="str">
        <f t="shared" si="12"/>
        <v/>
      </c>
      <c r="T46" s="1" t="str">
        <f t="shared" si="13"/>
        <v/>
      </c>
      <c r="U46" s="1" t="str">
        <f t="shared" si="14"/>
        <v/>
      </c>
      <c r="V46" s="1" t="str">
        <f t="shared" si="15"/>
        <v/>
      </c>
      <c r="W46" s="26" t="str">
        <f t="shared" si="16"/>
        <v/>
      </c>
      <c r="X46" s="13" t="str">
        <f t="shared" si="17"/>
        <v/>
      </c>
      <c r="Y46" s="9">
        <f t="shared" si="18"/>
        <v>0</v>
      </c>
    </row>
    <row r="47" spans="1:25" x14ac:dyDescent="0.25">
      <c r="A47" s="28"/>
      <c r="B47" s="29"/>
      <c r="C47" s="30"/>
      <c r="D47" s="31"/>
      <c r="E47" s="29" t="s">
        <v>16</v>
      </c>
      <c r="F47" s="13" t="b">
        <f>IF($E47=Categories!$A$1,"",IF($E47=Categories!$A$2,Categories!$B$2,IF($E47=Categories!$A$3,Categories!$B$3,IF($E47=Categories!$A$4,Categories!$B$4,IF($E47=Categories!$A$5,Categories!$B$5,IF($E47=Categories!$A$6,Categories!$B$6,IF($E47=Categories!$A$7,Categories!$B$7,IF($E47=Categories!$A$8,Categories!$B$8,IF($E47=Categories!$A$9,Categories!$B$9,IF($E47=Categories!$A$10,Categories!$B$10,IF($E47=Categories!$A$11,Categories!$B$11,IF($E47=Categories!$A$12,Categories!$B$12,IF($E47=Categories!$A$13,Categories!$B$13,IF($E47=Categories!$A$14,Categories!$B$14,IF($E47=Categories!$A$15,Categories!$B$15,IF($E47=Categories!$A$16,Categories!$B$16,IF($E47=Categories!$A$17,Categories!$B$17,IF($E47=Categories!$A$18,Categories!$B$18,IF($E47=Categories!$A$19,Categories!$B$19)))))))))))))))))))</f>
        <v>0</v>
      </c>
      <c r="G47" s="9" t="str">
        <f t="shared" si="0"/>
        <v/>
      </c>
      <c r="H47" s="1" t="str">
        <f t="shared" si="1"/>
        <v/>
      </c>
      <c r="I47" s="1" t="str">
        <f t="shared" si="2"/>
        <v/>
      </c>
      <c r="J47" s="1" t="str">
        <f t="shared" si="3"/>
        <v/>
      </c>
      <c r="K47" s="13" t="str">
        <f t="shared" si="4"/>
        <v/>
      </c>
      <c r="L47" s="9" t="str">
        <f t="shared" si="5"/>
        <v/>
      </c>
      <c r="M47" s="1" t="str">
        <f t="shared" si="6"/>
        <v/>
      </c>
      <c r="N47" s="1" t="str">
        <f t="shared" si="7"/>
        <v/>
      </c>
      <c r="O47" s="1" t="str">
        <f t="shared" si="8"/>
        <v/>
      </c>
      <c r="P47" s="1" t="str">
        <f t="shared" si="9"/>
        <v/>
      </c>
      <c r="Q47" s="1" t="str">
        <f t="shared" si="10"/>
        <v/>
      </c>
      <c r="R47" s="1" t="str">
        <f t="shared" si="11"/>
        <v/>
      </c>
      <c r="S47" s="1" t="str">
        <f t="shared" si="12"/>
        <v/>
      </c>
      <c r="T47" s="1" t="str">
        <f t="shared" si="13"/>
        <v/>
      </c>
      <c r="U47" s="1" t="str">
        <f t="shared" si="14"/>
        <v/>
      </c>
      <c r="V47" s="1" t="str">
        <f t="shared" si="15"/>
        <v/>
      </c>
      <c r="W47" s="26" t="str">
        <f t="shared" si="16"/>
        <v/>
      </c>
      <c r="X47" s="13" t="str">
        <f t="shared" si="17"/>
        <v/>
      </c>
      <c r="Y47" s="9">
        <f t="shared" si="18"/>
        <v>0</v>
      </c>
    </row>
    <row r="48" spans="1:25" x14ac:dyDescent="0.25">
      <c r="A48" s="28"/>
      <c r="B48" s="29"/>
      <c r="C48" s="30"/>
      <c r="D48" s="31"/>
      <c r="E48" s="29" t="s">
        <v>16</v>
      </c>
      <c r="F48" s="13" t="b">
        <f>IF($E48=Categories!$A$1,"",IF($E48=Categories!$A$2,Categories!$B$2,IF($E48=Categories!$A$3,Categories!$B$3,IF($E48=Categories!$A$4,Categories!$B$4,IF($E48=Categories!$A$5,Categories!$B$5,IF($E48=Categories!$A$6,Categories!$B$6,IF($E48=Categories!$A$7,Categories!$B$7,IF($E48=Categories!$A$8,Categories!$B$8,IF($E48=Categories!$A$9,Categories!$B$9,IF($E48=Categories!$A$10,Categories!$B$10,IF($E48=Categories!$A$11,Categories!$B$11,IF($E48=Categories!$A$12,Categories!$B$12,IF($E48=Categories!$A$13,Categories!$B$13,IF($E48=Categories!$A$14,Categories!$B$14,IF($E48=Categories!$A$15,Categories!$B$15,IF($E48=Categories!$A$16,Categories!$B$16,IF($E48=Categories!$A$17,Categories!$B$17,IF($E48=Categories!$A$18,Categories!$B$18,IF($E48=Categories!$A$19,Categories!$B$19)))))))))))))))))))</f>
        <v>0</v>
      </c>
      <c r="G48" s="9" t="str">
        <f t="shared" si="0"/>
        <v/>
      </c>
      <c r="H48" s="1" t="str">
        <f t="shared" si="1"/>
        <v/>
      </c>
      <c r="I48" s="1" t="str">
        <f t="shared" si="2"/>
        <v/>
      </c>
      <c r="J48" s="1" t="str">
        <f t="shared" si="3"/>
        <v/>
      </c>
      <c r="K48" s="13" t="str">
        <f t="shared" si="4"/>
        <v/>
      </c>
      <c r="L48" s="9" t="str">
        <f t="shared" si="5"/>
        <v/>
      </c>
      <c r="M48" s="1" t="str">
        <f t="shared" si="6"/>
        <v/>
      </c>
      <c r="N48" s="1" t="str">
        <f t="shared" si="7"/>
        <v/>
      </c>
      <c r="O48" s="1" t="str">
        <f t="shared" si="8"/>
        <v/>
      </c>
      <c r="P48" s="1" t="str">
        <f t="shared" si="9"/>
        <v/>
      </c>
      <c r="Q48" s="1" t="str">
        <f t="shared" si="10"/>
        <v/>
      </c>
      <c r="R48" s="1" t="str">
        <f t="shared" si="11"/>
        <v/>
      </c>
      <c r="S48" s="1" t="str">
        <f t="shared" si="12"/>
        <v/>
      </c>
      <c r="T48" s="1" t="str">
        <f t="shared" si="13"/>
        <v/>
      </c>
      <c r="U48" s="1" t="str">
        <f t="shared" si="14"/>
        <v/>
      </c>
      <c r="V48" s="1" t="str">
        <f t="shared" si="15"/>
        <v/>
      </c>
      <c r="W48" s="26" t="str">
        <f t="shared" si="16"/>
        <v/>
      </c>
      <c r="X48" s="13" t="str">
        <f t="shared" si="17"/>
        <v/>
      </c>
      <c r="Y48" s="9">
        <f t="shared" si="18"/>
        <v>0</v>
      </c>
    </row>
    <row r="49" spans="1:25" x14ac:dyDescent="0.25">
      <c r="A49" s="28"/>
      <c r="B49" s="29"/>
      <c r="C49" s="30"/>
      <c r="D49" s="31"/>
      <c r="E49" s="29" t="s">
        <v>16</v>
      </c>
      <c r="F49" s="13" t="b">
        <f>IF($E49=Categories!$A$1,"",IF($E49=Categories!$A$2,Categories!$B$2,IF($E49=Categories!$A$3,Categories!$B$3,IF($E49=Categories!$A$4,Categories!$B$4,IF($E49=Categories!$A$5,Categories!$B$5,IF($E49=Categories!$A$6,Categories!$B$6,IF($E49=Categories!$A$7,Categories!$B$7,IF($E49=Categories!$A$8,Categories!$B$8,IF($E49=Categories!$A$9,Categories!$B$9,IF($E49=Categories!$A$10,Categories!$B$10,IF($E49=Categories!$A$11,Categories!$B$11,IF($E49=Categories!$A$12,Categories!$B$12,IF($E49=Categories!$A$13,Categories!$B$13,IF($E49=Categories!$A$14,Categories!$B$14,IF($E49=Categories!$A$15,Categories!$B$15,IF($E49=Categories!$A$16,Categories!$B$16,IF($E49=Categories!$A$17,Categories!$B$17,IF($E49=Categories!$A$18,Categories!$B$18,IF($E49=Categories!$A$19,Categories!$B$19)))))))))))))))))))</f>
        <v>0</v>
      </c>
      <c r="G49" s="9" t="str">
        <f t="shared" si="0"/>
        <v/>
      </c>
      <c r="H49" s="1" t="str">
        <f t="shared" si="1"/>
        <v/>
      </c>
      <c r="I49" s="1" t="str">
        <f t="shared" si="2"/>
        <v/>
      </c>
      <c r="J49" s="1" t="str">
        <f t="shared" si="3"/>
        <v/>
      </c>
      <c r="K49" s="13" t="str">
        <f t="shared" si="4"/>
        <v/>
      </c>
      <c r="L49" s="9" t="str">
        <f t="shared" si="5"/>
        <v/>
      </c>
      <c r="M49" s="1" t="str">
        <f t="shared" si="6"/>
        <v/>
      </c>
      <c r="N49" s="1" t="str">
        <f t="shared" si="7"/>
        <v/>
      </c>
      <c r="O49" s="1" t="str">
        <f t="shared" si="8"/>
        <v/>
      </c>
      <c r="P49" s="1" t="str">
        <f t="shared" si="9"/>
        <v/>
      </c>
      <c r="Q49" s="1" t="str">
        <f t="shared" si="10"/>
        <v/>
      </c>
      <c r="R49" s="1" t="str">
        <f t="shared" si="11"/>
        <v/>
      </c>
      <c r="S49" s="1" t="str">
        <f t="shared" si="12"/>
        <v/>
      </c>
      <c r="T49" s="1" t="str">
        <f t="shared" si="13"/>
        <v/>
      </c>
      <c r="U49" s="1" t="str">
        <f t="shared" si="14"/>
        <v/>
      </c>
      <c r="V49" s="1" t="str">
        <f t="shared" si="15"/>
        <v/>
      </c>
      <c r="W49" s="26" t="str">
        <f t="shared" si="16"/>
        <v/>
      </c>
      <c r="X49" s="13" t="str">
        <f t="shared" si="17"/>
        <v/>
      </c>
      <c r="Y49" s="9">
        <f t="shared" si="18"/>
        <v>0</v>
      </c>
    </row>
    <row r="50" spans="1:25" x14ac:dyDescent="0.25">
      <c r="A50" s="28"/>
      <c r="B50" s="29"/>
      <c r="C50" s="30"/>
      <c r="D50" s="31"/>
      <c r="E50" s="29" t="s">
        <v>16</v>
      </c>
      <c r="F50" s="13" t="b">
        <f>IF($E50=Categories!$A$1,"",IF($E50=Categories!$A$2,Categories!$B$2,IF($E50=Categories!$A$3,Categories!$B$3,IF($E50=Categories!$A$4,Categories!$B$4,IF($E50=Categories!$A$5,Categories!$B$5,IF($E50=Categories!$A$6,Categories!$B$6,IF($E50=Categories!$A$7,Categories!$B$7,IF($E50=Categories!$A$8,Categories!$B$8,IF($E50=Categories!$A$9,Categories!$B$9,IF($E50=Categories!$A$10,Categories!$B$10,IF($E50=Categories!$A$11,Categories!$B$11,IF($E50=Categories!$A$12,Categories!$B$12,IF($E50=Categories!$A$13,Categories!$B$13,IF($E50=Categories!$A$14,Categories!$B$14,IF($E50=Categories!$A$15,Categories!$B$15,IF($E50=Categories!$A$16,Categories!$B$16,IF($E50=Categories!$A$17,Categories!$B$17,IF($E50=Categories!$A$18,Categories!$B$18,IF($E50=Categories!$A$19,Categories!$B$19)))))))))))))))))))</f>
        <v>0</v>
      </c>
      <c r="G50" s="9" t="str">
        <f t="shared" si="0"/>
        <v/>
      </c>
      <c r="H50" s="1" t="str">
        <f t="shared" si="1"/>
        <v/>
      </c>
      <c r="I50" s="1" t="str">
        <f t="shared" si="2"/>
        <v/>
      </c>
      <c r="J50" s="1" t="str">
        <f t="shared" si="3"/>
        <v/>
      </c>
      <c r="K50" s="13" t="str">
        <f t="shared" si="4"/>
        <v/>
      </c>
      <c r="L50" s="9" t="str">
        <f t="shared" si="5"/>
        <v/>
      </c>
      <c r="M50" s="1" t="str">
        <f t="shared" si="6"/>
        <v/>
      </c>
      <c r="N50" s="1" t="str">
        <f t="shared" si="7"/>
        <v/>
      </c>
      <c r="O50" s="1" t="str">
        <f t="shared" si="8"/>
        <v/>
      </c>
      <c r="P50" s="1" t="str">
        <f t="shared" si="9"/>
        <v/>
      </c>
      <c r="Q50" s="1" t="str">
        <f t="shared" si="10"/>
        <v/>
      </c>
      <c r="R50" s="1" t="str">
        <f t="shared" si="11"/>
        <v/>
      </c>
      <c r="S50" s="1" t="str">
        <f t="shared" si="12"/>
        <v/>
      </c>
      <c r="T50" s="1" t="str">
        <f t="shared" si="13"/>
        <v/>
      </c>
      <c r="U50" s="1" t="str">
        <f t="shared" si="14"/>
        <v/>
      </c>
      <c r="V50" s="1" t="str">
        <f t="shared" si="15"/>
        <v/>
      </c>
      <c r="W50" s="26" t="str">
        <f t="shared" si="16"/>
        <v/>
      </c>
      <c r="X50" s="13" t="str">
        <f t="shared" si="17"/>
        <v/>
      </c>
      <c r="Y50" s="9">
        <f t="shared" si="18"/>
        <v>0</v>
      </c>
    </row>
    <row r="51" spans="1:25" x14ac:dyDescent="0.25">
      <c r="A51" s="28"/>
      <c r="B51" s="29"/>
      <c r="C51" s="30"/>
      <c r="D51" s="31"/>
      <c r="E51" s="29" t="s">
        <v>16</v>
      </c>
      <c r="F51" s="13" t="b">
        <f>IF($E51=Categories!$A$1,"",IF($E51=Categories!$A$2,Categories!$B$2,IF($E51=Categories!$A$3,Categories!$B$3,IF($E51=Categories!$A$4,Categories!$B$4,IF($E51=Categories!$A$5,Categories!$B$5,IF($E51=Categories!$A$6,Categories!$B$6,IF($E51=Categories!$A$7,Categories!$B$7,IF($E51=Categories!$A$8,Categories!$B$8,IF($E51=Categories!$A$9,Categories!$B$9,IF($E51=Categories!$A$10,Categories!$B$10,IF($E51=Categories!$A$11,Categories!$B$11,IF($E51=Categories!$A$12,Categories!$B$12,IF($E51=Categories!$A$13,Categories!$B$13,IF($E51=Categories!$A$14,Categories!$B$14,IF($E51=Categories!$A$15,Categories!$B$15,IF($E51=Categories!$A$16,Categories!$B$16,IF($E51=Categories!$A$17,Categories!$B$17,IF($E51=Categories!$A$18,Categories!$B$18,IF($E51=Categories!$A$19,Categories!$B$19)))))))))))))))))))</f>
        <v>0</v>
      </c>
      <c r="G51" s="9" t="str">
        <f t="shared" si="0"/>
        <v/>
      </c>
      <c r="H51" s="1" t="str">
        <f t="shared" si="1"/>
        <v/>
      </c>
      <c r="I51" s="1" t="str">
        <f t="shared" si="2"/>
        <v/>
      </c>
      <c r="J51" s="1" t="str">
        <f t="shared" si="3"/>
        <v/>
      </c>
      <c r="K51" s="13" t="str">
        <f t="shared" si="4"/>
        <v/>
      </c>
      <c r="L51" s="9" t="str">
        <f t="shared" si="5"/>
        <v/>
      </c>
      <c r="M51" s="1" t="str">
        <f t="shared" si="6"/>
        <v/>
      </c>
      <c r="N51" s="1" t="str">
        <f t="shared" si="7"/>
        <v/>
      </c>
      <c r="O51" s="1" t="str">
        <f t="shared" si="8"/>
        <v/>
      </c>
      <c r="P51" s="1" t="str">
        <f t="shared" si="9"/>
        <v/>
      </c>
      <c r="Q51" s="1" t="str">
        <f t="shared" si="10"/>
        <v/>
      </c>
      <c r="R51" s="1" t="str">
        <f t="shared" si="11"/>
        <v/>
      </c>
      <c r="S51" s="1" t="str">
        <f t="shared" si="12"/>
        <v/>
      </c>
      <c r="T51" s="1" t="str">
        <f t="shared" si="13"/>
        <v/>
      </c>
      <c r="U51" s="1" t="str">
        <f t="shared" si="14"/>
        <v/>
      </c>
      <c r="V51" s="1" t="str">
        <f t="shared" si="15"/>
        <v/>
      </c>
      <c r="W51" s="26" t="str">
        <f t="shared" si="16"/>
        <v/>
      </c>
      <c r="X51" s="13" t="str">
        <f t="shared" si="17"/>
        <v/>
      </c>
      <c r="Y51" s="9">
        <f t="shared" si="18"/>
        <v>0</v>
      </c>
    </row>
    <row r="52" spans="1:25" x14ac:dyDescent="0.25">
      <c r="A52" s="28"/>
      <c r="B52" s="29"/>
      <c r="C52" s="30"/>
      <c r="D52" s="31"/>
      <c r="E52" s="29" t="s">
        <v>16</v>
      </c>
      <c r="F52" s="13" t="b">
        <f>IF($E52=Categories!$A$1,"",IF($E52=Categories!$A$2,Categories!$B$2,IF($E52=Categories!$A$3,Categories!$B$3,IF($E52=Categories!$A$4,Categories!$B$4,IF($E52=Categories!$A$5,Categories!$B$5,IF($E52=Categories!$A$6,Categories!$B$6,IF($E52=Categories!$A$7,Categories!$B$7,IF($E52=Categories!$A$8,Categories!$B$8,IF($E52=Categories!$A$9,Categories!$B$9,IF($E52=Categories!$A$10,Categories!$B$10,IF($E52=Categories!$A$11,Categories!$B$11,IF($E52=Categories!$A$12,Categories!$B$12,IF($E52=Categories!$A$13,Categories!$B$13,IF($E52=Categories!$A$14,Categories!$B$14,IF($E52=Categories!$A$15,Categories!$B$15,IF($E52=Categories!$A$16,Categories!$B$16,IF($E52=Categories!$A$17,Categories!$B$17,IF($E52=Categories!$A$18,Categories!$B$18,IF($E52=Categories!$A$19,Categories!$B$19)))))))))))))))))))</f>
        <v>0</v>
      </c>
      <c r="G52" s="9" t="str">
        <f t="shared" si="0"/>
        <v/>
      </c>
      <c r="H52" s="1" t="str">
        <f t="shared" si="1"/>
        <v/>
      </c>
      <c r="I52" s="1" t="str">
        <f t="shared" si="2"/>
        <v/>
      </c>
      <c r="J52" s="1" t="str">
        <f t="shared" si="3"/>
        <v/>
      </c>
      <c r="K52" s="13" t="str">
        <f t="shared" si="4"/>
        <v/>
      </c>
      <c r="L52" s="9" t="str">
        <f t="shared" si="5"/>
        <v/>
      </c>
      <c r="M52" s="1" t="str">
        <f t="shared" si="6"/>
        <v/>
      </c>
      <c r="N52" s="1" t="str">
        <f t="shared" si="7"/>
        <v/>
      </c>
      <c r="O52" s="1" t="str">
        <f t="shared" si="8"/>
        <v/>
      </c>
      <c r="P52" s="1" t="str">
        <f t="shared" si="9"/>
        <v/>
      </c>
      <c r="Q52" s="1" t="str">
        <f t="shared" si="10"/>
        <v/>
      </c>
      <c r="R52" s="1" t="str">
        <f t="shared" si="11"/>
        <v/>
      </c>
      <c r="S52" s="1" t="str">
        <f t="shared" si="12"/>
        <v/>
      </c>
      <c r="T52" s="1" t="str">
        <f t="shared" si="13"/>
        <v/>
      </c>
      <c r="U52" s="1" t="str">
        <f t="shared" si="14"/>
        <v/>
      </c>
      <c r="V52" s="1" t="str">
        <f t="shared" si="15"/>
        <v/>
      </c>
      <c r="W52" s="26" t="str">
        <f t="shared" si="16"/>
        <v/>
      </c>
      <c r="X52" s="13" t="str">
        <f t="shared" si="17"/>
        <v/>
      </c>
      <c r="Y52" s="9">
        <f t="shared" si="18"/>
        <v>0</v>
      </c>
    </row>
    <row r="53" spans="1:25" x14ac:dyDescent="0.25">
      <c r="A53" s="28"/>
      <c r="B53" s="29"/>
      <c r="C53" s="30"/>
      <c r="D53" s="31"/>
      <c r="E53" s="29" t="s">
        <v>16</v>
      </c>
      <c r="F53" s="13" t="b">
        <f>IF($E53=Categories!$A$1,"",IF($E53=Categories!$A$2,Categories!$B$2,IF($E53=Categories!$A$3,Categories!$B$3,IF($E53=Categories!$A$4,Categories!$B$4,IF($E53=Categories!$A$5,Categories!$B$5,IF($E53=Categories!$A$6,Categories!$B$6,IF($E53=Categories!$A$7,Categories!$B$7,IF($E53=Categories!$A$8,Categories!$B$8,IF($E53=Categories!$A$9,Categories!$B$9,IF($E53=Categories!$A$10,Categories!$B$10,IF($E53=Categories!$A$11,Categories!$B$11,IF($E53=Categories!$A$12,Categories!$B$12,IF($E53=Categories!$A$13,Categories!$B$13,IF($E53=Categories!$A$14,Categories!$B$14,IF($E53=Categories!$A$15,Categories!$B$15,IF($E53=Categories!$A$16,Categories!$B$16,IF($E53=Categories!$A$17,Categories!$B$17,IF($E53=Categories!$A$18,Categories!$B$18,IF($E53=Categories!$A$19,Categories!$B$19)))))))))))))))))))</f>
        <v>0</v>
      </c>
      <c r="G53" s="9" t="str">
        <f t="shared" si="0"/>
        <v/>
      </c>
      <c r="H53" s="1" t="str">
        <f t="shared" si="1"/>
        <v/>
      </c>
      <c r="I53" s="1" t="str">
        <f t="shared" si="2"/>
        <v/>
      </c>
      <c r="J53" s="1" t="str">
        <f t="shared" si="3"/>
        <v/>
      </c>
      <c r="K53" s="13" t="str">
        <f t="shared" si="4"/>
        <v/>
      </c>
      <c r="L53" s="9" t="str">
        <f t="shared" si="5"/>
        <v/>
      </c>
      <c r="M53" s="1" t="str">
        <f t="shared" si="6"/>
        <v/>
      </c>
      <c r="N53" s="1" t="str">
        <f t="shared" si="7"/>
        <v/>
      </c>
      <c r="O53" s="1" t="str">
        <f t="shared" si="8"/>
        <v/>
      </c>
      <c r="P53" s="1" t="str">
        <f t="shared" si="9"/>
        <v/>
      </c>
      <c r="Q53" s="1" t="str">
        <f t="shared" si="10"/>
        <v/>
      </c>
      <c r="R53" s="1" t="str">
        <f t="shared" si="11"/>
        <v/>
      </c>
      <c r="S53" s="1" t="str">
        <f t="shared" si="12"/>
        <v/>
      </c>
      <c r="T53" s="1" t="str">
        <f t="shared" si="13"/>
        <v/>
      </c>
      <c r="U53" s="1" t="str">
        <f t="shared" si="14"/>
        <v/>
      </c>
      <c r="V53" s="1" t="str">
        <f t="shared" si="15"/>
        <v/>
      </c>
      <c r="W53" s="26" t="str">
        <f t="shared" si="16"/>
        <v/>
      </c>
      <c r="X53" s="13" t="str">
        <f t="shared" si="17"/>
        <v/>
      </c>
      <c r="Y53" s="9">
        <f t="shared" si="18"/>
        <v>0</v>
      </c>
    </row>
    <row r="54" spans="1:25" x14ac:dyDescent="0.25">
      <c r="A54" s="28"/>
      <c r="B54" s="29"/>
      <c r="C54" s="30"/>
      <c r="D54" s="31"/>
      <c r="E54" s="29" t="s">
        <v>16</v>
      </c>
      <c r="F54" s="13" t="b">
        <f>IF($E54=Categories!$A$1,"",IF($E54=Categories!$A$2,Categories!$B$2,IF($E54=Categories!$A$3,Categories!$B$3,IF($E54=Categories!$A$4,Categories!$B$4,IF($E54=Categories!$A$5,Categories!$B$5,IF($E54=Categories!$A$6,Categories!$B$6,IF($E54=Categories!$A$7,Categories!$B$7,IF($E54=Categories!$A$8,Categories!$B$8,IF($E54=Categories!$A$9,Categories!$B$9,IF($E54=Categories!$A$10,Categories!$B$10,IF($E54=Categories!$A$11,Categories!$B$11,IF($E54=Categories!$A$12,Categories!$B$12,IF($E54=Categories!$A$13,Categories!$B$13,IF($E54=Categories!$A$14,Categories!$B$14,IF($E54=Categories!$A$15,Categories!$B$15,IF($E54=Categories!$A$16,Categories!$B$16,IF($E54=Categories!$A$17,Categories!$B$17,IF($E54=Categories!$A$18,Categories!$B$18,IF($E54=Categories!$A$19,Categories!$B$19)))))))))))))))))))</f>
        <v>0</v>
      </c>
      <c r="G54" s="9" t="str">
        <f t="shared" si="0"/>
        <v/>
      </c>
      <c r="H54" s="1" t="str">
        <f t="shared" si="1"/>
        <v/>
      </c>
      <c r="I54" s="1" t="str">
        <f t="shared" si="2"/>
        <v/>
      </c>
      <c r="J54" s="1" t="str">
        <f t="shared" si="3"/>
        <v/>
      </c>
      <c r="K54" s="13" t="str">
        <f t="shared" si="4"/>
        <v/>
      </c>
      <c r="L54" s="9" t="str">
        <f t="shared" si="5"/>
        <v/>
      </c>
      <c r="M54" s="1" t="str">
        <f t="shared" si="6"/>
        <v/>
      </c>
      <c r="N54" s="1" t="str">
        <f t="shared" si="7"/>
        <v/>
      </c>
      <c r="O54" s="1" t="str">
        <f t="shared" si="8"/>
        <v/>
      </c>
      <c r="P54" s="1" t="str">
        <f t="shared" si="9"/>
        <v/>
      </c>
      <c r="Q54" s="1" t="str">
        <f t="shared" si="10"/>
        <v/>
      </c>
      <c r="R54" s="1" t="str">
        <f t="shared" si="11"/>
        <v/>
      </c>
      <c r="S54" s="1" t="str">
        <f t="shared" si="12"/>
        <v/>
      </c>
      <c r="T54" s="1" t="str">
        <f t="shared" si="13"/>
        <v/>
      </c>
      <c r="U54" s="1" t="str">
        <f t="shared" si="14"/>
        <v/>
      </c>
      <c r="V54" s="1" t="str">
        <f t="shared" si="15"/>
        <v/>
      </c>
      <c r="W54" s="26" t="str">
        <f t="shared" si="16"/>
        <v/>
      </c>
      <c r="X54" s="13" t="str">
        <f t="shared" si="17"/>
        <v/>
      </c>
      <c r="Y54" s="9">
        <f t="shared" si="18"/>
        <v>0</v>
      </c>
    </row>
    <row r="55" spans="1:25" x14ac:dyDescent="0.25">
      <c r="A55" s="28"/>
      <c r="B55" s="29"/>
      <c r="C55" s="30"/>
      <c r="D55" s="31"/>
      <c r="E55" s="29" t="s">
        <v>16</v>
      </c>
      <c r="F55" s="13" t="b">
        <f>IF($E55=Categories!$A$1,"",IF($E55=Categories!$A$2,Categories!$B$2,IF($E55=Categories!$A$3,Categories!$B$3,IF($E55=Categories!$A$4,Categories!$B$4,IF($E55=Categories!$A$5,Categories!$B$5,IF($E55=Categories!$A$6,Categories!$B$6,IF($E55=Categories!$A$7,Categories!$B$7,IF($E55=Categories!$A$8,Categories!$B$8,IF($E55=Categories!$A$9,Categories!$B$9,IF($E55=Categories!$A$10,Categories!$B$10,IF($E55=Categories!$A$11,Categories!$B$11,IF($E55=Categories!$A$12,Categories!$B$12,IF($E55=Categories!$A$13,Categories!$B$13,IF($E55=Categories!$A$14,Categories!$B$14,IF($E55=Categories!$A$15,Categories!$B$15,IF($E55=Categories!$A$16,Categories!$B$16,IF($E55=Categories!$A$17,Categories!$B$17,IF($E55=Categories!$A$18,Categories!$B$18,IF($E55=Categories!$A$19,Categories!$B$19)))))))))))))))))))</f>
        <v>0</v>
      </c>
      <c r="G55" s="9" t="str">
        <f t="shared" si="0"/>
        <v/>
      </c>
      <c r="H55" s="1" t="str">
        <f t="shared" si="1"/>
        <v/>
      </c>
      <c r="I55" s="1" t="str">
        <f t="shared" si="2"/>
        <v/>
      </c>
      <c r="J55" s="1" t="str">
        <f t="shared" si="3"/>
        <v/>
      </c>
      <c r="K55" s="13" t="str">
        <f t="shared" si="4"/>
        <v/>
      </c>
      <c r="L55" s="9" t="str">
        <f t="shared" si="5"/>
        <v/>
      </c>
      <c r="M55" s="1" t="str">
        <f t="shared" si="6"/>
        <v/>
      </c>
      <c r="N55" s="1" t="str">
        <f t="shared" si="7"/>
        <v/>
      </c>
      <c r="O55" s="1" t="str">
        <f t="shared" si="8"/>
        <v/>
      </c>
      <c r="P55" s="1" t="str">
        <f t="shared" si="9"/>
        <v/>
      </c>
      <c r="Q55" s="1" t="str">
        <f t="shared" si="10"/>
        <v/>
      </c>
      <c r="R55" s="1" t="str">
        <f t="shared" si="11"/>
        <v/>
      </c>
      <c r="S55" s="1" t="str">
        <f t="shared" si="12"/>
        <v/>
      </c>
      <c r="T55" s="1" t="str">
        <f t="shared" si="13"/>
        <v/>
      </c>
      <c r="U55" s="1" t="str">
        <f t="shared" si="14"/>
        <v/>
      </c>
      <c r="V55" s="1" t="str">
        <f t="shared" si="15"/>
        <v/>
      </c>
      <c r="W55" s="26" t="str">
        <f t="shared" si="16"/>
        <v/>
      </c>
      <c r="X55" s="13" t="str">
        <f t="shared" si="17"/>
        <v/>
      </c>
      <c r="Y55" s="9">
        <f t="shared" si="18"/>
        <v>0</v>
      </c>
    </row>
    <row r="56" spans="1:25" x14ac:dyDescent="0.25">
      <c r="A56" s="28"/>
      <c r="B56" s="29"/>
      <c r="C56" s="30"/>
      <c r="D56" s="31"/>
      <c r="E56" s="29" t="s">
        <v>16</v>
      </c>
      <c r="F56" s="13" t="b">
        <f>IF($E56=Categories!$A$1,"",IF($E56=Categories!$A$2,Categories!$B$2,IF($E56=Categories!$A$3,Categories!$B$3,IF($E56=Categories!$A$4,Categories!$B$4,IF($E56=Categories!$A$5,Categories!$B$5,IF($E56=Categories!$A$6,Categories!$B$6,IF($E56=Categories!$A$7,Categories!$B$7,IF($E56=Categories!$A$8,Categories!$B$8,IF($E56=Categories!$A$9,Categories!$B$9,IF($E56=Categories!$A$10,Categories!$B$10,IF($E56=Categories!$A$11,Categories!$B$11,IF($E56=Categories!$A$12,Categories!$B$12,IF($E56=Categories!$A$13,Categories!$B$13,IF($E56=Categories!$A$14,Categories!$B$14,IF($E56=Categories!$A$15,Categories!$B$15,IF($E56=Categories!$A$16,Categories!$B$16,IF($E56=Categories!$A$17,Categories!$B$17,IF($E56=Categories!$A$18,Categories!$B$18,IF($E56=Categories!$A$19,Categories!$B$19)))))))))))))))))))</f>
        <v>0</v>
      </c>
      <c r="G56" s="9" t="str">
        <f t="shared" si="0"/>
        <v/>
      </c>
      <c r="H56" s="1" t="str">
        <f t="shared" si="1"/>
        <v/>
      </c>
      <c r="I56" s="1" t="str">
        <f t="shared" si="2"/>
        <v/>
      </c>
      <c r="J56" s="1" t="str">
        <f t="shared" si="3"/>
        <v/>
      </c>
      <c r="K56" s="13" t="str">
        <f t="shared" si="4"/>
        <v/>
      </c>
      <c r="L56" s="9" t="str">
        <f t="shared" si="5"/>
        <v/>
      </c>
      <c r="M56" s="1" t="str">
        <f t="shared" si="6"/>
        <v/>
      </c>
      <c r="N56" s="1" t="str">
        <f t="shared" si="7"/>
        <v/>
      </c>
      <c r="O56" s="1" t="str">
        <f t="shared" si="8"/>
        <v/>
      </c>
      <c r="P56" s="1" t="str">
        <f t="shared" si="9"/>
        <v/>
      </c>
      <c r="Q56" s="1" t="str">
        <f t="shared" si="10"/>
        <v/>
      </c>
      <c r="R56" s="1" t="str">
        <f t="shared" si="11"/>
        <v/>
      </c>
      <c r="S56" s="1" t="str">
        <f t="shared" si="12"/>
        <v/>
      </c>
      <c r="T56" s="1" t="str">
        <f t="shared" si="13"/>
        <v/>
      </c>
      <c r="U56" s="1" t="str">
        <f t="shared" si="14"/>
        <v/>
      </c>
      <c r="V56" s="1" t="str">
        <f t="shared" si="15"/>
        <v/>
      </c>
      <c r="W56" s="26" t="str">
        <f t="shared" si="16"/>
        <v/>
      </c>
      <c r="X56" s="13" t="str">
        <f t="shared" si="17"/>
        <v/>
      </c>
      <c r="Y56" s="9">
        <f t="shared" si="18"/>
        <v>0</v>
      </c>
    </row>
    <row r="57" spans="1:25" x14ac:dyDescent="0.25">
      <c r="A57" s="28"/>
      <c r="B57" s="29"/>
      <c r="C57" s="30"/>
      <c r="D57" s="31"/>
      <c r="E57" s="29" t="s">
        <v>16</v>
      </c>
      <c r="F57" s="13" t="b">
        <f>IF($E57=Categories!$A$1,"",IF($E57=Categories!$A$2,Categories!$B$2,IF($E57=Categories!$A$3,Categories!$B$3,IF($E57=Categories!$A$4,Categories!$B$4,IF($E57=Categories!$A$5,Categories!$B$5,IF($E57=Categories!$A$6,Categories!$B$6,IF($E57=Categories!$A$7,Categories!$B$7,IF($E57=Categories!$A$8,Categories!$B$8,IF($E57=Categories!$A$9,Categories!$B$9,IF($E57=Categories!$A$10,Categories!$B$10,IF($E57=Categories!$A$11,Categories!$B$11,IF($E57=Categories!$A$12,Categories!$B$12,IF($E57=Categories!$A$13,Categories!$B$13,IF($E57=Categories!$A$14,Categories!$B$14,IF($E57=Categories!$A$15,Categories!$B$15,IF($E57=Categories!$A$16,Categories!$B$16,IF($E57=Categories!$A$17,Categories!$B$17,IF($E57=Categories!$A$18,Categories!$B$18,IF($E57=Categories!$A$19,Categories!$B$19)))))))))))))))))))</f>
        <v>0</v>
      </c>
      <c r="G57" s="9" t="str">
        <f t="shared" si="0"/>
        <v/>
      </c>
      <c r="H57" s="1" t="str">
        <f t="shared" si="1"/>
        <v/>
      </c>
      <c r="I57" s="1" t="str">
        <f t="shared" si="2"/>
        <v/>
      </c>
      <c r="J57" s="1" t="str">
        <f t="shared" si="3"/>
        <v/>
      </c>
      <c r="K57" s="13" t="str">
        <f t="shared" si="4"/>
        <v/>
      </c>
      <c r="L57" s="9" t="str">
        <f t="shared" si="5"/>
        <v/>
      </c>
      <c r="M57" s="1" t="str">
        <f t="shared" si="6"/>
        <v/>
      </c>
      <c r="N57" s="1" t="str">
        <f t="shared" si="7"/>
        <v/>
      </c>
      <c r="O57" s="1" t="str">
        <f t="shared" si="8"/>
        <v/>
      </c>
      <c r="P57" s="1" t="str">
        <f t="shared" si="9"/>
        <v/>
      </c>
      <c r="Q57" s="1" t="str">
        <f t="shared" si="10"/>
        <v/>
      </c>
      <c r="R57" s="1" t="str">
        <f t="shared" si="11"/>
        <v/>
      </c>
      <c r="S57" s="1" t="str">
        <f t="shared" si="12"/>
        <v/>
      </c>
      <c r="T57" s="1" t="str">
        <f t="shared" si="13"/>
        <v/>
      </c>
      <c r="U57" s="1" t="str">
        <f t="shared" si="14"/>
        <v/>
      </c>
      <c r="V57" s="1" t="str">
        <f t="shared" si="15"/>
        <v/>
      </c>
      <c r="W57" s="26" t="str">
        <f t="shared" si="16"/>
        <v/>
      </c>
      <c r="X57" s="13" t="str">
        <f t="shared" si="17"/>
        <v/>
      </c>
      <c r="Y57" s="9">
        <f t="shared" si="18"/>
        <v>0</v>
      </c>
    </row>
    <row r="58" spans="1:25" x14ac:dyDescent="0.25">
      <c r="A58" s="28"/>
      <c r="B58" s="29"/>
      <c r="C58" s="30"/>
      <c r="D58" s="31"/>
      <c r="E58" s="29" t="s">
        <v>16</v>
      </c>
      <c r="F58" s="13" t="b">
        <f>IF($E58=Categories!$A$1,"",IF($E58=Categories!$A$2,Categories!$B$2,IF($E58=Categories!$A$3,Categories!$B$3,IF($E58=Categories!$A$4,Categories!$B$4,IF($E58=Categories!$A$5,Categories!$B$5,IF($E58=Categories!$A$6,Categories!$B$6,IF($E58=Categories!$A$7,Categories!$B$7,IF($E58=Categories!$A$8,Categories!$B$8,IF($E58=Categories!$A$9,Categories!$B$9,IF($E58=Categories!$A$10,Categories!$B$10,IF($E58=Categories!$A$11,Categories!$B$11,IF($E58=Categories!$A$12,Categories!$B$12,IF($E58=Categories!$A$13,Categories!$B$13,IF($E58=Categories!$A$14,Categories!$B$14,IF($E58=Categories!$A$15,Categories!$B$15,IF($E58=Categories!$A$16,Categories!$B$16,IF($E58=Categories!$A$17,Categories!$B$17,IF($E58=Categories!$A$18,Categories!$B$18,IF($E58=Categories!$A$19,Categories!$B$19)))))))))))))))))))</f>
        <v>0</v>
      </c>
      <c r="G58" s="9" t="str">
        <f t="shared" si="0"/>
        <v/>
      </c>
      <c r="H58" s="1" t="str">
        <f t="shared" si="1"/>
        <v/>
      </c>
      <c r="I58" s="1" t="str">
        <f t="shared" si="2"/>
        <v/>
      </c>
      <c r="J58" s="1" t="str">
        <f t="shared" si="3"/>
        <v/>
      </c>
      <c r="K58" s="13" t="str">
        <f t="shared" si="4"/>
        <v/>
      </c>
      <c r="L58" s="9" t="str">
        <f t="shared" si="5"/>
        <v/>
      </c>
      <c r="M58" s="1" t="str">
        <f t="shared" si="6"/>
        <v/>
      </c>
      <c r="N58" s="1" t="str">
        <f t="shared" si="7"/>
        <v/>
      </c>
      <c r="O58" s="1" t="str">
        <f t="shared" si="8"/>
        <v/>
      </c>
      <c r="P58" s="1" t="str">
        <f t="shared" si="9"/>
        <v/>
      </c>
      <c r="Q58" s="1" t="str">
        <f t="shared" si="10"/>
        <v/>
      </c>
      <c r="R58" s="1" t="str">
        <f t="shared" si="11"/>
        <v/>
      </c>
      <c r="S58" s="1" t="str">
        <f t="shared" si="12"/>
        <v/>
      </c>
      <c r="T58" s="1" t="str">
        <f t="shared" si="13"/>
        <v/>
      </c>
      <c r="U58" s="1" t="str">
        <f t="shared" si="14"/>
        <v/>
      </c>
      <c r="V58" s="1" t="str">
        <f t="shared" si="15"/>
        <v/>
      </c>
      <c r="W58" s="26" t="str">
        <f t="shared" si="16"/>
        <v/>
      </c>
      <c r="X58" s="13" t="str">
        <f t="shared" si="17"/>
        <v/>
      </c>
      <c r="Y58" s="9">
        <f t="shared" si="18"/>
        <v>0</v>
      </c>
    </row>
    <row r="59" spans="1:25" x14ac:dyDescent="0.25">
      <c r="A59" s="28"/>
      <c r="B59" s="29"/>
      <c r="C59" s="30"/>
      <c r="D59" s="31"/>
      <c r="E59" s="29" t="s">
        <v>16</v>
      </c>
      <c r="F59" s="13" t="b">
        <f>IF($E59=Categories!$A$1,"",IF($E59=Categories!$A$2,Categories!$B$2,IF($E59=Categories!$A$3,Categories!$B$3,IF($E59=Categories!$A$4,Categories!$B$4,IF($E59=Categories!$A$5,Categories!$B$5,IF($E59=Categories!$A$6,Categories!$B$6,IF($E59=Categories!$A$7,Categories!$B$7,IF($E59=Categories!$A$8,Categories!$B$8,IF($E59=Categories!$A$9,Categories!$B$9,IF($E59=Categories!$A$10,Categories!$B$10,IF($E59=Categories!$A$11,Categories!$B$11,IF($E59=Categories!$A$12,Categories!$B$12,IF($E59=Categories!$A$13,Categories!$B$13,IF($E59=Categories!$A$14,Categories!$B$14,IF($E59=Categories!$A$15,Categories!$B$15,IF($E59=Categories!$A$16,Categories!$B$16,IF($E59=Categories!$A$17,Categories!$B$17,IF($E59=Categories!$A$18,Categories!$B$18,IF($E59=Categories!$A$19,Categories!$B$19)))))))))))))))))))</f>
        <v>0</v>
      </c>
      <c r="G59" s="9" t="str">
        <f t="shared" si="0"/>
        <v/>
      </c>
      <c r="H59" s="1" t="str">
        <f t="shared" si="1"/>
        <v/>
      </c>
      <c r="I59" s="1" t="str">
        <f t="shared" si="2"/>
        <v/>
      </c>
      <c r="J59" s="1" t="str">
        <f t="shared" si="3"/>
        <v/>
      </c>
      <c r="K59" s="13" t="str">
        <f t="shared" si="4"/>
        <v/>
      </c>
      <c r="L59" s="9" t="str">
        <f t="shared" si="5"/>
        <v/>
      </c>
      <c r="M59" s="1" t="str">
        <f t="shared" si="6"/>
        <v/>
      </c>
      <c r="N59" s="1" t="str">
        <f t="shared" si="7"/>
        <v/>
      </c>
      <c r="O59" s="1" t="str">
        <f t="shared" si="8"/>
        <v/>
      </c>
      <c r="P59" s="1" t="str">
        <f t="shared" si="9"/>
        <v/>
      </c>
      <c r="Q59" s="1" t="str">
        <f t="shared" si="10"/>
        <v/>
      </c>
      <c r="R59" s="1" t="str">
        <f t="shared" si="11"/>
        <v/>
      </c>
      <c r="S59" s="1" t="str">
        <f t="shared" si="12"/>
        <v/>
      </c>
      <c r="T59" s="1" t="str">
        <f t="shared" si="13"/>
        <v/>
      </c>
      <c r="U59" s="1" t="str">
        <f t="shared" si="14"/>
        <v/>
      </c>
      <c r="V59" s="1" t="str">
        <f t="shared" si="15"/>
        <v/>
      </c>
      <c r="W59" s="26" t="str">
        <f t="shared" si="16"/>
        <v/>
      </c>
      <c r="X59" s="13" t="str">
        <f t="shared" si="17"/>
        <v/>
      </c>
      <c r="Y59" s="9">
        <f t="shared" si="18"/>
        <v>0</v>
      </c>
    </row>
    <row r="60" spans="1:25" x14ac:dyDescent="0.25">
      <c r="A60" s="28"/>
      <c r="B60" s="29"/>
      <c r="C60" s="30"/>
      <c r="D60" s="31"/>
      <c r="E60" s="29" t="s">
        <v>16</v>
      </c>
      <c r="F60" s="13" t="b">
        <f>IF($E60=Categories!$A$1,"",IF($E60=Categories!$A$2,Categories!$B$2,IF($E60=Categories!$A$3,Categories!$B$3,IF($E60=Categories!$A$4,Categories!$B$4,IF($E60=Categories!$A$5,Categories!$B$5,IF($E60=Categories!$A$6,Categories!$B$6,IF($E60=Categories!$A$7,Categories!$B$7,IF($E60=Categories!$A$8,Categories!$B$8,IF($E60=Categories!$A$9,Categories!$B$9,IF($E60=Categories!$A$10,Categories!$B$10,IF($E60=Categories!$A$11,Categories!$B$11,IF($E60=Categories!$A$12,Categories!$B$12,IF($E60=Categories!$A$13,Categories!$B$13,IF($E60=Categories!$A$14,Categories!$B$14,IF($E60=Categories!$A$15,Categories!$B$15,IF($E60=Categories!$A$16,Categories!$B$16,IF($E60=Categories!$A$17,Categories!$B$17,IF($E60=Categories!$A$18,Categories!$B$18,IF($E60=Categories!$A$19,Categories!$B$19)))))))))))))))))))</f>
        <v>0</v>
      </c>
      <c r="G60" s="9" t="str">
        <f t="shared" si="0"/>
        <v/>
      </c>
      <c r="H60" s="1" t="str">
        <f t="shared" si="1"/>
        <v/>
      </c>
      <c r="I60" s="1" t="str">
        <f t="shared" si="2"/>
        <v/>
      </c>
      <c r="J60" s="1" t="str">
        <f t="shared" si="3"/>
        <v/>
      </c>
      <c r="K60" s="13" t="str">
        <f t="shared" si="4"/>
        <v/>
      </c>
      <c r="L60" s="9" t="str">
        <f t="shared" si="5"/>
        <v/>
      </c>
      <c r="M60" s="1" t="str">
        <f t="shared" si="6"/>
        <v/>
      </c>
      <c r="N60" s="1" t="str">
        <f t="shared" si="7"/>
        <v/>
      </c>
      <c r="O60" s="1" t="str">
        <f t="shared" si="8"/>
        <v/>
      </c>
      <c r="P60" s="1" t="str">
        <f t="shared" si="9"/>
        <v/>
      </c>
      <c r="Q60" s="1" t="str">
        <f t="shared" si="10"/>
        <v/>
      </c>
      <c r="R60" s="1" t="str">
        <f t="shared" si="11"/>
        <v/>
      </c>
      <c r="S60" s="1" t="str">
        <f t="shared" si="12"/>
        <v/>
      </c>
      <c r="T60" s="1" t="str">
        <f t="shared" si="13"/>
        <v/>
      </c>
      <c r="U60" s="1" t="str">
        <f t="shared" si="14"/>
        <v/>
      </c>
      <c r="V60" s="1" t="str">
        <f t="shared" si="15"/>
        <v/>
      </c>
      <c r="W60" s="26" t="str">
        <f t="shared" si="16"/>
        <v/>
      </c>
      <c r="X60" s="13" t="str">
        <f t="shared" si="17"/>
        <v/>
      </c>
      <c r="Y60" s="9">
        <f t="shared" si="18"/>
        <v>0</v>
      </c>
    </row>
    <row r="61" spans="1:25" x14ac:dyDescent="0.25">
      <c r="A61" s="28"/>
      <c r="B61" s="29"/>
      <c r="C61" s="30"/>
      <c r="D61" s="31"/>
      <c r="E61" s="29" t="s">
        <v>16</v>
      </c>
      <c r="F61" s="13" t="b">
        <f>IF($E61=Categories!$A$1,"",IF($E61=Categories!$A$2,Categories!$B$2,IF($E61=Categories!$A$3,Categories!$B$3,IF($E61=Categories!$A$4,Categories!$B$4,IF($E61=Categories!$A$5,Categories!$B$5,IF($E61=Categories!$A$6,Categories!$B$6,IF($E61=Categories!$A$7,Categories!$B$7,IF($E61=Categories!$A$8,Categories!$B$8,IF($E61=Categories!$A$9,Categories!$B$9,IF($E61=Categories!$A$10,Categories!$B$10,IF($E61=Categories!$A$11,Categories!$B$11,IF($E61=Categories!$A$12,Categories!$B$12,IF($E61=Categories!$A$13,Categories!$B$13,IF($E61=Categories!$A$14,Categories!$B$14,IF($E61=Categories!$A$15,Categories!$B$15,IF($E61=Categories!$A$16,Categories!$B$16,IF($E61=Categories!$A$17,Categories!$B$17,IF($E61=Categories!$A$18,Categories!$B$18,IF($E61=Categories!$A$19,Categories!$B$19)))))))))))))))))))</f>
        <v>0</v>
      </c>
      <c r="G61" s="9" t="str">
        <f t="shared" si="0"/>
        <v/>
      </c>
      <c r="H61" s="1" t="str">
        <f t="shared" si="1"/>
        <v/>
      </c>
      <c r="I61" s="1" t="str">
        <f t="shared" si="2"/>
        <v/>
      </c>
      <c r="J61" s="1" t="str">
        <f t="shared" si="3"/>
        <v/>
      </c>
      <c r="K61" s="13" t="str">
        <f t="shared" si="4"/>
        <v/>
      </c>
      <c r="L61" s="9" t="str">
        <f t="shared" si="5"/>
        <v/>
      </c>
      <c r="M61" s="1" t="str">
        <f t="shared" si="6"/>
        <v/>
      </c>
      <c r="N61" s="1" t="str">
        <f t="shared" si="7"/>
        <v/>
      </c>
      <c r="O61" s="1" t="str">
        <f t="shared" si="8"/>
        <v/>
      </c>
      <c r="P61" s="1" t="str">
        <f t="shared" si="9"/>
        <v/>
      </c>
      <c r="Q61" s="1" t="str">
        <f t="shared" si="10"/>
        <v/>
      </c>
      <c r="R61" s="1" t="str">
        <f t="shared" si="11"/>
        <v/>
      </c>
      <c r="S61" s="1" t="str">
        <f t="shared" si="12"/>
        <v/>
      </c>
      <c r="T61" s="1" t="str">
        <f t="shared" si="13"/>
        <v/>
      </c>
      <c r="U61" s="1" t="str">
        <f t="shared" si="14"/>
        <v/>
      </c>
      <c r="V61" s="1" t="str">
        <f t="shared" si="15"/>
        <v/>
      </c>
      <c r="W61" s="26" t="str">
        <f t="shared" si="16"/>
        <v/>
      </c>
      <c r="X61" s="13" t="str">
        <f t="shared" si="17"/>
        <v/>
      </c>
      <c r="Y61" s="9">
        <f t="shared" si="18"/>
        <v>0</v>
      </c>
    </row>
    <row r="62" spans="1:25" x14ac:dyDescent="0.25">
      <c r="A62" s="28"/>
      <c r="B62" s="29"/>
      <c r="C62" s="30"/>
      <c r="D62" s="31"/>
      <c r="E62" s="29" t="s">
        <v>16</v>
      </c>
      <c r="F62" s="13" t="b">
        <f>IF($E62=Categories!$A$1,"",IF($E62=Categories!$A$2,Categories!$B$2,IF($E62=Categories!$A$3,Categories!$B$3,IF($E62=Categories!$A$4,Categories!$B$4,IF($E62=Categories!$A$5,Categories!$B$5,IF($E62=Categories!$A$6,Categories!$B$6,IF($E62=Categories!$A$7,Categories!$B$7,IF($E62=Categories!$A$8,Categories!$B$8,IF($E62=Categories!$A$9,Categories!$B$9,IF($E62=Categories!$A$10,Categories!$B$10,IF($E62=Categories!$A$11,Categories!$B$11,IF($E62=Categories!$A$12,Categories!$B$12,IF($E62=Categories!$A$13,Categories!$B$13,IF($E62=Categories!$A$14,Categories!$B$14,IF($E62=Categories!$A$15,Categories!$B$15,IF($E62=Categories!$A$16,Categories!$B$16,IF($E62=Categories!$A$17,Categories!$B$17,IF($E62=Categories!$A$18,Categories!$B$18,IF($E62=Categories!$A$19,Categories!$B$19)))))))))))))))))))</f>
        <v>0</v>
      </c>
      <c r="G62" s="9" t="str">
        <f t="shared" si="0"/>
        <v/>
      </c>
      <c r="H62" s="1" t="str">
        <f t="shared" si="1"/>
        <v/>
      </c>
      <c r="I62" s="1" t="str">
        <f t="shared" si="2"/>
        <v/>
      </c>
      <c r="J62" s="1" t="str">
        <f t="shared" si="3"/>
        <v/>
      </c>
      <c r="K62" s="13" t="str">
        <f t="shared" si="4"/>
        <v/>
      </c>
      <c r="L62" s="9" t="str">
        <f t="shared" si="5"/>
        <v/>
      </c>
      <c r="M62" s="1" t="str">
        <f t="shared" si="6"/>
        <v/>
      </c>
      <c r="N62" s="1" t="str">
        <f t="shared" si="7"/>
        <v/>
      </c>
      <c r="O62" s="1" t="str">
        <f t="shared" si="8"/>
        <v/>
      </c>
      <c r="P62" s="1" t="str">
        <f t="shared" si="9"/>
        <v/>
      </c>
      <c r="Q62" s="1" t="str">
        <f t="shared" si="10"/>
        <v/>
      </c>
      <c r="R62" s="1" t="str">
        <f t="shared" si="11"/>
        <v/>
      </c>
      <c r="S62" s="1" t="str">
        <f t="shared" si="12"/>
        <v/>
      </c>
      <c r="T62" s="1" t="str">
        <f t="shared" si="13"/>
        <v/>
      </c>
      <c r="U62" s="1" t="str">
        <f t="shared" si="14"/>
        <v/>
      </c>
      <c r="V62" s="1" t="str">
        <f t="shared" si="15"/>
        <v/>
      </c>
      <c r="W62" s="26" t="str">
        <f t="shared" si="16"/>
        <v/>
      </c>
      <c r="X62" s="13" t="str">
        <f t="shared" si="17"/>
        <v/>
      </c>
      <c r="Y62" s="9">
        <f t="shared" si="18"/>
        <v>0</v>
      </c>
    </row>
    <row r="63" spans="1:25" x14ac:dyDescent="0.25">
      <c r="A63" s="28"/>
      <c r="B63" s="29"/>
      <c r="C63" s="30"/>
      <c r="D63" s="31"/>
      <c r="E63" s="29" t="s">
        <v>16</v>
      </c>
      <c r="F63" s="13" t="b">
        <f>IF($E63=Categories!$A$1,"",IF($E63=Categories!$A$2,Categories!$B$2,IF($E63=Categories!$A$3,Categories!$B$3,IF($E63=Categories!$A$4,Categories!$B$4,IF($E63=Categories!$A$5,Categories!$B$5,IF($E63=Categories!$A$6,Categories!$B$6,IF($E63=Categories!$A$7,Categories!$B$7,IF($E63=Categories!$A$8,Categories!$B$8,IF($E63=Categories!$A$9,Categories!$B$9,IF($E63=Categories!$A$10,Categories!$B$10,IF($E63=Categories!$A$11,Categories!$B$11,IF($E63=Categories!$A$12,Categories!$B$12,IF($E63=Categories!$A$13,Categories!$B$13,IF($E63=Categories!$A$14,Categories!$B$14,IF($E63=Categories!$A$15,Categories!$B$15,IF($E63=Categories!$A$16,Categories!$B$16,IF($E63=Categories!$A$17,Categories!$B$17,IF($E63=Categories!$A$18,Categories!$B$18,IF($E63=Categories!$A$19,Categories!$B$19)))))))))))))))))))</f>
        <v>0</v>
      </c>
      <c r="G63" s="9" t="str">
        <f t="shared" si="0"/>
        <v/>
      </c>
      <c r="H63" s="1" t="str">
        <f t="shared" si="1"/>
        <v/>
      </c>
      <c r="I63" s="1" t="str">
        <f t="shared" si="2"/>
        <v/>
      </c>
      <c r="J63" s="1" t="str">
        <f t="shared" si="3"/>
        <v/>
      </c>
      <c r="K63" s="13" t="str">
        <f t="shared" si="4"/>
        <v/>
      </c>
      <c r="L63" s="9" t="str">
        <f t="shared" si="5"/>
        <v/>
      </c>
      <c r="M63" s="1" t="str">
        <f t="shared" si="6"/>
        <v/>
      </c>
      <c r="N63" s="1" t="str">
        <f t="shared" si="7"/>
        <v/>
      </c>
      <c r="O63" s="1" t="str">
        <f t="shared" si="8"/>
        <v/>
      </c>
      <c r="P63" s="1" t="str">
        <f t="shared" si="9"/>
        <v/>
      </c>
      <c r="Q63" s="1" t="str">
        <f t="shared" si="10"/>
        <v/>
      </c>
      <c r="R63" s="1" t="str">
        <f t="shared" si="11"/>
        <v/>
      </c>
      <c r="S63" s="1" t="str">
        <f t="shared" si="12"/>
        <v/>
      </c>
      <c r="T63" s="1" t="str">
        <f t="shared" si="13"/>
        <v/>
      </c>
      <c r="U63" s="1" t="str">
        <f t="shared" si="14"/>
        <v/>
      </c>
      <c r="V63" s="1" t="str">
        <f t="shared" si="15"/>
        <v/>
      </c>
      <c r="W63" s="26" t="str">
        <f t="shared" si="16"/>
        <v/>
      </c>
      <c r="X63" s="13" t="str">
        <f t="shared" si="17"/>
        <v/>
      </c>
      <c r="Y63" s="9">
        <f t="shared" si="18"/>
        <v>0</v>
      </c>
    </row>
    <row r="64" spans="1:25" x14ac:dyDescent="0.25">
      <c r="A64" s="28"/>
      <c r="B64" s="29"/>
      <c r="C64" s="30"/>
      <c r="D64" s="31"/>
      <c r="E64" s="29" t="s">
        <v>16</v>
      </c>
      <c r="F64" s="13" t="b">
        <f>IF($E64=Categories!$A$1,"",IF($E64=Categories!$A$2,Categories!$B$2,IF($E64=Categories!$A$3,Categories!$B$3,IF($E64=Categories!$A$4,Categories!$B$4,IF($E64=Categories!$A$5,Categories!$B$5,IF($E64=Categories!$A$6,Categories!$B$6,IF($E64=Categories!$A$7,Categories!$B$7,IF($E64=Categories!$A$8,Categories!$B$8,IF($E64=Categories!$A$9,Categories!$B$9,IF($E64=Categories!$A$10,Categories!$B$10,IF($E64=Categories!$A$11,Categories!$B$11,IF($E64=Categories!$A$12,Categories!$B$12,IF($E64=Categories!$A$13,Categories!$B$13,IF($E64=Categories!$A$14,Categories!$B$14,IF($E64=Categories!$A$15,Categories!$B$15,IF($E64=Categories!$A$16,Categories!$B$16,IF($E64=Categories!$A$17,Categories!$B$17,IF($E64=Categories!$A$18,Categories!$B$18,IF($E64=Categories!$A$19,Categories!$B$19)))))))))))))))))))</f>
        <v>0</v>
      </c>
      <c r="G64" s="9" t="str">
        <f t="shared" si="0"/>
        <v/>
      </c>
      <c r="H64" s="1" t="str">
        <f t="shared" si="1"/>
        <v/>
      </c>
      <c r="I64" s="1" t="str">
        <f t="shared" si="2"/>
        <v/>
      </c>
      <c r="J64" s="1" t="str">
        <f t="shared" si="3"/>
        <v/>
      </c>
      <c r="K64" s="13" t="str">
        <f t="shared" si="4"/>
        <v/>
      </c>
      <c r="L64" s="9" t="str">
        <f t="shared" si="5"/>
        <v/>
      </c>
      <c r="M64" s="1" t="str">
        <f t="shared" si="6"/>
        <v/>
      </c>
      <c r="N64" s="1" t="str">
        <f t="shared" si="7"/>
        <v/>
      </c>
      <c r="O64" s="1" t="str">
        <f t="shared" si="8"/>
        <v/>
      </c>
      <c r="P64" s="1" t="str">
        <f t="shared" si="9"/>
        <v/>
      </c>
      <c r="Q64" s="1" t="str">
        <f t="shared" si="10"/>
        <v/>
      </c>
      <c r="R64" s="1" t="str">
        <f t="shared" si="11"/>
        <v/>
      </c>
      <c r="S64" s="1" t="str">
        <f t="shared" si="12"/>
        <v/>
      </c>
      <c r="T64" s="1" t="str">
        <f t="shared" si="13"/>
        <v/>
      </c>
      <c r="U64" s="1" t="str">
        <f t="shared" si="14"/>
        <v/>
      </c>
      <c r="V64" s="1" t="str">
        <f t="shared" si="15"/>
        <v/>
      </c>
      <c r="W64" s="26" t="str">
        <f t="shared" si="16"/>
        <v/>
      </c>
      <c r="X64" s="13" t="str">
        <f t="shared" si="17"/>
        <v/>
      </c>
      <c r="Y64" s="9">
        <f t="shared" si="18"/>
        <v>0</v>
      </c>
    </row>
    <row r="65" spans="1:25" x14ac:dyDescent="0.25">
      <c r="A65" s="28"/>
      <c r="B65" s="29"/>
      <c r="C65" s="30"/>
      <c r="D65" s="31"/>
      <c r="E65" s="29" t="s">
        <v>16</v>
      </c>
      <c r="F65" s="13" t="b">
        <f>IF($E65=Categories!$A$1,"",IF($E65=Categories!$A$2,Categories!$B$2,IF($E65=Categories!$A$3,Categories!$B$3,IF($E65=Categories!$A$4,Categories!$B$4,IF($E65=Categories!$A$5,Categories!$B$5,IF($E65=Categories!$A$6,Categories!$B$6,IF($E65=Categories!$A$7,Categories!$B$7,IF($E65=Categories!$A$8,Categories!$B$8,IF($E65=Categories!$A$9,Categories!$B$9,IF($E65=Categories!$A$10,Categories!$B$10,IF($E65=Categories!$A$11,Categories!$B$11,IF($E65=Categories!$A$12,Categories!$B$12,IF($E65=Categories!$A$13,Categories!$B$13,IF($E65=Categories!$A$14,Categories!$B$14,IF($E65=Categories!$A$15,Categories!$B$15,IF($E65=Categories!$A$16,Categories!$B$16,IF($E65=Categories!$A$17,Categories!$B$17,IF($E65=Categories!$A$18,Categories!$B$18,IF($E65=Categories!$A$19,Categories!$B$19)))))))))))))))))))</f>
        <v>0</v>
      </c>
      <c r="G65" s="9" t="str">
        <f t="shared" si="0"/>
        <v/>
      </c>
      <c r="H65" s="1" t="str">
        <f t="shared" si="1"/>
        <v/>
      </c>
      <c r="I65" s="1" t="str">
        <f t="shared" si="2"/>
        <v/>
      </c>
      <c r="J65" s="1" t="str">
        <f t="shared" si="3"/>
        <v/>
      </c>
      <c r="K65" s="13" t="str">
        <f t="shared" si="4"/>
        <v/>
      </c>
      <c r="L65" s="9" t="str">
        <f t="shared" si="5"/>
        <v/>
      </c>
      <c r="M65" s="1" t="str">
        <f t="shared" si="6"/>
        <v/>
      </c>
      <c r="N65" s="1" t="str">
        <f t="shared" si="7"/>
        <v/>
      </c>
      <c r="O65" s="1" t="str">
        <f t="shared" si="8"/>
        <v/>
      </c>
      <c r="P65" s="1" t="str">
        <f t="shared" si="9"/>
        <v/>
      </c>
      <c r="Q65" s="1" t="str">
        <f t="shared" si="10"/>
        <v/>
      </c>
      <c r="R65" s="1" t="str">
        <f t="shared" si="11"/>
        <v/>
      </c>
      <c r="S65" s="1" t="str">
        <f t="shared" si="12"/>
        <v/>
      </c>
      <c r="T65" s="1" t="str">
        <f t="shared" si="13"/>
        <v/>
      </c>
      <c r="U65" s="1" t="str">
        <f t="shared" si="14"/>
        <v/>
      </c>
      <c r="V65" s="1" t="str">
        <f t="shared" si="15"/>
        <v/>
      </c>
      <c r="W65" s="26" t="str">
        <f t="shared" si="16"/>
        <v/>
      </c>
      <c r="X65" s="13" t="str">
        <f t="shared" si="17"/>
        <v/>
      </c>
      <c r="Y65" s="9">
        <f t="shared" si="18"/>
        <v>0</v>
      </c>
    </row>
    <row r="66" spans="1:25" x14ac:dyDescent="0.25">
      <c r="A66" s="28"/>
      <c r="B66" s="29"/>
      <c r="C66" s="30"/>
      <c r="D66" s="31"/>
      <c r="E66" s="29" t="s">
        <v>16</v>
      </c>
      <c r="F66" s="13" t="b">
        <f>IF($E66=Categories!$A$1,"",IF($E66=Categories!$A$2,Categories!$B$2,IF($E66=Categories!$A$3,Categories!$B$3,IF($E66=Categories!$A$4,Categories!$B$4,IF($E66=Categories!$A$5,Categories!$B$5,IF($E66=Categories!$A$6,Categories!$B$6,IF($E66=Categories!$A$7,Categories!$B$7,IF($E66=Categories!$A$8,Categories!$B$8,IF($E66=Categories!$A$9,Categories!$B$9,IF($E66=Categories!$A$10,Categories!$B$10,IF($E66=Categories!$A$11,Categories!$B$11,IF($E66=Categories!$A$12,Categories!$B$12,IF($E66=Categories!$A$13,Categories!$B$13,IF($E66=Categories!$A$14,Categories!$B$14,IF($E66=Categories!$A$15,Categories!$B$15,IF($E66=Categories!$A$16,Categories!$B$16,IF($E66=Categories!$A$17,Categories!$B$17,IF($E66=Categories!$A$18,Categories!$B$18,IF($E66=Categories!$A$19,Categories!$B$19)))))))))))))))))))</f>
        <v>0</v>
      </c>
      <c r="G66" s="9" t="str">
        <f t="shared" si="0"/>
        <v/>
      </c>
      <c r="H66" s="1" t="str">
        <f t="shared" si="1"/>
        <v/>
      </c>
      <c r="I66" s="1" t="str">
        <f t="shared" si="2"/>
        <v/>
      </c>
      <c r="J66" s="1" t="str">
        <f t="shared" si="3"/>
        <v/>
      </c>
      <c r="K66" s="13" t="str">
        <f t="shared" si="4"/>
        <v/>
      </c>
      <c r="L66" s="9" t="str">
        <f t="shared" si="5"/>
        <v/>
      </c>
      <c r="M66" s="1" t="str">
        <f t="shared" si="6"/>
        <v/>
      </c>
      <c r="N66" s="1" t="str">
        <f t="shared" si="7"/>
        <v/>
      </c>
      <c r="O66" s="1" t="str">
        <f t="shared" si="8"/>
        <v/>
      </c>
      <c r="P66" s="1" t="str">
        <f t="shared" si="9"/>
        <v/>
      </c>
      <c r="Q66" s="1" t="str">
        <f t="shared" si="10"/>
        <v/>
      </c>
      <c r="R66" s="1" t="str">
        <f t="shared" si="11"/>
        <v/>
      </c>
      <c r="S66" s="1" t="str">
        <f t="shared" si="12"/>
        <v/>
      </c>
      <c r="T66" s="1" t="str">
        <f t="shared" si="13"/>
        <v/>
      </c>
      <c r="U66" s="1" t="str">
        <f t="shared" si="14"/>
        <v/>
      </c>
      <c r="V66" s="1" t="str">
        <f t="shared" si="15"/>
        <v/>
      </c>
      <c r="W66" s="26" t="str">
        <f t="shared" si="16"/>
        <v/>
      </c>
      <c r="X66" s="13" t="str">
        <f t="shared" si="17"/>
        <v/>
      </c>
      <c r="Y66" s="9">
        <f t="shared" si="18"/>
        <v>0</v>
      </c>
    </row>
    <row r="67" spans="1:25" x14ac:dyDescent="0.25">
      <c r="A67" s="28"/>
      <c r="B67" s="29"/>
      <c r="C67" s="30"/>
      <c r="D67" s="31"/>
      <c r="E67" s="29" t="s">
        <v>16</v>
      </c>
      <c r="F67" s="13" t="b">
        <f>IF($E67=Categories!$A$1,"",IF($E67=Categories!$A$2,Categories!$B$2,IF($E67=Categories!$A$3,Categories!$B$3,IF($E67=Categories!$A$4,Categories!$B$4,IF($E67=Categories!$A$5,Categories!$B$5,IF($E67=Categories!$A$6,Categories!$B$6,IF($E67=Categories!$A$7,Categories!$B$7,IF($E67=Categories!$A$8,Categories!$B$8,IF($E67=Categories!$A$9,Categories!$B$9,IF($E67=Categories!$A$10,Categories!$B$10,IF($E67=Categories!$A$11,Categories!$B$11,IF($E67=Categories!$A$12,Categories!$B$12,IF($E67=Categories!$A$13,Categories!$B$13,IF($E67=Categories!$A$14,Categories!$B$14,IF($E67=Categories!$A$15,Categories!$B$15,IF($E67=Categories!$A$16,Categories!$B$16,IF($E67=Categories!$A$17,Categories!$B$17,IF($E67=Categories!$A$18,Categories!$B$18,IF($E67=Categories!$A$19,Categories!$B$19)))))))))))))))))))</f>
        <v>0</v>
      </c>
      <c r="G67" s="9" t="str">
        <f t="shared" si="0"/>
        <v/>
      </c>
      <c r="H67" s="1" t="str">
        <f t="shared" si="1"/>
        <v/>
      </c>
      <c r="I67" s="1" t="str">
        <f t="shared" si="2"/>
        <v/>
      </c>
      <c r="J67" s="1" t="str">
        <f t="shared" si="3"/>
        <v/>
      </c>
      <c r="K67" s="13" t="str">
        <f t="shared" si="4"/>
        <v/>
      </c>
      <c r="L67" s="9" t="str">
        <f t="shared" si="5"/>
        <v/>
      </c>
      <c r="M67" s="1" t="str">
        <f t="shared" si="6"/>
        <v/>
      </c>
      <c r="N67" s="1" t="str">
        <f t="shared" si="7"/>
        <v/>
      </c>
      <c r="O67" s="1" t="str">
        <f t="shared" si="8"/>
        <v/>
      </c>
      <c r="P67" s="1" t="str">
        <f t="shared" si="9"/>
        <v/>
      </c>
      <c r="Q67" s="1" t="str">
        <f t="shared" si="10"/>
        <v/>
      </c>
      <c r="R67" s="1" t="str">
        <f t="shared" si="11"/>
        <v/>
      </c>
      <c r="S67" s="1" t="str">
        <f t="shared" si="12"/>
        <v/>
      </c>
      <c r="T67" s="1" t="str">
        <f t="shared" si="13"/>
        <v/>
      </c>
      <c r="U67" s="1" t="str">
        <f t="shared" si="14"/>
        <v/>
      </c>
      <c r="V67" s="1" t="str">
        <f t="shared" si="15"/>
        <v/>
      </c>
      <c r="W67" s="26" t="str">
        <f t="shared" si="16"/>
        <v/>
      </c>
      <c r="X67" s="13" t="str">
        <f t="shared" si="17"/>
        <v/>
      </c>
      <c r="Y67" s="9">
        <f t="shared" si="18"/>
        <v>0</v>
      </c>
    </row>
    <row r="68" spans="1:25" x14ac:dyDescent="0.25">
      <c r="A68" s="28"/>
      <c r="B68" s="29"/>
      <c r="C68" s="30"/>
      <c r="D68" s="31"/>
      <c r="E68" s="29" t="s">
        <v>16</v>
      </c>
      <c r="F68" s="13" t="b">
        <f>IF($E68=Categories!$A$1,"",IF($E68=Categories!$A$2,Categories!$B$2,IF($E68=Categories!$A$3,Categories!$B$3,IF($E68=Categories!$A$4,Categories!$B$4,IF($E68=Categories!$A$5,Categories!$B$5,IF($E68=Categories!$A$6,Categories!$B$6,IF($E68=Categories!$A$7,Categories!$B$7,IF($E68=Categories!$A$8,Categories!$B$8,IF($E68=Categories!$A$9,Categories!$B$9,IF($E68=Categories!$A$10,Categories!$B$10,IF($E68=Categories!$A$11,Categories!$B$11,IF($E68=Categories!$A$12,Categories!$B$12,IF($E68=Categories!$A$13,Categories!$B$13,IF($E68=Categories!$A$14,Categories!$B$14,IF($E68=Categories!$A$15,Categories!$B$15,IF($E68=Categories!$A$16,Categories!$B$16,IF($E68=Categories!$A$17,Categories!$B$17,IF($E68=Categories!$A$18,Categories!$B$18,IF($E68=Categories!$A$19,Categories!$B$19)))))))))))))))))))</f>
        <v>0</v>
      </c>
      <c r="G68" s="9" t="str">
        <f t="shared" si="0"/>
        <v/>
      </c>
      <c r="H68" s="1" t="str">
        <f t="shared" si="1"/>
        <v/>
      </c>
      <c r="I68" s="1" t="str">
        <f t="shared" si="2"/>
        <v/>
      </c>
      <c r="J68" s="1" t="str">
        <f t="shared" si="3"/>
        <v/>
      </c>
      <c r="K68" s="13" t="str">
        <f t="shared" si="4"/>
        <v/>
      </c>
      <c r="L68" s="9" t="str">
        <f t="shared" si="5"/>
        <v/>
      </c>
      <c r="M68" s="1" t="str">
        <f t="shared" si="6"/>
        <v/>
      </c>
      <c r="N68" s="1" t="str">
        <f t="shared" si="7"/>
        <v/>
      </c>
      <c r="O68" s="1" t="str">
        <f t="shared" si="8"/>
        <v/>
      </c>
      <c r="P68" s="1" t="str">
        <f t="shared" si="9"/>
        <v/>
      </c>
      <c r="Q68" s="1" t="str">
        <f t="shared" si="10"/>
        <v/>
      </c>
      <c r="R68" s="1" t="str">
        <f t="shared" si="11"/>
        <v/>
      </c>
      <c r="S68" s="1" t="str">
        <f t="shared" si="12"/>
        <v/>
      </c>
      <c r="T68" s="1" t="str">
        <f t="shared" si="13"/>
        <v/>
      </c>
      <c r="U68" s="1" t="str">
        <f t="shared" si="14"/>
        <v/>
      </c>
      <c r="V68" s="1" t="str">
        <f t="shared" si="15"/>
        <v/>
      </c>
      <c r="W68" s="26" t="str">
        <f t="shared" si="16"/>
        <v/>
      </c>
      <c r="X68" s="13" t="str">
        <f t="shared" si="17"/>
        <v/>
      </c>
      <c r="Y68" s="9">
        <f t="shared" si="18"/>
        <v>0</v>
      </c>
    </row>
    <row r="69" spans="1:25" x14ac:dyDescent="0.25">
      <c r="A69" s="28"/>
      <c r="B69" s="29"/>
      <c r="C69" s="30"/>
      <c r="D69" s="31"/>
      <c r="E69" s="29" t="s">
        <v>16</v>
      </c>
      <c r="F69" s="13" t="b">
        <f>IF($E69=Categories!$A$1,"",IF($E69=Categories!$A$2,Categories!$B$2,IF($E69=Categories!$A$3,Categories!$B$3,IF($E69=Categories!$A$4,Categories!$B$4,IF($E69=Categories!$A$5,Categories!$B$5,IF($E69=Categories!$A$6,Categories!$B$6,IF($E69=Categories!$A$7,Categories!$B$7,IF($E69=Categories!$A$8,Categories!$B$8,IF($E69=Categories!$A$9,Categories!$B$9,IF($E69=Categories!$A$10,Categories!$B$10,IF($E69=Categories!$A$11,Categories!$B$11,IF($E69=Categories!$A$12,Categories!$B$12,IF($E69=Categories!$A$13,Categories!$B$13,IF($E69=Categories!$A$14,Categories!$B$14,IF($E69=Categories!$A$15,Categories!$B$15,IF($E69=Categories!$A$16,Categories!$B$16,IF($E69=Categories!$A$17,Categories!$B$17,IF($E69=Categories!$A$18,Categories!$B$18,IF($E69=Categories!$A$19,Categories!$B$19)))))))))))))))))))</f>
        <v>0</v>
      </c>
      <c r="G69" s="9" t="str">
        <f t="shared" si="0"/>
        <v/>
      </c>
      <c r="H69" s="1" t="str">
        <f t="shared" si="1"/>
        <v/>
      </c>
      <c r="I69" s="1" t="str">
        <f t="shared" si="2"/>
        <v/>
      </c>
      <c r="J69" s="1" t="str">
        <f t="shared" si="3"/>
        <v/>
      </c>
      <c r="K69" s="13" t="str">
        <f t="shared" si="4"/>
        <v/>
      </c>
      <c r="L69" s="9" t="str">
        <f t="shared" si="5"/>
        <v/>
      </c>
      <c r="M69" s="1" t="str">
        <f t="shared" si="6"/>
        <v/>
      </c>
      <c r="N69" s="1" t="str">
        <f t="shared" si="7"/>
        <v/>
      </c>
      <c r="O69" s="1" t="str">
        <f t="shared" si="8"/>
        <v/>
      </c>
      <c r="P69" s="1" t="str">
        <f t="shared" si="9"/>
        <v/>
      </c>
      <c r="Q69" s="1" t="str">
        <f t="shared" si="10"/>
        <v/>
      </c>
      <c r="R69" s="1" t="str">
        <f t="shared" si="11"/>
        <v/>
      </c>
      <c r="S69" s="1" t="str">
        <f t="shared" si="12"/>
        <v/>
      </c>
      <c r="T69" s="1" t="str">
        <f t="shared" si="13"/>
        <v/>
      </c>
      <c r="U69" s="1" t="str">
        <f t="shared" si="14"/>
        <v/>
      </c>
      <c r="V69" s="1" t="str">
        <f t="shared" si="15"/>
        <v/>
      </c>
      <c r="W69" s="26" t="str">
        <f t="shared" si="16"/>
        <v/>
      </c>
      <c r="X69" s="13" t="str">
        <f t="shared" si="17"/>
        <v/>
      </c>
      <c r="Y69" s="9">
        <f t="shared" si="18"/>
        <v>0</v>
      </c>
    </row>
    <row r="70" spans="1:25" x14ac:dyDescent="0.25">
      <c r="A70" s="28"/>
      <c r="B70" s="29"/>
      <c r="C70" s="30"/>
      <c r="D70" s="31"/>
      <c r="E70" s="29" t="s">
        <v>16</v>
      </c>
      <c r="F70" s="13" t="b">
        <f>IF($E70=Categories!$A$1,"",IF($E70=Categories!$A$2,Categories!$B$2,IF($E70=Categories!$A$3,Categories!$B$3,IF($E70=Categories!$A$4,Categories!$B$4,IF($E70=Categories!$A$5,Categories!$B$5,IF($E70=Categories!$A$6,Categories!$B$6,IF($E70=Categories!$A$7,Categories!$B$7,IF($E70=Categories!$A$8,Categories!$B$8,IF($E70=Categories!$A$9,Categories!$B$9,IF($E70=Categories!$A$10,Categories!$B$10,IF($E70=Categories!$A$11,Categories!$B$11,IF($E70=Categories!$A$12,Categories!$B$12,IF($E70=Categories!$A$13,Categories!$B$13,IF($E70=Categories!$A$14,Categories!$B$14,IF($E70=Categories!$A$15,Categories!$B$15,IF($E70=Categories!$A$16,Categories!$B$16,IF($E70=Categories!$A$17,Categories!$B$17,IF($E70=Categories!$A$18,Categories!$B$18,IF($E70=Categories!$A$19,Categories!$B$19)))))))))))))))))))</f>
        <v>0</v>
      </c>
      <c r="G70" s="9" t="str">
        <f t="shared" si="0"/>
        <v/>
      </c>
      <c r="H70" s="1" t="str">
        <f t="shared" si="1"/>
        <v/>
      </c>
      <c r="I70" s="1" t="str">
        <f t="shared" si="2"/>
        <v/>
      </c>
      <c r="J70" s="1" t="str">
        <f t="shared" si="3"/>
        <v/>
      </c>
      <c r="K70" s="13" t="str">
        <f t="shared" si="4"/>
        <v/>
      </c>
      <c r="L70" s="9" t="str">
        <f t="shared" si="5"/>
        <v/>
      </c>
      <c r="M70" s="1" t="str">
        <f t="shared" si="6"/>
        <v/>
      </c>
      <c r="N70" s="1" t="str">
        <f t="shared" si="7"/>
        <v/>
      </c>
      <c r="O70" s="1" t="str">
        <f t="shared" si="8"/>
        <v/>
      </c>
      <c r="P70" s="1" t="str">
        <f t="shared" si="9"/>
        <v/>
      </c>
      <c r="Q70" s="1" t="str">
        <f t="shared" si="10"/>
        <v/>
      </c>
      <c r="R70" s="1" t="str">
        <f t="shared" si="11"/>
        <v/>
      </c>
      <c r="S70" s="1" t="str">
        <f t="shared" si="12"/>
        <v/>
      </c>
      <c r="T70" s="1" t="str">
        <f t="shared" si="13"/>
        <v/>
      </c>
      <c r="U70" s="1" t="str">
        <f t="shared" si="14"/>
        <v/>
      </c>
      <c r="V70" s="1" t="str">
        <f t="shared" si="15"/>
        <v/>
      </c>
      <c r="W70" s="26" t="str">
        <f t="shared" si="16"/>
        <v/>
      </c>
      <c r="X70" s="13" t="str">
        <f t="shared" si="17"/>
        <v/>
      </c>
      <c r="Y70" s="9">
        <f t="shared" si="18"/>
        <v>0</v>
      </c>
    </row>
    <row r="71" spans="1:25" x14ac:dyDescent="0.25">
      <c r="A71" s="28"/>
      <c r="B71" s="29"/>
      <c r="C71" s="30"/>
      <c r="D71" s="31"/>
      <c r="E71" s="29" t="s">
        <v>16</v>
      </c>
      <c r="F71" s="13" t="b">
        <f>IF($E71=Categories!$A$1,"",IF($E71=Categories!$A$2,Categories!$B$2,IF($E71=Categories!$A$3,Categories!$B$3,IF($E71=Categories!$A$4,Categories!$B$4,IF($E71=Categories!$A$5,Categories!$B$5,IF($E71=Categories!$A$6,Categories!$B$6,IF($E71=Categories!$A$7,Categories!$B$7,IF($E71=Categories!$A$8,Categories!$B$8,IF($E71=Categories!$A$9,Categories!$B$9,IF($E71=Categories!$A$10,Categories!$B$10,IF($E71=Categories!$A$11,Categories!$B$11,IF($E71=Categories!$A$12,Categories!$B$12,IF($E71=Categories!$A$13,Categories!$B$13,IF($E71=Categories!$A$14,Categories!$B$14,IF($E71=Categories!$A$15,Categories!$B$15,IF($E71=Categories!$A$16,Categories!$B$16,IF($E71=Categories!$A$17,Categories!$B$17,IF($E71=Categories!$A$18,Categories!$B$18,IF($E71=Categories!$A$19,Categories!$B$19)))))))))))))))))))</f>
        <v>0</v>
      </c>
      <c r="G71" s="9" t="str">
        <f t="shared" ref="G71:G95" si="19">IF($F71="Inc1",$D71,"")</f>
        <v/>
      </c>
      <c r="H71" s="1" t="str">
        <f t="shared" ref="H71:H95" si="20">IF($F71="Inc2",$D71,"")</f>
        <v/>
      </c>
      <c r="I71" s="1" t="str">
        <f t="shared" ref="I71:I95" si="21">IF($F71="Int",$D71,"")</f>
        <v/>
      </c>
      <c r="J71" s="1" t="str">
        <f t="shared" ref="J71:J95" si="22">IF($F71="Inc4",$D71,"")</f>
        <v/>
      </c>
      <c r="K71" s="13" t="str">
        <f t="shared" ref="K71:K95" si="23">IF($F71="Inc5",$D71,"")</f>
        <v/>
      </c>
      <c r="L71" s="9" t="str">
        <f t="shared" ref="L71:L95" si="24">IF($F71="ExpA",$D71,"")</f>
        <v/>
      </c>
      <c r="M71" s="1" t="str">
        <f t="shared" ref="M71:M95" si="25">IF($F71="ExpB",$D71,"")</f>
        <v/>
      </c>
      <c r="N71" s="1" t="str">
        <f t="shared" ref="N71:N95" si="26">IF($F71="ExpC",$D71,"")</f>
        <v/>
      </c>
      <c r="O71" s="1" t="str">
        <f t="shared" ref="O71:O95" si="27">IF($F71="ExpD",$D71,"")</f>
        <v/>
      </c>
      <c r="P71" s="1" t="str">
        <f t="shared" ref="P71:P95" si="28">IF($F71="ExpE",$D71,"")</f>
        <v/>
      </c>
      <c r="Q71" s="1" t="str">
        <f t="shared" ref="Q71:Q95" si="29">IF($F71="ExpF",$D71,"")</f>
        <v/>
      </c>
      <c r="R71" s="1" t="str">
        <f t="shared" ref="R71:R95" si="30">IF($F71="ExpG",$D71,"")</f>
        <v/>
      </c>
      <c r="S71" s="1" t="str">
        <f t="shared" ref="S71:S95" si="31">IF($F71="ExpH",$D71,"")</f>
        <v/>
      </c>
      <c r="T71" s="1" t="str">
        <f t="shared" ref="T71:T95" si="32">IF($F71="ExpI",$D71,"")</f>
        <v/>
      </c>
      <c r="U71" s="1" t="str">
        <f t="shared" ref="U71:U95" si="33">IF($F71="ExpJ",$D71,"")</f>
        <v/>
      </c>
      <c r="V71" s="1" t="str">
        <f t="shared" ref="V71:V95" si="34">IF($F71="ExpK",$D71,"")</f>
        <v/>
      </c>
      <c r="W71" s="26" t="str">
        <f t="shared" ref="W71:W95" si="35">IF($F71="ExpL",$D71,"")</f>
        <v/>
      </c>
      <c r="X71" s="13" t="str">
        <f t="shared" ref="X71:X95" si="36">IF($F71="Expm",$D71,"")</f>
        <v/>
      </c>
      <c r="Y71" s="9">
        <f t="shared" si="18"/>
        <v>0</v>
      </c>
    </row>
    <row r="72" spans="1:25" x14ac:dyDescent="0.25">
      <c r="A72" s="28"/>
      <c r="B72" s="29"/>
      <c r="C72" s="30"/>
      <c r="D72" s="31"/>
      <c r="E72" s="29" t="s">
        <v>16</v>
      </c>
      <c r="F72" s="13" t="b">
        <f>IF($E72=Categories!$A$1,"",IF($E72=Categories!$A$2,Categories!$B$2,IF($E72=Categories!$A$3,Categories!$B$3,IF($E72=Categories!$A$4,Categories!$B$4,IF($E72=Categories!$A$5,Categories!$B$5,IF($E72=Categories!$A$6,Categories!$B$6,IF($E72=Categories!$A$7,Categories!$B$7,IF($E72=Categories!$A$8,Categories!$B$8,IF($E72=Categories!$A$9,Categories!$B$9,IF($E72=Categories!$A$10,Categories!$B$10,IF($E72=Categories!$A$11,Categories!$B$11,IF($E72=Categories!$A$12,Categories!$B$12,IF($E72=Categories!$A$13,Categories!$B$13,IF($E72=Categories!$A$14,Categories!$B$14,IF($E72=Categories!$A$15,Categories!$B$15,IF($E72=Categories!$A$16,Categories!$B$16,IF($E72=Categories!$A$17,Categories!$B$17,IF($E72=Categories!$A$18,Categories!$B$18,IF($E72=Categories!$A$19,Categories!$B$19)))))))))))))))))))</f>
        <v>0</v>
      </c>
      <c r="G72" s="9" t="str">
        <f t="shared" si="19"/>
        <v/>
      </c>
      <c r="H72" s="1" t="str">
        <f t="shared" si="20"/>
        <v/>
      </c>
      <c r="I72" s="1" t="str">
        <f t="shared" si="21"/>
        <v/>
      </c>
      <c r="J72" s="1" t="str">
        <f t="shared" si="22"/>
        <v/>
      </c>
      <c r="K72" s="13" t="str">
        <f t="shared" si="23"/>
        <v/>
      </c>
      <c r="L72" s="9" t="str">
        <f t="shared" si="24"/>
        <v/>
      </c>
      <c r="M72" s="1" t="str">
        <f t="shared" si="25"/>
        <v/>
      </c>
      <c r="N72" s="1" t="str">
        <f t="shared" si="26"/>
        <v/>
      </c>
      <c r="O72" s="1" t="str">
        <f t="shared" si="27"/>
        <v/>
      </c>
      <c r="P72" s="1" t="str">
        <f t="shared" si="28"/>
        <v/>
      </c>
      <c r="Q72" s="1" t="str">
        <f t="shared" si="29"/>
        <v/>
      </c>
      <c r="R72" s="1" t="str">
        <f t="shared" si="30"/>
        <v/>
      </c>
      <c r="S72" s="1" t="str">
        <f t="shared" si="31"/>
        <v/>
      </c>
      <c r="T72" s="1" t="str">
        <f t="shared" si="32"/>
        <v/>
      </c>
      <c r="U72" s="1" t="str">
        <f t="shared" si="33"/>
        <v/>
      </c>
      <c r="V72" s="1" t="str">
        <f t="shared" si="34"/>
        <v/>
      </c>
      <c r="W72" s="26" t="str">
        <f t="shared" si="35"/>
        <v/>
      </c>
      <c r="X72" s="13" t="str">
        <f t="shared" si="36"/>
        <v/>
      </c>
      <c r="Y72" s="9">
        <f t="shared" ref="Y72:Y95" si="37">Y71+SUM(G72:K72)-SUM(L72:X72)</f>
        <v>0</v>
      </c>
    </row>
    <row r="73" spans="1:25" x14ac:dyDescent="0.25">
      <c r="A73" s="28"/>
      <c r="B73" s="29"/>
      <c r="C73" s="30"/>
      <c r="D73" s="31"/>
      <c r="E73" s="29" t="s">
        <v>16</v>
      </c>
      <c r="F73" s="13" t="b">
        <f>IF($E73=Categories!$A$1,"",IF($E73=Categories!$A$2,Categories!$B$2,IF($E73=Categories!$A$3,Categories!$B$3,IF($E73=Categories!$A$4,Categories!$B$4,IF($E73=Categories!$A$5,Categories!$B$5,IF($E73=Categories!$A$6,Categories!$B$6,IF($E73=Categories!$A$7,Categories!$B$7,IF($E73=Categories!$A$8,Categories!$B$8,IF($E73=Categories!$A$9,Categories!$B$9,IF($E73=Categories!$A$10,Categories!$B$10,IF($E73=Categories!$A$11,Categories!$B$11,IF($E73=Categories!$A$12,Categories!$B$12,IF($E73=Categories!$A$13,Categories!$B$13,IF($E73=Categories!$A$14,Categories!$B$14,IF($E73=Categories!$A$15,Categories!$B$15,IF($E73=Categories!$A$16,Categories!$B$16,IF($E73=Categories!$A$17,Categories!$B$17,IF($E73=Categories!$A$18,Categories!$B$18,IF($E73=Categories!$A$19,Categories!$B$19)))))))))))))))))))</f>
        <v>0</v>
      </c>
      <c r="G73" s="9" t="str">
        <f t="shared" si="19"/>
        <v/>
      </c>
      <c r="H73" s="1" t="str">
        <f t="shared" si="20"/>
        <v/>
      </c>
      <c r="I73" s="1" t="str">
        <f t="shared" si="21"/>
        <v/>
      </c>
      <c r="J73" s="1" t="str">
        <f t="shared" si="22"/>
        <v/>
      </c>
      <c r="K73" s="13" t="str">
        <f t="shared" si="23"/>
        <v/>
      </c>
      <c r="L73" s="9" t="str">
        <f t="shared" si="24"/>
        <v/>
      </c>
      <c r="M73" s="1" t="str">
        <f t="shared" si="25"/>
        <v/>
      </c>
      <c r="N73" s="1" t="str">
        <f t="shared" si="26"/>
        <v/>
      </c>
      <c r="O73" s="1" t="str">
        <f t="shared" si="27"/>
        <v/>
      </c>
      <c r="P73" s="1" t="str">
        <f t="shared" si="28"/>
        <v/>
      </c>
      <c r="Q73" s="1" t="str">
        <f t="shared" si="29"/>
        <v/>
      </c>
      <c r="R73" s="1" t="str">
        <f t="shared" si="30"/>
        <v/>
      </c>
      <c r="S73" s="1" t="str">
        <f t="shared" si="31"/>
        <v/>
      </c>
      <c r="T73" s="1" t="str">
        <f t="shared" si="32"/>
        <v/>
      </c>
      <c r="U73" s="1" t="str">
        <f t="shared" si="33"/>
        <v/>
      </c>
      <c r="V73" s="1" t="str">
        <f t="shared" si="34"/>
        <v/>
      </c>
      <c r="W73" s="26" t="str">
        <f t="shared" si="35"/>
        <v/>
      </c>
      <c r="X73" s="13" t="str">
        <f t="shared" si="36"/>
        <v/>
      </c>
      <c r="Y73" s="9">
        <f t="shared" si="37"/>
        <v>0</v>
      </c>
    </row>
    <row r="74" spans="1:25" x14ac:dyDescent="0.25">
      <c r="A74" s="28"/>
      <c r="B74" s="29"/>
      <c r="C74" s="30"/>
      <c r="D74" s="31"/>
      <c r="E74" s="29" t="s">
        <v>16</v>
      </c>
      <c r="F74" s="13" t="b">
        <f>IF($E74=Categories!$A$1,"",IF($E74=Categories!$A$2,Categories!$B$2,IF($E74=Categories!$A$3,Categories!$B$3,IF($E74=Categories!$A$4,Categories!$B$4,IF($E74=Categories!$A$5,Categories!$B$5,IF($E74=Categories!$A$6,Categories!$B$6,IF($E74=Categories!$A$7,Categories!$B$7,IF($E74=Categories!$A$8,Categories!$B$8,IF($E74=Categories!$A$9,Categories!$B$9,IF($E74=Categories!$A$10,Categories!$B$10,IF($E74=Categories!$A$11,Categories!$B$11,IF($E74=Categories!$A$12,Categories!$B$12,IF($E74=Categories!$A$13,Categories!$B$13,IF($E74=Categories!$A$14,Categories!$B$14,IF($E74=Categories!$A$15,Categories!$B$15,IF($E74=Categories!$A$16,Categories!$B$16,IF($E74=Categories!$A$17,Categories!$B$17,IF($E74=Categories!$A$18,Categories!$B$18,IF($E74=Categories!$A$19,Categories!$B$19)))))))))))))))))))</f>
        <v>0</v>
      </c>
      <c r="G74" s="9" t="str">
        <f t="shared" si="19"/>
        <v/>
      </c>
      <c r="H74" s="1" t="str">
        <f t="shared" si="20"/>
        <v/>
      </c>
      <c r="I74" s="1" t="str">
        <f t="shared" si="21"/>
        <v/>
      </c>
      <c r="J74" s="1" t="str">
        <f t="shared" si="22"/>
        <v/>
      </c>
      <c r="K74" s="13" t="str">
        <f t="shared" si="23"/>
        <v/>
      </c>
      <c r="L74" s="9" t="str">
        <f t="shared" si="24"/>
        <v/>
      </c>
      <c r="M74" s="1" t="str">
        <f t="shared" si="25"/>
        <v/>
      </c>
      <c r="N74" s="1" t="str">
        <f t="shared" si="26"/>
        <v/>
      </c>
      <c r="O74" s="1" t="str">
        <f t="shared" si="27"/>
        <v/>
      </c>
      <c r="P74" s="1" t="str">
        <f t="shared" si="28"/>
        <v/>
      </c>
      <c r="Q74" s="1" t="str">
        <f t="shared" si="29"/>
        <v/>
      </c>
      <c r="R74" s="1" t="str">
        <f t="shared" si="30"/>
        <v/>
      </c>
      <c r="S74" s="1" t="str">
        <f t="shared" si="31"/>
        <v/>
      </c>
      <c r="T74" s="1" t="str">
        <f t="shared" si="32"/>
        <v/>
      </c>
      <c r="U74" s="1" t="str">
        <f t="shared" si="33"/>
        <v/>
      </c>
      <c r="V74" s="1" t="str">
        <f t="shared" si="34"/>
        <v/>
      </c>
      <c r="W74" s="26" t="str">
        <f t="shared" si="35"/>
        <v/>
      </c>
      <c r="X74" s="13" t="str">
        <f t="shared" si="36"/>
        <v/>
      </c>
      <c r="Y74" s="9">
        <f t="shared" si="37"/>
        <v>0</v>
      </c>
    </row>
    <row r="75" spans="1:25" x14ac:dyDescent="0.25">
      <c r="A75" s="28"/>
      <c r="B75" s="29"/>
      <c r="C75" s="30"/>
      <c r="D75" s="31"/>
      <c r="E75" s="29" t="s">
        <v>16</v>
      </c>
      <c r="F75" s="13" t="b">
        <f>IF($E75=Categories!$A$1,"",IF($E75=Categories!$A$2,Categories!$B$2,IF($E75=Categories!$A$3,Categories!$B$3,IF($E75=Categories!$A$4,Categories!$B$4,IF($E75=Categories!$A$5,Categories!$B$5,IF($E75=Categories!$A$6,Categories!$B$6,IF($E75=Categories!$A$7,Categories!$B$7,IF($E75=Categories!$A$8,Categories!$B$8,IF($E75=Categories!$A$9,Categories!$B$9,IF($E75=Categories!$A$10,Categories!$B$10,IF($E75=Categories!$A$11,Categories!$B$11,IF($E75=Categories!$A$12,Categories!$B$12,IF($E75=Categories!$A$13,Categories!$B$13,IF($E75=Categories!$A$14,Categories!$B$14,IF($E75=Categories!$A$15,Categories!$B$15,IF($E75=Categories!$A$16,Categories!$B$16,IF($E75=Categories!$A$17,Categories!$B$17,IF($E75=Categories!$A$18,Categories!$B$18,IF($E75=Categories!$A$19,Categories!$B$19)))))))))))))))))))</f>
        <v>0</v>
      </c>
      <c r="G75" s="9" t="str">
        <f t="shared" si="19"/>
        <v/>
      </c>
      <c r="H75" s="1" t="str">
        <f t="shared" si="20"/>
        <v/>
      </c>
      <c r="I75" s="1" t="str">
        <f t="shared" si="21"/>
        <v/>
      </c>
      <c r="J75" s="1" t="str">
        <f t="shared" si="22"/>
        <v/>
      </c>
      <c r="K75" s="13" t="str">
        <f t="shared" si="23"/>
        <v/>
      </c>
      <c r="L75" s="9" t="str">
        <f t="shared" si="24"/>
        <v/>
      </c>
      <c r="M75" s="1" t="str">
        <f t="shared" si="25"/>
        <v/>
      </c>
      <c r="N75" s="1" t="str">
        <f t="shared" si="26"/>
        <v/>
      </c>
      <c r="O75" s="1" t="str">
        <f t="shared" si="27"/>
        <v/>
      </c>
      <c r="P75" s="1" t="str">
        <f t="shared" si="28"/>
        <v/>
      </c>
      <c r="Q75" s="1" t="str">
        <f t="shared" si="29"/>
        <v/>
      </c>
      <c r="R75" s="1" t="str">
        <f t="shared" si="30"/>
        <v/>
      </c>
      <c r="S75" s="1" t="str">
        <f t="shared" si="31"/>
        <v/>
      </c>
      <c r="T75" s="1" t="str">
        <f t="shared" si="32"/>
        <v/>
      </c>
      <c r="U75" s="1" t="str">
        <f t="shared" si="33"/>
        <v/>
      </c>
      <c r="V75" s="1" t="str">
        <f t="shared" si="34"/>
        <v/>
      </c>
      <c r="W75" s="26" t="str">
        <f t="shared" si="35"/>
        <v/>
      </c>
      <c r="X75" s="13" t="str">
        <f t="shared" si="36"/>
        <v/>
      </c>
      <c r="Y75" s="9">
        <f t="shared" si="37"/>
        <v>0</v>
      </c>
    </row>
    <row r="76" spans="1:25" x14ac:dyDescent="0.25">
      <c r="A76" s="28"/>
      <c r="B76" s="29"/>
      <c r="C76" s="30"/>
      <c r="D76" s="31"/>
      <c r="E76" s="29" t="s">
        <v>16</v>
      </c>
      <c r="F76" s="13" t="b">
        <f>IF($E76=Categories!$A$1,"",IF($E76=Categories!$A$2,Categories!$B$2,IF($E76=Categories!$A$3,Categories!$B$3,IF($E76=Categories!$A$4,Categories!$B$4,IF($E76=Categories!$A$5,Categories!$B$5,IF($E76=Categories!$A$6,Categories!$B$6,IF($E76=Categories!$A$7,Categories!$B$7,IF($E76=Categories!$A$8,Categories!$B$8,IF($E76=Categories!$A$9,Categories!$B$9,IF($E76=Categories!$A$10,Categories!$B$10,IF($E76=Categories!$A$11,Categories!$B$11,IF($E76=Categories!$A$12,Categories!$B$12,IF($E76=Categories!$A$13,Categories!$B$13,IF($E76=Categories!$A$14,Categories!$B$14,IF($E76=Categories!$A$15,Categories!$B$15,IF($E76=Categories!$A$16,Categories!$B$16,IF($E76=Categories!$A$17,Categories!$B$17,IF($E76=Categories!$A$18,Categories!$B$18,IF($E76=Categories!$A$19,Categories!$B$19)))))))))))))))))))</f>
        <v>0</v>
      </c>
      <c r="G76" s="9" t="str">
        <f t="shared" si="19"/>
        <v/>
      </c>
      <c r="H76" s="1" t="str">
        <f t="shared" si="20"/>
        <v/>
      </c>
      <c r="I76" s="1" t="str">
        <f t="shared" si="21"/>
        <v/>
      </c>
      <c r="J76" s="1" t="str">
        <f t="shared" si="22"/>
        <v/>
      </c>
      <c r="K76" s="13" t="str">
        <f t="shared" si="23"/>
        <v/>
      </c>
      <c r="L76" s="9" t="str">
        <f t="shared" si="24"/>
        <v/>
      </c>
      <c r="M76" s="1" t="str">
        <f t="shared" si="25"/>
        <v/>
      </c>
      <c r="N76" s="1" t="str">
        <f t="shared" si="26"/>
        <v/>
      </c>
      <c r="O76" s="1" t="str">
        <f t="shared" si="27"/>
        <v/>
      </c>
      <c r="P76" s="1" t="str">
        <f t="shared" si="28"/>
        <v/>
      </c>
      <c r="Q76" s="1" t="str">
        <f t="shared" si="29"/>
        <v/>
      </c>
      <c r="R76" s="1" t="str">
        <f t="shared" si="30"/>
        <v/>
      </c>
      <c r="S76" s="1" t="str">
        <f t="shared" si="31"/>
        <v/>
      </c>
      <c r="T76" s="1" t="str">
        <f t="shared" si="32"/>
        <v/>
      </c>
      <c r="U76" s="1" t="str">
        <f t="shared" si="33"/>
        <v/>
      </c>
      <c r="V76" s="1" t="str">
        <f t="shared" si="34"/>
        <v/>
      </c>
      <c r="W76" s="26" t="str">
        <f t="shared" si="35"/>
        <v/>
      </c>
      <c r="X76" s="13" t="str">
        <f t="shared" si="36"/>
        <v/>
      </c>
      <c r="Y76" s="9">
        <f t="shared" si="37"/>
        <v>0</v>
      </c>
    </row>
    <row r="77" spans="1:25" x14ac:dyDescent="0.25">
      <c r="A77" s="28"/>
      <c r="B77" s="29"/>
      <c r="C77" s="30"/>
      <c r="D77" s="31"/>
      <c r="E77" s="29" t="s">
        <v>16</v>
      </c>
      <c r="F77" s="13" t="b">
        <f>IF($E77=Categories!$A$1,"",IF($E77=Categories!$A$2,Categories!$B$2,IF($E77=Categories!$A$3,Categories!$B$3,IF($E77=Categories!$A$4,Categories!$B$4,IF($E77=Categories!$A$5,Categories!$B$5,IF($E77=Categories!$A$6,Categories!$B$6,IF($E77=Categories!$A$7,Categories!$B$7,IF($E77=Categories!$A$8,Categories!$B$8,IF($E77=Categories!$A$9,Categories!$B$9,IF($E77=Categories!$A$10,Categories!$B$10,IF($E77=Categories!$A$11,Categories!$B$11,IF($E77=Categories!$A$12,Categories!$B$12,IF($E77=Categories!$A$13,Categories!$B$13,IF($E77=Categories!$A$14,Categories!$B$14,IF($E77=Categories!$A$15,Categories!$B$15,IF($E77=Categories!$A$16,Categories!$B$16,IF($E77=Categories!$A$17,Categories!$B$17,IF($E77=Categories!$A$18,Categories!$B$18,IF($E77=Categories!$A$19,Categories!$B$19)))))))))))))))))))</f>
        <v>0</v>
      </c>
      <c r="G77" s="9" t="str">
        <f t="shared" si="19"/>
        <v/>
      </c>
      <c r="H77" s="1" t="str">
        <f t="shared" si="20"/>
        <v/>
      </c>
      <c r="I77" s="1" t="str">
        <f t="shared" si="21"/>
        <v/>
      </c>
      <c r="J77" s="1" t="str">
        <f t="shared" si="22"/>
        <v/>
      </c>
      <c r="K77" s="13" t="str">
        <f t="shared" si="23"/>
        <v/>
      </c>
      <c r="L77" s="9" t="str">
        <f t="shared" si="24"/>
        <v/>
      </c>
      <c r="M77" s="1" t="str">
        <f t="shared" si="25"/>
        <v/>
      </c>
      <c r="N77" s="1" t="str">
        <f t="shared" si="26"/>
        <v/>
      </c>
      <c r="O77" s="1" t="str">
        <f t="shared" si="27"/>
        <v/>
      </c>
      <c r="P77" s="1" t="str">
        <f t="shared" si="28"/>
        <v/>
      </c>
      <c r="Q77" s="1" t="str">
        <f t="shared" si="29"/>
        <v/>
      </c>
      <c r="R77" s="1" t="str">
        <f t="shared" si="30"/>
        <v/>
      </c>
      <c r="S77" s="1" t="str">
        <f t="shared" si="31"/>
        <v/>
      </c>
      <c r="T77" s="1" t="str">
        <f t="shared" si="32"/>
        <v/>
      </c>
      <c r="U77" s="1" t="str">
        <f t="shared" si="33"/>
        <v/>
      </c>
      <c r="V77" s="1" t="str">
        <f t="shared" si="34"/>
        <v/>
      </c>
      <c r="W77" s="26" t="str">
        <f t="shared" si="35"/>
        <v/>
      </c>
      <c r="X77" s="13" t="str">
        <f t="shared" si="36"/>
        <v/>
      </c>
      <c r="Y77" s="9">
        <f t="shared" si="37"/>
        <v>0</v>
      </c>
    </row>
    <row r="78" spans="1:25" x14ac:dyDescent="0.25">
      <c r="A78" s="28"/>
      <c r="B78" s="29"/>
      <c r="C78" s="30"/>
      <c r="D78" s="31"/>
      <c r="E78" s="29" t="s">
        <v>16</v>
      </c>
      <c r="F78" s="13" t="b">
        <f>IF($E78=Categories!$A$1,"",IF($E78=Categories!$A$2,Categories!$B$2,IF($E78=Categories!$A$3,Categories!$B$3,IF($E78=Categories!$A$4,Categories!$B$4,IF($E78=Categories!$A$5,Categories!$B$5,IF($E78=Categories!$A$6,Categories!$B$6,IF($E78=Categories!$A$7,Categories!$B$7,IF($E78=Categories!$A$8,Categories!$B$8,IF($E78=Categories!$A$9,Categories!$B$9,IF($E78=Categories!$A$10,Categories!$B$10,IF($E78=Categories!$A$11,Categories!$B$11,IF($E78=Categories!$A$12,Categories!$B$12,IF($E78=Categories!$A$13,Categories!$B$13,IF($E78=Categories!$A$14,Categories!$B$14,IF($E78=Categories!$A$15,Categories!$B$15,IF($E78=Categories!$A$16,Categories!$B$16,IF($E78=Categories!$A$17,Categories!$B$17,IF($E78=Categories!$A$18,Categories!$B$18,IF($E78=Categories!$A$19,Categories!$B$19)))))))))))))))))))</f>
        <v>0</v>
      </c>
      <c r="G78" s="9" t="str">
        <f t="shared" si="19"/>
        <v/>
      </c>
      <c r="H78" s="1" t="str">
        <f t="shared" si="20"/>
        <v/>
      </c>
      <c r="I78" s="1" t="str">
        <f t="shared" si="21"/>
        <v/>
      </c>
      <c r="J78" s="1" t="str">
        <f t="shared" si="22"/>
        <v/>
      </c>
      <c r="K78" s="13" t="str">
        <f t="shared" si="23"/>
        <v/>
      </c>
      <c r="L78" s="9" t="str">
        <f t="shared" si="24"/>
        <v/>
      </c>
      <c r="M78" s="1" t="str">
        <f t="shared" si="25"/>
        <v/>
      </c>
      <c r="N78" s="1" t="str">
        <f t="shared" si="26"/>
        <v/>
      </c>
      <c r="O78" s="1" t="str">
        <f t="shared" si="27"/>
        <v/>
      </c>
      <c r="P78" s="1" t="str">
        <f t="shared" si="28"/>
        <v/>
      </c>
      <c r="Q78" s="1" t="str">
        <f t="shared" si="29"/>
        <v/>
      </c>
      <c r="R78" s="1" t="str">
        <f t="shared" si="30"/>
        <v/>
      </c>
      <c r="S78" s="1" t="str">
        <f t="shared" si="31"/>
        <v/>
      </c>
      <c r="T78" s="1" t="str">
        <f t="shared" si="32"/>
        <v/>
      </c>
      <c r="U78" s="1" t="str">
        <f t="shared" si="33"/>
        <v/>
      </c>
      <c r="V78" s="1" t="str">
        <f t="shared" si="34"/>
        <v/>
      </c>
      <c r="W78" s="26" t="str">
        <f t="shared" si="35"/>
        <v/>
      </c>
      <c r="X78" s="13" t="str">
        <f t="shared" si="36"/>
        <v/>
      </c>
      <c r="Y78" s="9">
        <f t="shared" si="37"/>
        <v>0</v>
      </c>
    </row>
    <row r="79" spans="1:25" x14ac:dyDescent="0.25">
      <c r="A79" s="28"/>
      <c r="B79" s="29"/>
      <c r="C79" s="30"/>
      <c r="D79" s="31"/>
      <c r="E79" s="29" t="s">
        <v>16</v>
      </c>
      <c r="F79" s="13" t="b">
        <f>IF($E79=Categories!$A$1,"",IF($E79=Categories!$A$2,Categories!$B$2,IF($E79=Categories!$A$3,Categories!$B$3,IF($E79=Categories!$A$4,Categories!$B$4,IF($E79=Categories!$A$5,Categories!$B$5,IF($E79=Categories!$A$6,Categories!$B$6,IF($E79=Categories!$A$7,Categories!$B$7,IF($E79=Categories!$A$8,Categories!$B$8,IF($E79=Categories!$A$9,Categories!$B$9,IF($E79=Categories!$A$10,Categories!$B$10,IF($E79=Categories!$A$11,Categories!$B$11,IF($E79=Categories!$A$12,Categories!$B$12,IF($E79=Categories!$A$13,Categories!$B$13,IF($E79=Categories!$A$14,Categories!$B$14,IF($E79=Categories!$A$15,Categories!$B$15,IF($E79=Categories!$A$16,Categories!$B$16,IF($E79=Categories!$A$17,Categories!$B$17,IF($E79=Categories!$A$18,Categories!$B$18,IF($E79=Categories!$A$19,Categories!$B$19)))))))))))))))))))</f>
        <v>0</v>
      </c>
      <c r="G79" s="9" t="str">
        <f t="shared" si="19"/>
        <v/>
      </c>
      <c r="H79" s="1" t="str">
        <f t="shared" si="20"/>
        <v/>
      </c>
      <c r="I79" s="1" t="str">
        <f t="shared" si="21"/>
        <v/>
      </c>
      <c r="J79" s="1" t="str">
        <f t="shared" si="22"/>
        <v/>
      </c>
      <c r="K79" s="13" t="str">
        <f t="shared" si="23"/>
        <v/>
      </c>
      <c r="L79" s="9" t="str">
        <f t="shared" si="24"/>
        <v/>
      </c>
      <c r="M79" s="1" t="str">
        <f t="shared" si="25"/>
        <v/>
      </c>
      <c r="N79" s="1" t="str">
        <f t="shared" si="26"/>
        <v/>
      </c>
      <c r="O79" s="1" t="str">
        <f t="shared" si="27"/>
        <v/>
      </c>
      <c r="P79" s="1" t="str">
        <f t="shared" si="28"/>
        <v/>
      </c>
      <c r="Q79" s="1" t="str">
        <f t="shared" si="29"/>
        <v/>
      </c>
      <c r="R79" s="1" t="str">
        <f t="shared" si="30"/>
        <v/>
      </c>
      <c r="S79" s="1" t="str">
        <f t="shared" si="31"/>
        <v/>
      </c>
      <c r="T79" s="1" t="str">
        <f t="shared" si="32"/>
        <v/>
      </c>
      <c r="U79" s="1" t="str">
        <f t="shared" si="33"/>
        <v/>
      </c>
      <c r="V79" s="1" t="str">
        <f t="shared" si="34"/>
        <v/>
      </c>
      <c r="W79" s="26" t="str">
        <f t="shared" si="35"/>
        <v/>
      </c>
      <c r="X79" s="13" t="str">
        <f t="shared" si="36"/>
        <v/>
      </c>
      <c r="Y79" s="9">
        <f t="shared" si="37"/>
        <v>0</v>
      </c>
    </row>
    <row r="80" spans="1:25" x14ac:dyDescent="0.25">
      <c r="A80" s="28"/>
      <c r="B80" s="29"/>
      <c r="C80" s="30"/>
      <c r="D80" s="31"/>
      <c r="E80" s="29" t="s">
        <v>16</v>
      </c>
      <c r="F80" s="13" t="b">
        <f>IF($E80=Categories!$A$1,"",IF($E80=Categories!$A$2,Categories!$B$2,IF($E80=Categories!$A$3,Categories!$B$3,IF($E80=Categories!$A$4,Categories!$B$4,IF($E80=Categories!$A$5,Categories!$B$5,IF($E80=Categories!$A$6,Categories!$B$6,IF($E80=Categories!$A$7,Categories!$B$7,IF($E80=Categories!$A$8,Categories!$B$8,IF($E80=Categories!$A$9,Categories!$B$9,IF($E80=Categories!$A$10,Categories!$B$10,IF($E80=Categories!$A$11,Categories!$B$11,IF($E80=Categories!$A$12,Categories!$B$12,IF($E80=Categories!$A$13,Categories!$B$13,IF($E80=Categories!$A$14,Categories!$B$14,IF($E80=Categories!$A$15,Categories!$B$15,IF($E80=Categories!$A$16,Categories!$B$16,IF($E80=Categories!$A$17,Categories!$B$17,IF($E80=Categories!$A$18,Categories!$B$18,IF($E80=Categories!$A$19,Categories!$B$19)))))))))))))))))))</f>
        <v>0</v>
      </c>
      <c r="G80" s="9" t="str">
        <f t="shared" si="19"/>
        <v/>
      </c>
      <c r="H80" s="1" t="str">
        <f t="shared" si="20"/>
        <v/>
      </c>
      <c r="I80" s="1" t="str">
        <f t="shared" si="21"/>
        <v/>
      </c>
      <c r="J80" s="1" t="str">
        <f t="shared" si="22"/>
        <v/>
      </c>
      <c r="K80" s="13" t="str">
        <f t="shared" si="23"/>
        <v/>
      </c>
      <c r="L80" s="9" t="str">
        <f t="shared" si="24"/>
        <v/>
      </c>
      <c r="M80" s="1" t="str">
        <f t="shared" si="25"/>
        <v/>
      </c>
      <c r="N80" s="1" t="str">
        <f t="shared" si="26"/>
        <v/>
      </c>
      <c r="O80" s="1" t="str">
        <f t="shared" si="27"/>
        <v/>
      </c>
      <c r="P80" s="1" t="str">
        <f t="shared" si="28"/>
        <v/>
      </c>
      <c r="Q80" s="1" t="str">
        <f t="shared" si="29"/>
        <v/>
      </c>
      <c r="R80" s="1" t="str">
        <f t="shared" si="30"/>
        <v/>
      </c>
      <c r="S80" s="1" t="str">
        <f t="shared" si="31"/>
        <v/>
      </c>
      <c r="T80" s="1" t="str">
        <f t="shared" si="32"/>
        <v/>
      </c>
      <c r="U80" s="1" t="str">
        <f t="shared" si="33"/>
        <v/>
      </c>
      <c r="V80" s="1" t="str">
        <f t="shared" si="34"/>
        <v/>
      </c>
      <c r="W80" s="26" t="str">
        <f t="shared" si="35"/>
        <v/>
      </c>
      <c r="X80" s="13" t="str">
        <f t="shared" si="36"/>
        <v/>
      </c>
      <c r="Y80" s="9">
        <f t="shared" si="37"/>
        <v>0</v>
      </c>
    </row>
    <row r="81" spans="1:25" x14ac:dyDescent="0.25">
      <c r="A81" s="28"/>
      <c r="B81" s="29"/>
      <c r="C81" s="30"/>
      <c r="D81" s="31"/>
      <c r="E81" s="29" t="s">
        <v>16</v>
      </c>
      <c r="F81" s="13" t="b">
        <f>IF($E81=Categories!$A$1,"",IF($E81=Categories!$A$2,Categories!$B$2,IF($E81=Categories!$A$3,Categories!$B$3,IF($E81=Categories!$A$4,Categories!$B$4,IF($E81=Categories!$A$5,Categories!$B$5,IF($E81=Categories!$A$6,Categories!$B$6,IF($E81=Categories!$A$7,Categories!$B$7,IF($E81=Categories!$A$8,Categories!$B$8,IF($E81=Categories!$A$9,Categories!$B$9,IF($E81=Categories!$A$10,Categories!$B$10,IF($E81=Categories!$A$11,Categories!$B$11,IF($E81=Categories!$A$12,Categories!$B$12,IF($E81=Categories!$A$13,Categories!$B$13,IF($E81=Categories!$A$14,Categories!$B$14,IF($E81=Categories!$A$15,Categories!$B$15,IF($E81=Categories!$A$16,Categories!$B$16,IF($E81=Categories!$A$17,Categories!$B$17,IF($E81=Categories!$A$18,Categories!$B$18,IF($E81=Categories!$A$19,Categories!$B$19)))))))))))))))))))</f>
        <v>0</v>
      </c>
      <c r="G81" s="9" t="str">
        <f t="shared" si="19"/>
        <v/>
      </c>
      <c r="H81" s="1" t="str">
        <f t="shared" si="20"/>
        <v/>
      </c>
      <c r="I81" s="1" t="str">
        <f t="shared" si="21"/>
        <v/>
      </c>
      <c r="J81" s="1" t="str">
        <f t="shared" si="22"/>
        <v/>
      </c>
      <c r="K81" s="13" t="str">
        <f t="shared" si="23"/>
        <v/>
      </c>
      <c r="L81" s="9" t="str">
        <f t="shared" si="24"/>
        <v/>
      </c>
      <c r="M81" s="1" t="str">
        <f t="shared" si="25"/>
        <v/>
      </c>
      <c r="N81" s="1" t="str">
        <f t="shared" si="26"/>
        <v/>
      </c>
      <c r="O81" s="1" t="str">
        <f t="shared" si="27"/>
        <v/>
      </c>
      <c r="P81" s="1" t="str">
        <f t="shared" si="28"/>
        <v/>
      </c>
      <c r="Q81" s="1" t="str">
        <f t="shared" si="29"/>
        <v/>
      </c>
      <c r="R81" s="1" t="str">
        <f t="shared" si="30"/>
        <v/>
      </c>
      <c r="S81" s="1" t="str">
        <f t="shared" si="31"/>
        <v/>
      </c>
      <c r="T81" s="1" t="str">
        <f t="shared" si="32"/>
        <v/>
      </c>
      <c r="U81" s="1" t="str">
        <f t="shared" si="33"/>
        <v/>
      </c>
      <c r="V81" s="1" t="str">
        <f t="shared" si="34"/>
        <v/>
      </c>
      <c r="W81" s="26" t="str">
        <f t="shared" si="35"/>
        <v/>
      </c>
      <c r="X81" s="13" t="str">
        <f t="shared" si="36"/>
        <v/>
      </c>
      <c r="Y81" s="9">
        <f t="shared" si="37"/>
        <v>0</v>
      </c>
    </row>
    <row r="82" spans="1:25" x14ac:dyDescent="0.25">
      <c r="A82" s="28"/>
      <c r="B82" s="29"/>
      <c r="C82" s="30"/>
      <c r="D82" s="31"/>
      <c r="E82" s="29" t="s">
        <v>16</v>
      </c>
      <c r="F82" s="13" t="b">
        <f>IF($E82=Categories!$A$1,"",IF($E82=Categories!$A$2,Categories!$B$2,IF($E82=Categories!$A$3,Categories!$B$3,IF($E82=Categories!$A$4,Categories!$B$4,IF($E82=Categories!$A$5,Categories!$B$5,IF($E82=Categories!$A$6,Categories!$B$6,IF($E82=Categories!$A$7,Categories!$B$7,IF($E82=Categories!$A$8,Categories!$B$8,IF($E82=Categories!$A$9,Categories!$B$9,IF($E82=Categories!$A$10,Categories!$B$10,IF($E82=Categories!$A$11,Categories!$B$11,IF($E82=Categories!$A$12,Categories!$B$12,IF($E82=Categories!$A$13,Categories!$B$13,IF($E82=Categories!$A$14,Categories!$B$14,IF($E82=Categories!$A$15,Categories!$B$15,IF($E82=Categories!$A$16,Categories!$B$16,IF($E82=Categories!$A$17,Categories!$B$17,IF($E82=Categories!$A$18,Categories!$B$18,IF($E82=Categories!$A$19,Categories!$B$19)))))))))))))))))))</f>
        <v>0</v>
      </c>
      <c r="G82" s="9" t="str">
        <f t="shared" si="19"/>
        <v/>
      </c>
      <c r="H82" s="1" t="str">
        <f t="shared" si="20"/>
        <v/>
      </c>
      <c r="I82" s="1" t="str">
        <f t="shared" si="21"/>
        <v/>
      </c>
      <c r="J82" s="1" t="str">
        <f t="shared" si="22"/>
        <v/>
      </c>
      <c r="K82" s="13" t="str">
        <f t="shared" si="23"/>
        <v/>
      </c>
      <c r="L82" s="9" t="str">
        <f t="shared" si="24"/>
        <v/>
      </c>
      <c r="M82" s="1" t="str">
        <f t="shared" si="25"/>
        <v/>
      </c>
      <c r="N82" s="1" t="str">
        <f t="shared" si="26"/>
        <v/>
      </c>
      <c r="O82" s="1" t="str">
        <f t="shared" si="27"/>
        <v/>
      </c>
      <c r="P82" s="1" t="str">
        <f t="shared" si="28"/>
        <v/>
      </c>
      <c r="Q82" s="1" t="str">
        <f t="shared" si="29"/>
        <v/>
      </c>
      <c r="R82" s="1" t="str">
        <f t="shared" si="30"/>
        <v/>
      </c>
      <c r="S82" s="1" t="str">
        <f t="shared" si="31"/>
        <v/>
      </c>
      <c r="T82" s="1" t="str">
        <f t="shared" si="32"/>
        <v/>
      </c>
      <c r="U82" s="1" t="str">
        <f t="shared" si="33"/>
        <v/>
      </c>
      <c r="V82" s="1" t="str">
        <f t="shared" si="34"/>
        <v/>
      </c>
      <c r="W82" s="26" t="str">
        <f t="shared" si="35"/>
        <v/>
      </c>
      <c r="X82" s="13" t="str">
        <f t="shared" si="36"/>
        <v/>
      </c>
      <c r="Y82" s="9">
        <f t="shared" si="37"/>
        <v>0</v>
      </c>
    </row>
    <row r="83" spans="1:25" x14ac:dyDescent="0.25">
      <c r="A83" s="28"/>
      <c r="B83" s="29"/>
      <c r="C83" s="30"/>
      <c r="D83" s="31"/>
      <c r="E83" s="29" t="s">
        <v>16</v>
      </c>
      <c r="F83" s="13" t="b">
        <f>IF($E83=Categories!$A$1,"",IF($E83=Categories!$A$2,Categories!$B$2,IF($E83=Categories!$A$3,Categories!$B$3,IF($E83=Categories!$A$4,Categories!$B$4,IF($E83=Categories!$A$5,Categories!$B$5,IF($E83=Categories!$A$6,Categories!$B$6,IF($E83=Categories!$A$7,Categories!$B$7,IF($E83=Categories!$A$8,Categories!$B$8,IF($E83=Categories!$A$9,Categories!$B$9,IF($E83=Categories!$A$10,Categories!$B$10,IF($E83=Categories!$A$11,Categories!$B$11,IF($E83=Categories!$A$12,Categories!$B$12,IF($E83=Categories!$A$13,Categories!$B$13,IF($E83=Categories!$A$14,Categories!$B$14,IF($E83=Categories!$A$15,Categories!$B$15,IF($E83=Categories!$A$16,Categories!$B$16,IF($E83=Categories!$A$17,Categories!$B$17,IF($E83=Categories!$A$18,Categories!$B$18,IF($E83=Categories!$A$19,Categories!$B$19)))))))))))))))))))</f>
        <v>0</v>
      </c>
      <c r="G83" s="9" t="str">
        <f t="shared" si="19"/>
        <v/>
      </c>
      <c r="H83" s="1" t="str">
        <f t="shared" si="20"/>
        <v/>
      </c>
      <c r="I83" s="1" t="str">
        <f t="shared" si="21"/>
        <v/>
      </c>
      <c r="J83" s="1" t="str">
        <f t="shared" si="22"/>
        <v/>
      </c>
      <c r="K83" s="13" t="str">
        <f t="shared" si="23"/>
        <v/>
      </c>
      <c r="L83" s="9" t="str">
        <f t="shared" si="24"/>
        <v/>
      </c>
      <c r="M83" s="1" t="str">
        <f t="shared" si="25"/>
        <v/>
      </c>
      <c r="N83" s="1" t="str">
        <f t="shared" si="26"/>
        <v/>
      </c>
      <c r="O83" s="1" t="str">
        <f t="shared" si="27"/>
        <v/>
      </c>
      <c r="P83" s="1" t="str">
        <f t="shared" si="28"/>
        <v/>
      </c>
      <c r="Q83" s="1" t="str">
        <f t="shared" si="29"/>
        <v/>
      </c>
      <c r="R83" s="1" t="str">
        <f t="shared" si="30"/>
        <v/>
      </c>
      <c r="S83" s="1" t="str">
        <f t="shared" si="31"/>
        <v/>
      </c>
      <c r="T83" s="1" t="str">
        <f t="shared" si="32"/>
        <v/>
      </c>
      <c r="U83" s="1" t="str">
        <f t="shared" si="33"/>
        <v/>
      </c>
      <c r="V83" s="1" t="str">
        <f t="shared" si="34"/>
        <v/>
      </c>
      <c r="W83" s="26" t="str">
        <f t="shared" si="35"/>
        <v/>
      </c>
      <c r="X83" s="13" t="str">
        <f t="shared" si="36"/>
        <v/>
      </c>
      <c r="Y83" s="9">
        <f t="shared" si="37"/>
        <v>0</v>
      </c>
    </row>
    <row r="84" spans="1:25" x14ac:dyDescent="0.25">
      <c r="A84" s="28"/>
      <c r="B84" s="29"/>
      <c r="C84" s="30"/>
      <c r="D84" s="31"/>
      <c r="E84" s="29" t="s">
        <v>16</v>
      </c>
      <c r="F84" s="13" t="b">
        <f>IF($E84=Categories!$A$1,"",IF($E84=Categories!$A$2,Categories!$B$2,IF($E84=Categories!$A$3,Categories!$B$3,IF($E84=Categories!$A$4,Categories!$B$4,IF($E84=Categories!$A$5,Categories!$B$5,IF($E84=Categories!$A$6,Categories!$B$6,IF($E84=Categories!$A$7,Categories!$B$7,IF($E84=Categories!$A$8,Categories!$B$8,IF($E84=Categories!$A$9,Categories!$B$9,IF($E84=Categories!$A$10,Categories!$B$10,IF($E84=Categories!$A$11,Categories!$B$11,IF($E84=Categories!$A$12,Categories!$B$12,IF($E84=Categories!$A$13,Categories!$B$13,IF($E84=Categories!$A$14,Categories!$B$14,IF($E84=Categories!$A$15,Categories!$B$15,IF($E84=Categories!$A$16,Categories!$B$16,IF($E84=Categories!$A$17,Categories!$B$17,IF($E84=Categories!$A$18,Categories!$B$18,IF($E84=Categories!$A$19,Categories!$B$19)))))))))))))))))))</f>
        <v>0</v>
      </c>
      <c r="G84" s="9" t="str">
        <f t="shared" si="19"/>
        <v/>
      </c>
      <c r="H84" s="1" t="str">
        <f t="shared" si="20"/>
        <v/>
      </c>
      <c r="I84" s="1" t="str">
        <f t="shared" si="21"/>
        <v/>
      </c>
      <c r="J84" s="1" t="str">
        <f t="shared" si="22"/>
        <v/>
      </c>
      <c r="K84" s="13" t="str">
        <f t="shared" si="23"/>
        <v/>
      </c>
      <c r="L84" s="9" t="str">
        <f t="shared" si="24"/>
        <v/>
      </c>
      <c r="M84" s="1" t="str">
        <f t="shared" si="25"/>
        <v/>
      </c>
      <c r="N84" s="1" t="str">
        <f t="shared" si="26"/>
        <v/>
      </c>
      <c r="O84" s="1" t="str">
        <f t="shared" si="27"/>
        <v/>
      </c>
      <c r="P84" s="1" t="str">
        <f t="shared" si="28"/>
        <v/>
      </c>
      <c r="Q84" s="1" t="str">
        <f t="shared" si="29"/>
        <v/>
      </c>
      <c r="R84" s="1" t="str">
        <f t="shared" si="30"/>
        <v/>
      </c>
      <c r="S84" s="1" t="str">
        <f t="shared" si="31"/>
        <v/>
      </c>
      <c r="T84" s="1" t="str">
        <f t="shared" si="32"/>
        <v/>
      </c>
      <c r="U84" s="1" t="str">
        <f t="shared" si="33"/>
        <v/>
      </c>
      <c r="V84" s="1" t="str">
        <f t="shared" si="34"/>
        <v/>
      </c>
      <c r="W84" s="26" t="str">
        <f t="shared" si="35"/>
        <v/>
      </c>
      <c r="X84" s="13" t="str">
        <f t="shared" si="36"/>
        <v/>
      </c>
      <c r="Y84" s="9">
        <f t="shared" si="37"/>
        <v>0</v>
      </c>
    </row>
    <row r="85" spans="1:25" x14ac:dyDescent="0.25">
      <c r="A85" s="28"/>
      <c r="B85" s="29"/>
      <c r="C85" s="30"/>
      <c r="D85" s="31"/>
      <c r="E85" s="29" t="s">
        <v>16</v>
      </c>
      <c r="F85" s="13" t="b">
        <f>IF($E85=Categories!$A$1,"",IF($E85=Categories!$A$2,Categories!$B$2,IF($E85=Categories!$A$3,Categories!$B$3,IF($E85=Categories!$A$4,Categories!$B$4,IF($E85=Categories!$A$5,Categories!$B$5,IF($E85=Categories!$A$6,Categories!$B$6,IF($E85=Categories!$A$7,Categories!$B$7,IF($E85=Categories!$A$8,Categories!$B$8,IF($E85=Categories!$A$9,Categories!$B$9,IF($E85=Categories!$A$10,Categories!$B$10,IF($E85=Categories!$A$11,Categories!$B$11,IF($E85=Categories!$A$12,Categories!$B$12,IF($E85=Categories!$A$13,Categories!$B$13,IF($E85=Categories!$A$14,Categories!$B$14,IF($E85=Categories!$A$15,Categories!$B$15,IF($E85=Categories!$A$16,Categories!$B$16,IF($E85=Categories!$A$17,Categories!$B$17,IF($E85=Categories!$A$18,Categories!$B$18,IF($E85=Categories!$A$19,Categories!$B$19)))))))))))))))))))</f>
        <v>0</v>
      </c>
      <c r="G85" s="9" t="str">
        <f t="shared" si="19"/>
        <v/>
      </c>
      <c r="H85" s="1" t="str">
        <f t="shared" si="20"/>
        <v/>
      </c>
      <c r="I85" s="1" t="str">
        <f t="shared" si="21"/>
        <v/>
      </c>
      <c r="J85" s="1" t="str">
        <f t="shared" si="22"/>
        <v/>
      </c>
      <c r="K85" s="13" t="str">
        <f t="shared" si="23"/>
        <v/>
      </c>
      <c r="L85" s="9" t="str">
        <f t="shared" si="24"/>
        <v/>
      </c>
      <c r="M85" s="1" t="str">
        <f t="shared" si="25"/>
        <v/>
      </c>
      <c r="N85" s="1" t="str">
        <f t="shared" si="26"/>
        <v/>
      </c>
      <c r="O85" s="1" t="str">
        <f t="shared" si="27"/>
        <v/>
      </c>
      <c r="P85" s="1" t="str">
        <f t="shared" si="28"/>
        <v/>
      </c>
      <c r="Q85" s="1" t="str">
        <f t="shared" si="29"/>
        <v/>
      </c>
      <c r="R85" s="1" t="str">
        <f t="shared" si="30"/>
        <v/>
      </c>
      <c r="S85" s="1" t="str">
        <f t="shared" si="31"/>
        <v/>
      </c>
      <c r="T85" s="1" t="str">
        <f t="shared" si="32"/>
        <v/>
      </c>
      <c r="U85" s="1" t="str">
        <f t="shared" si="33"/>
        <v/>
      </c>
      <c r="V85" s="1" t="str">
        <f t="shared" si="34"/>
        <v/>
      </c>
      <c r="W85" s="26" t="str">
        <f t="shared" si="35"/>
        <v/>
      </c>
      <c r="X85" s="13" t="str">
        <f t="shared" si="36"/>
        <v/>
      </c>
      <c r="Y85" s="9">
        <f t="shared" si="37"/>
        <v>0</v>
      </c>
    </row>
    <row r="86" spans="1:25" x14ac:dyDescent="0.25">
      <c r="A86" s="28"/>
      <c r="B86" s="29"/>
      <c r="C86" s="30"/>
      <c r="D86" s="31"/>
      <c r="E86" s="29" t="s">
        <v>16</v>
      </c>
      <c r="F86" s="13" t="b">
        <f>IF($E86=Categories!$A$1,"",IF($E86=Categories!$A$2,Categories!$B$2,IF($E86=Categories!$A$3,Categories!$B$3,IF($E86=Categories!$A$4,Categories!$B$4,IF($E86=Categories!$A$5,Categories!$B$5,IF($E86=Categories!$A$6,Categories!$B$6,IF($E86=Categories!$A$7,Categories!$B$7,IF($E86=Categories!$A$8,Categories!$B$8,IF($E86=Categories!$A$9,Categories!$B$9,IF($E86=Categories!$A$10,Categories!$B$10,IF($E86=Categories!$A$11,Categories!$B$11,IF($E86=Categories!$A$12,Categories!$B$12,IF($E86=Categories!$A$13,Categories!$B$13,IF($E86=Categories!$A$14,Categories!$B$14,IF($E86=Categories!$A$15,Categories!$B$15,IF($E86=Categories!$A$16,Categories!$B$16,IF($E86=Categories!$A$17,Categories!$B$17,IF($E86=Categories!$A$18,Categories!$B$18,IF($E86=Categories!$A$19,Categories!$B$19)))))))))))))))))))</f>
        <v>0</v>
      </c>
      <c r="G86" s="9" t="str">
        <f t="shared" si="19"/>
        <v/>
      </c>
      <c r="H86" s="1" t="str">
        <f t="shared" si="20"/>
        <v/>
      </c>
      <c r="I86" s="1" t="str">
        <f t="shared" si="21"/>
        <v/>
      </c>
      <c r="J86" s="1" t="str">
        <f t="shared" si="22"/>
        <v/>
      </c>
      <c r="K86" s="13" t="str">
        <f t="shared" si="23"/>
        <v/>
      </c>
      <c r="L86" s="9" t="str">
        <f t="shared" si="24"/>
        <v/>
      </c>
      <c r="M86" s="1" t="str">
        <f t="shared" si="25"/>
        <v/>
      </c>
      <c r="N86" s="1" t="str">
        <f t="shared" si="26"/>
        <v/>
      </c>
      <c r="O86" s="1" t="str">
        <f t="shared" si="27"/>
        <v/>
      </c>
      <c r="P86" s="1" t="str">
        <f t="shared" si="28"/>
        <v/>
      </c>
      <c r="Q86" s="1" t="str">
        <f t="shared" si="29"/>
        <v/>
      </c>
      <c r="R86" s="1" t="str">
        <f t="shared" si="30"/>
        <v/>
      </c>
      <c r="S86" s="1" t="str">
        <f t="shared" si="31"/>
        <v/>
      </c>
      <c r="T86" s="1" t="str">
        <f t="shared" si="32"/>
        <v/>
      </c>
      <c r="U86" s="1" t="str">
        <f t="shared" si="33"/>
        <v/>
      </c>
      <c r="V86" s="1" t="str">
        <f t="shared" si="34"/>
        <v/>
      </c>
      <c r="W86" s="26" t="str">
        <f t="shared" si="35"/>
        <v/>
      </c>
      <c r="X86" s="13" t="str">
        <f t="shared" si="36"/>
        <v/>
      </c>
      <c r="Y86" s="9">
        <f t="shared" si="37"/>
        <v>0</v>
      </c>
    </row>
    <row r="87" spans="1:25" x14ac:dyDescent="0.25">
      <c r="A87" s="28"/>
      <c r="B87" s="29"/>
      <c r="C87" s="30"/>
      <c r="D87" s="31"/>
      <c r="E87" s="29" t="s">
        <v>16</v>
      </c>
      <c r="F87" s="13" t="b">
        <f>IF($E87=Categories!$A$1,"",IF($E87=Categories!$A$2,Categories!$B$2,IF($E87=Categories!$A$3,Categories!$B$3,IF($E87=Categories!$A$4,Categories!$B$4,IF($E87=Categories!$A$5,Categories!$B$5,IF($E87=Categories!$A$6,Categories!$B$6,IF($E87=Categories!$A$7,Categories!$B$7,IF($E87=Categories!$A$8,Categories!$B$8,IF($E87=Categories!$A$9,Categories!$B$9,IF($E87=Categories!$A$10,Categories!$B$10,IF($E87=Categories!$A$11,Categories!$B$11,IF($E87=Categories!$A$12,Categories!$B$12,IF($E87=Categories!$A$13,Categories!$B$13,IF($E87=Categories!$A$14,Categories!$B$14,IF($E87=Categories!$A$15,Categories!$B$15,IF($E87=Categories!$A$16,Categories!$B$16,IF($E87=Categories!$A$17,Categories!$B$17,IF($E87=Categories!$A$18,Categories!$B$18,IF($E87=Categories!$A$19,Categories!$B$19)))))))))))))))))))</f>
        <v>0</v>
      </c>
      <c r="G87" s="9" t="str">
        <f t="shared" si="19"/>
        <v/>
      </c>
      <c r="H87" s="1" t="str">
        <f t="shared" si="20"/>
        <v/>
      </c>
      <c r="I87" s="1" t="str">
        <f t="shared" si="21"/>
        <v/>
      </c>
      <c r="J87" s="1" t="str">
        <f t="shared" si="22"/>
        <v/>
      </c>
      <c r="K87" s="13" t="str">
        <f t="shared" si="23"/>
        <v/>
      </c>
      <c r="L87" s="9" t="str">
        <f t="shared" si="24"/>
        <v/>
      </c>
      <c r="M87" s="1" t="str">
        <f t="shared" si="25"/>
        <v/>
      </c>
      <c r="N87" s="1" t="str">
        <f t="shared" si="26"/>
        <v/>
      </c>
      <c r="O87" s="1" t="str">
        <f t="shared" si="27"/>
        <v/>
      </c>
      <c r="P87" s="1" t="str">
        <f t="shared" si="28"/>
        <v/>
      </c>
      <c r="Q87" s="1" t="str">
        <f t="shared" si="29"/>
        <v/>
      </c>
      <c r="R87" s="1" t="str">
        <f t="shared" si="30"/>
        <v/>
      </c>
      <c r="S87" s="1" t="str">
        <f t="shared" si="31"/>
        <v/>
      </c>
      <c r="T87" s="1" t="str">
        <f t="shared" si="32"/>
        <v/>
      </c>
      <c r="U87" s="1" t="str">
        <f t="shared" si="33"/>
        <v/>
      </c>
      <c r="V87" s="1" t="str">
        <f t="shared" si="34"/>
        <v/>
      </c>
      <c r="W87" s="26" t="str">
        <f t="shared" si="35"/>
        <v/>
      </c>
      <c r="X87" s="13" t="str">
        <f t="shared" si="36"/>
        <v/>
      </c>
      <c r="Y87" s="9">
        <f t="shared" si="37"/>
        <v>0</v>
      </c>
    </row>
    <row r="88" spans="1:25" x14ac:dyDescent="0.25">
      <c r="A88" s="28"/>
      <c r="B88" s="29"/>
      <c r="C88" s="30"/>
      <c r="D88" s="31"/>
      <c r="E88" s="29" t="s">
        <v>16</v>
      </c>
      <c r="F88" s="13" t="b">
        <f>IF($E88=Categories!$A$1,"",IF($E88=Categories!$A$2,Categories!$B$2,IF($E88=Categories!$A$3,Categories!$B$3,IF($E88=Categories!$A$4,Categories!$B$4,IF($E88=Categories!$A$5,Categories!$B$5,IF($E88=Categories!$A$6,Categories!$B$6,IF($E88=Categories!$A$7,Categories!$B$7,IF($E88=Categories!$A$8,Categories!$B$8,IF($E88=Categories!$A$9,Categories!$B$9,IF($E88=Categories!$A$10,Categories!$B$10,IF($E88=Categories!$A$11,Categories!$B$11,IF($E88=Categories!$A$12,Categories!$B$12,IF($E88=Categories!$A$13,Categories!$B$13,IF($E88=Categories!$A$14,Categories!$B$14,IF($E88=Categories!$A$15,Categories!$B$15,IF($E88=Categories!$A$16,Categories!$B$16,IF($E88=Categories!$A$17,Categories!$B$17,IF($E88=Categories!$A$18,Categories!$B$18,IF($E88=Categories!$A$19,Categories!$B$19)))))))))))))))))))</f>
        <v>0</v>
      </c>
      <c r="G88" s="9" t="str">
        <f t="shared" si="19"/>
        <v/>
      </c>
      <c r="H88" s="1" t="str">
        <f t="shared" si="20"/>
        <v/>
      </c>
      <c r="I88" s="1" t="str">
        <f t="shared" si="21"/>
        <v/>
      </c>
      <c r="J88" s="1" t="str">
        <f t="shared" si="22"/>
        <v/>
      </c>
      <c r="K88" s="13" t="str">
        <f t="shared" si="23"/>
        <v/>
      </c>
      <c r="L88" s="9" t="str">
        <f t="shared" si="24"/>
        <v/>
      </c>
      <c r="M88" s="1" t="str">
        <f t="shared" si="25"/>
        <v/>
      </c>
      <c r="N88" s="1" t="str">
        <f t="shared" si="26"/>
        <v/>
      </c>
      <c r="O88" s="1" t="str">
        <f t="shared" si="27"/>
        <v/>
      </c>
      <c r="P88" s="1" t="str">
        <f t="shared" si="28"/>
        <v/>
      </c>
      <c r="Q88" s="1" t="str">
        <f t="shared" si="29"/>
        <v/>
      </c>
      <c r="R88" s="1" t="str">
        <f t="shared" si="30"/>
        <v/>
      </c>
      <c r="S88" s="1" t="str">
        <f t="shared" si="31"/>
        <v/>
      </c>
      <c r="T88" s="1" t="str">
        <f t="shared" si="32"/>
        <v/>
      </c>
      <c r="U88" s="1" t="str">
        <f t="shared" si="33"/>
        <v/>
      </c>
      <c r="V88" s="1" t="str">
        <f t="shared" si="34"/>
        <v/>
      </c>
      <c r="W88" s="26" t="str">
        <f t="shared" si="35"/>
        <v/>
      </c>
      <c r="X88" s="13" t="str">
        <f t="shared" si="36"/>
        <v/>
      </c>
      <c r="Y88" s="9">
        <f t="shared" si="37"/>
        <v>0</v>
      </c>
    </row>
    <row r="89" spans="1:25" x14ac:dyDescent="0.25">
      <c r="A89" s="28"/>
      <c r="B89" s="29"/>
      <c r="C89" s="30"/>
      <c r="D89" s="31"/>
      <c r="E89" s="29" t="s">
        <v>16</v>
      </c>
      <c r="F89" s="13" t="b">
        <f>IF($E89=Categories!$A$1,"",IF($E89=Categories!$A$2,Categories!$B$2,IF($E89=Categories!$A$3,Categories!$B$3,IF($E89=Categories!$A$4,Categories!$B$4,IF($E89=Categories!$A$5,Categories!$B$5,IF($E89=Categories!$A$6,Categories!$B$6,IF($E89=Categories!$A$7,Categories!$B$7,IF($E89=Categories!$A$8,Categories!$B$8,IF($E89=Categories!$A$9,Categories!$B$9,IF($E89=Categories!$A$10,Categories!$B$10,IF($E89=Categories!$A$11,Categories!$B$11,IF($E89=Categories!$A$12,Categories!$B$12,IF($E89=Categories!$A$13,Categories!$B$13,IF($E89=Categories!$A$14,Categories!$B$14,IF($E89=Categories!$A$15,Categories!$B$15,IF($E89=Categories!$A$16,Categories!$B$16,IF($E89=Categories!$A$17,Categories!$B$17,IF($E89=Categories!$A$18,Categories!$B$18,IF($E89=Categories!$A$19,Categories!$B$19)))))))))))))))))))</f>
        <v>0</v>
      </c>
      <c r="G89" s="9" t="str">
        <f t="shared" si="19"/>
        <v/>
      </c>
      <c r="H89" s="1" t="str">
        <f t="shared" si="20"/>
        <v/>
      </c>
      <c r="I89" s="1" t="str">
        <f t="shared" si="21"/>
        <v/>
      </c>
      <c r="J89" s="1" t="str">
        <f t="shared" si="22"/>
        <v/>
      </c>
      <c r="K89" s="13" t="str">
        <f t="shared" si="23"/>
        <v/>
      </c>
      <c r="L89" s="9" t="str">
        <f t="shared" si="24"/>
        <v/>
      </c>
      <c r="M89" s="1" t="str">
        <f t="shared" si="25"/>
        <v/>
      </c>
      <c r="N89" s="1" t="str">
        <f t="shared" si="26"/>
        <v/>
      </c>
      <c r="O89" s="1" t="str">
        <f t="shared" si="27"/>
        <v/>
      </c>
      <c r="P89" s="1" t="str">
        <f t="shared" si="28"/>
        <v/>
      </c>
      <c r="Q89" s="1" t="str">
        <f t="shared" si="29"/>
        <v/>
      </c>
      <c r="R89" s="1" t="str">
        <f t="shared" si="30"/>
        <v/>
      </c>
      <c r="S89" s="1" t="str">
        <f t="shared" si="31"/>
        <v/>
      </c>
      <c r="T89" s="1" t="str">
        <f t="shared" si="32"/>
        <v/>
      </c>
      <c r="U89" s="1" t="str">
        <f t="shared" si="33"/>
        <v/>
      </c>
      <c r="V89" s="1" t="str">
        <f t="shared" si="34"/>
        <v/>
      </c>
      <c r="W89" s="26" t="str">
        <f t="shared" si="35"/>
        <v/>
      </c>
      <c r="X89" s="13" t="str">
        <f t="shared" si="36"/>
        <v/>
      </c>
      <c r="Y89" s="9">
        <f t="shared" si="37"/>
        <v>0</v>
      </c>
    </row>
    <row r="90" spans="1:25" x14ac:dyDescent="0.25">
      <c r="A90" s="28"/>
      <c r="B90" s="29"/>
      <c r="C90" s="30"/>
      <c r="D90" s="31"/>
      <c r="E90" s="29" t="s">
        <v>16</v>
      </c>
      <c r="F90" s="13" t="b">
        <f>IF($E90=Categories!$A$1,"",IF($E90=Categories!$A$2,Categories!$B$2,IF($E90=Categories!$A$3,Categories!$B$3,IF($E90=Categories!$A$4,Categories!$B$4,IF($E90=Categories!$A$5,Categories!$B$5,IF($E90=Categories!$A$6,Categories!$B$6,IF($E90=Categories!$A$7,Categories!$B$7,IF($E90=Categories!$A$8,Categories!$B$8,IF($E90=Categories!$A$9,Categories!$B$9,IF($E90=Categories!$A$10,Categories!$B$10,IF($E90=Categories!$A$11,Categories!$B$11,IF($E90=Categories!$A$12,Categories!$B$12,IF($E90=Categories!$A$13,Categories!$B$13,IF($E90=Categories!$A$14,Categories!$B$14,IF($E90=Categories!$A$15,Categories!$B$15,IF($E90=Categories!$A$16,Categories!$B$16,IF($E90=Categories!$A$17,Categories!$B$17,IF($E90=Categories!$A$18,Categories!$B$18,IF($E90=Categories!$A$19,Categories!$B$19)))))))))))))))))))</f>
        <v>0</v>
      </c>
      <c r="G90" s="9" t="str">
        <f t="shared" si="19"/>
        <v/>
      </c>
      <c r="H90" s="1" t="str">
        <f t="shared" si="20"/>
        <v/>
      </c>
      <c r="I90" s="1" t="str">
        <f t="shared" si="21"/>
        <v/>
      </c>
      <c r="J90" s="1" t="str">
        <f t="shared" si="22"/>
        <v/>
      </c>
      <c r="K90" s="13" t="str">
        <f t="shared" si="23"/>
        <v/>
      </c>
      <c r="L90" s="9" t="str">
        <f t="shared" si="24"/>
        <v/>
      </c>
      <c r="M90" s="1" t="str">
        <f t="shared" si="25"/>
        <v/>
      </c>
      <c r="N90" s="1" t="str">
        <f t="shared" si="26"/>
        <v/>
      </c>
      <c r="O90" s="1" t="str">
        <f t="shared" si="27"/>
        <v/>
      </c>
      <c r="P90" s="1" t="str">
        <f t="shared" si="28"/>
        <v/>
      </c>
      <c r="Q90" s="1" t="str">
        <f t="shared" si="29"/>
        <v/>
      </c>
      <c r="R90" s="1" t="str">
        <f t="shared" si="30"/>
        <v/>
      </c>
      <c r="S90" s="1" t="str">
        <f t="shared" si="31"/>
        <v/>
      </c>
      <c r="T90" s="1" t="str">
        <f t="shared" si="32"/>
        <v/>
      </c>
      <c r="U90" s="1" t="str">
        <f t="shared" si="33"/>
        <v/>
      </c>
      <c r="V90" s="1" t="str">
        <f t="shared" si="34"/>
        <v/>
      </c>
      <c r="W90" s="26" t="str">
        <f t="shared" si="35"/>
        <v/>
      </c>
      <c r="X90" s="13" t="str">
        <f t="shared" si="36"/>
        <v/>
      </c>
      <c r="Y90" s="9">
        <f t="shared" si="37"/>
        <v>0</v>
      </c>
    </row>
    <row r="91" spans="1:25" x14ac:dyDescent="0.25">
      <c r="A91" s="28"/>
      <c r="B91" s="29"/>
      <c r="C91" s="30"/>
      <c r="D91" s="31"/>
      <c r="E91" s="29" t="s">
        <v>16</v>
      </c>
      <c r="F91" s="13" t="b">
        <f>IF($E91=Categories!$A$1,"",IF($E91=Categories!$A$2,Categories!$B$2,IF($E91=Categories!$A$3,Categories!$B$3,IF($E91=Categories!$A$4,Categories!$B$4,IF($E91=Categories!$A$5,Categories!$B$5,IF($E91=Categories!$A$6,Categories!$B$6,IF($E91=Categories!$A$7,Categories!$B$7,IF($E91=Categories!$A$8,Categories!$B$8,IF($E91=Categories!$A$9,Categories!$B$9,IF($E91=Categories!$A$10,Categories!$B$10,IF($E91=Categories!$A$11,Categories!$B$11,IF($E91=Categories!$A$12,Categories!$B$12,IF($E91=Categories!$A$13,Categories!$B$13,IF($E91=Categories!$A$14,Categories!$B$14,IF($E91=Categories!$A$15,Categories!$B$15,IF($E91=Categories!$A$16,Categories!$B$16,IF($E91=Categories!$A$17,Categories!$B$17,IF($E91=Categories!$A$18,Categories!$B$18,IF($E91=Categories!$A$19,Categories!$B$19)))))))))))))))))))</f>
        <v>0</v>
      </c>
      <c r="G91" s="9" t="str">
        <f t="shared" si="19"/>
        <v/>
      </c>
      <c r="H91" s="1" t="str">
        <f t="shared" si="20"/>
        <v/>
      </c>
      <c r="I91" s="1" t="str">
        <f t="shared" si="21"/>
        <v/>
      </c>
      <c r="J91" s="1" t="str">
        <f t="shared" si="22"/>
        <v/>
      </c>
      <c r="K91" s="13" t="str">
        <f t="shared" si="23"/>
        <v/>
      </c>
      <c r="L91" s="9" t="str">
        <f t="shared" si="24"/>
        <v/>
      </c>
      <c r="M91" s="1" t="str">
        <f t="shared" si="25"/>
        <v/>
      </c>
      <c r="N91" s="1" t="str">
        <f t="shared" si="26"/>
        <v/>
      </c>
      <c r="O91" s="1" t="str">
        <f t="shared" si="27"/>
        <v/>
      </c>
      <c r="P91" s="1" t="str">
        <f t="shared" si="28"/>
        <v/>
      </c>
      <c r="Q91" s="1" t="str">
        <f t="shared" si="29"/>
        <v/>
      </c>
      <c r="R91" s="1" t="str">
        <f t="shared" si="30"/>
        <v/>
      </c>
      <c r="S91" s="1" t="str">
        <f t="shared" si="31"/>
        <v/>
      </c>
      <c r="T91" s="1" t="str">
        <f t="shared" si="32"/>
        <v/>
      </c>
      <c r="U91" s="1" t="str">
        <f t="shared" si="33"/>
        <v/>
      </c>
      <c r="V91" s="1" t="str">
        <f t="shared" si="34"/>
        <v/>
      </c>
      <c r="W91" s="26" t="str">
        <f t="shared" si="35"/>
        <v/>
      </c>
      <c r="X91" s="13" t="str">
        <f t="shared" si="36"/>
        <v/>
      </c>
      <c r="Y91" s="9">
        <f t="shared" si="37"/>
        <v>0</v>
      </c>
    </row>
    <row r="92" spans="1:25" x14ac:dyDescent="0.25">
      <c r="A92" s="28"/>
      <c r="B92" s="29"/>
      <c r="C92" s="30"/>
      <c r="D92" s="31"/>
      <c r="E92" s="29" t="s">
        <v>16</v>
      </c>
      <c r="F92" s="13" t="b">
        <f>IF($E92=Categories!$A$1,"",IF($E92=Categories!$A$2,Categories!$B$2,IF($E92=Categories!$A$3,Categories!$B$3,IF($E92=Categories!$A$4,Categories!$B$4,IF($E92=Categories!$A$5,Categories!$B$5,IF($E92=Categories!$A$6,Categories!$B$6,IF($E92=Categories!$A$7,Categories!$B$7,IF($E92=Categories!$A$8,Categories!$B$8,IF($E92=Categories!$A$9,Categories!$B$9,IF($E92=Categories!$A$10,Categories!$B$10,IF($E92=Categories!$A$11,Categories!$B$11,IF($E92=Categories!$A$12,Categories!$B$12,IF($E92=Categories!$A$13,Categories!$B$13,IF($E92=Categories!$A$14,Categories!$B$14,IF($E92=Categories!$A$15,Categories!$B$15,IF($E92=Categories!$A$16,Categories!$B$16,IF($E92=Categories!$A$17,Categories!$B$17,IF($E92=Categories!$A$18,Categories!$B$18,IF($E92=Categories!$A$19,Categories!$B$19)))))))))))))))))))</f>
        <v>0</v>
      </c>
      <c r="G92" s="9" t="str">
        <f t="shared" si="19"/>
        <v/>
      </c>
      <c r="H92" s="1" t="str">
        <f t="shared" si="20"/>
        <v/>
      </c>
      <c r="I92" s="1" t="str">
        <f t="shared" si="21"/>
        <v/>
      </c>
      <c r="J92" s="1" t="str">
        <f t="shared" si="22"/>
        <v/>
      </c>
      <c r="K92" s="13" t="str">
        <f t="shared" si="23"/>
        <v/>
      </c>
      <c r="L92" s="9" t="str">
        <f t="shared" si="24"/>
        <v/>
      </c>
      <c r="M92" s="1" t="str">
        <f t="shared" si="25"/>
        <v/>
      </c>
      <c r="N92" s="1" t="str">
        <f t="shared" si="26"/>
        <v/>
      </c>
      <c r="O92" s="1" t="str">
        <f t="shared" si="27"/>
        <v/>
      </c>
      <c r="P92" s="1" t="str">
        <f t="shared" si="28"/>
        <v/>
      </c>
      <c r="Q92" s="1" t="str">
        <f t="shared" si="29"/>
        <v/>
      </c>
      <c r="R92" s="1" t="str">
        <f t="shared" si="30"/>
        <v/>
      </c>
      <c r="S92" s="1" t="str">
        <f t="shared" si="31"/>
        <v/>
      </c>
      <c r="T92" s="1" t="str">
        <f t="shared" si="32"/>
        <v/>
      </c>
      <c r="U92" s="1" t="str">
        <f t="shared" si="33"/>
        <v/>
      </c>
      <c r="V92" s="1" t="str">
        <f t="shared" si="34"/>
        <v/>
      </c>
      <c r="W92" s="26" t="str">
        <f t="shared" si="35"/>
        <v/>
      </c>
      <c r="X92" s="13" t="str">
        <f t="shared" si="36"/>
        <v/>
      </c>
      <c r="Y92" s="9">
        <f t="shared" si="37"/>
        <v>0</v>
      </c>
    </row>
    <row r="93" spans="1:25" x14ac:dyDescent="0.25">
      <c r="A93" s="28"/>
      <c r="B93" s="29"/>
      <c r="C93" s="30"/>
      <c r="D93" s="31"/>
      <c r="E93" s="29" t="s">
        <v>16</v>
      </c>
      <c r="F93" s="13" t="b">
        <f>IF($E93=Categories!$A$1,"",IF($E93=Categories!$A$2,Categories!$B$2,IF($E93=Categories!$A$3,Categories!$B$3,IF($E93=Categories!$A$4,Categories!$B$4,IF($E93=Categories!$A$5,Categories!$B$5,IF($E93=Categories!$A$6,Categories!$B$6,IF($E93=Categories!$A$7,Categories!$B$7,IF($E93=Categories!$A$8,Categories!$B$8,IF($E93=Categories!$A$9,Categories!$B$9,IF($E93=Categories!$A$10,Categories!$B$10,IF($E93=Categories!$A$11,Categories!$B$11,IF($E93=Categories!$A$12,Categories!$B$12,IF($E93=Categories!$A$13,Categories!$B$13,IF($E93=Categories!$A$14,Categories!$B$14,IF($E93=Categories!$A$15,Categories!$B$15,IF($E93=Categories!$A$16,Categories!$B$16,IF($E93=Categories!$A$17,Categories!$B$17,IF($E93=Categories!$A$18,Categories!$B$18,IF($E93=Categories!$A$19,Categories!$B$19)))))))))))))))))))</f>
        <v>0</v>
      </c>
      <c r="G93" s="9" t="str">
        <f t="shared" si="19"/>
        <v/>
      </c>
      <c r="H93" s="1" t="str">
        <f t="shared" si="20"/>
        <v/>
      </c>
      <c r="I93" s="1" t="str">
        <f t="shared" si="21"/>
        <v/>
      </c>
      <c r="J93" s="1" t="str">
        <f t="shared" si="22"/>
        <v/>
      </c>
      <c r="K93" s="13" t="str">
        <f t="shared" si="23"/>
        <v/>
      </c>
      <c r="L93" s="9" t="str">
        <f t="shared" si="24"/>
        <v/>
      </c>
      <c r="M93" s="1" t="str">
        <f t="shared" si="25"/>
        <v/>
      </c>
      <c r="N93" s="1" t="str">
        <f t="shared" si="26"/>
        <v/>
      </c>
      <c r="O93" s="1" t="str">
        <f t="shared" si="27"/>
        <v/>
      </c>
      <c r="P93" s="1" t="str">
        <f t="shared" si="28"/>
        <v/>
      </c>
      <c r="Q93" s="1" t="str">
        <f t="shared" si="29"/>
        <v/>
      </c>
      <c r="R93" s="1" t="str">
        <f t="shared" si="30"/>
        <v/>
      </c>
      <c r="S93" s="1" t="str">
        <f t="shared" si="31"/>
        <v/>
      </c>
      <c r="T93" s="1" t="str">
        <f t="shared" si="32"/>
        <v/>
      </c>
      <c r="U93" s="1" t="str">
        <f t="shared" si="33"/>
        <v/>
      </c>
      <c r="V93" s="1" t="str">
        <f t="shared" si="34"/>
        <v/>
      </c>
      <c r="W93" s="26" t="str">
        <f t="shared" si="35"/>
        <v/>
      </c>
      <c r="X93" s="13" t="str">
        <f t="shared" si="36"/>
        <v/>
      </c>
      <c r="Y93" s="9">
        <f t="shared" si="37"/>
        <v>0</v>
      </c>
    </row>
    <row r="94" spans="1:25" x14ac:dyDescent="0.25">
      <c r="A94" s="28"/>
      <c r="B94" s="29"/>
      <c r="C94" s="30"/>
      <c r="D94" s="31"/>
      <c r="E94" s="29" t="s">
        <v>16</v>
      </c>
      <c r="F94" s="13" t="b">
        <f>IF($E94=Categories!$A$1,"",IF($E94=Categories!$A$2,Categories!$B$2,IF($E94=Categories!$A$3,Categories!$B$3,IF($E94=Categories!$A$4,Categories!$B$4,IF($E94=Categories!$A$5,Categories!$B$5,IF($E94=Categories!$A$6,Categories!$B$6,IF($E94=Categories!$A$7,Categories!$B$7,IF($E94=Categories!$A$8,Categories!$B$8,IF($E94=Categories!$A$9,Categories!$B$9,IF($E94=Categories!$A$10,Categories!$B$10,IF($E94=Categories!$A$11,Categories!$B$11,IF($E94=Categories!$A$12,Categories!$B$12,IF($E94=Categories!$A$13,Categories!$B$13,IF($E94=Categories!$A$14,Categories!$B$14,IF($E94=Categories!$A$15,Categories!$B$15,IF($E94=Categories!$A$16,Categories!$B$16,IF($E94=Categories!$A$17,Categories!$B$17,IF($E94=Categories!$A$18,Categories!$B$18,IF($E94=Categories!$A$19,Categories!$B$19)))))))))))))))))))</f>
        <v>0</v>
      </c>
      <c r="G94" s="9" t="str">
        <f t="shared" si="19"/>
        <v/>
      </c>
      <c r="H94" s="1" t="str">
        <f t="shared" si="20"/>
        <v/>
      </c>
      <c r="I94" s="1" t="str">
        <f t="shared" si="21"/>
        <v/>
      </c>
      <c r="J94" s="1" t="str">
        <f t="shared" si="22"/>
        <v/>
      </c>
      <c r="K94" s="13" t="str">
        <f t="shared" si="23"/>
        <v/>
      </c>
      <c r="L94" s="9" t="str">
        <f t="shared" si="24"/>
        <v/>
      </c>
      <c r="M94" s="1" t="str">
        <f t="shared" si="25"/>
        <v/>
      </c>
      <c r="N94" s="1" t="str">
        <f t="shared" si="26"/>
        <v/>
      </c>
      <c r="O94" s="1" t="str">
        <f t="shared" si="27"/>
        <v/>
      </c>
      <c r="P94" s="1" t="str">
        <f t="shared" si="28"/>
        <v/>
      </c>
      <c r="Q94" s="1" t="str">
        <f t="shared" si="29"/>
        <v/>
      </c>
      <c r="R94" s="1" t="str">
        <f t="shared" si="30"/>
        <v/>
      </c>
      <c r="S94" s="1" t="str">
        <f t="shared" si="31"/>
        <v/>
      </c>
      <c r="T94" s="1" t="str">
        <f t="shared" si="32"/>
        <v/>
      </c>
      <c r="U94" s="1" t="str">
        <f t="shared" si="33"/>
        <v/>
      </c>
      <c r="V94" s="1" t="str">
        <f t="shared" si="34"/>
        <v/>
      </c>
      <c r="W94" s="26" t="str">
        <f t="shared" si="35"/>
        <v/>
      </c>
      <c r="X94" s="13" t="str">
        <f t="shared" si="36"/>
        <v/>
      </c>
      <c r="Y94" s="9">
        <f t="shared" si="37"/>
        <v>0</v>
      </c>
    </row>
    <row r="95" spans="1:25" x14ac:dyDescent="0.25">
      <c r="A95" s="28"/>
      <c r="B95" s="29"/>
      <c r="C95" s="30"/>
      <c r="D95" s="31"/>
      <c r="E95" s="29" t="s">
        <v>16</v>
      </c>
      <c r="F95" s="13" t="b">
        <f>IF($E95=Categories!$A$1,"",IF($E95=Categories!$A$2,Categories!$B$2,IF($E95=Categories!$A$3,Categories!$B$3,IF($E95=Categories!$A$4,Categories!$B$4,IF($E95=Categories!$A$5,Categories!$B$5,IF($E95=Categories!$A$6,Categories!$B$6,IF($E95=Categories!$A$7,Categories!$B$7,IF($E95=Categories!$A$8,Categories!$B$8,IF($E95=Categories!$A$9,Categories!$B$9,IF($E95=Categories!$A$10,Categories!$B$10,IF($E95=Categories!$A$11,Categories!$B$11,IF($E95=Categories!$A$12,Categories!$B$12,IF($E95=Categories!$A$13,Categories!$B$13,IF($E95=Categories!$A$14,Categories!$B$14,IF($E95=Categories!$A$15,Categories!$B$15,IF($E95=Categories!$A$16,Categories!$B$16,IF($E95=Categories!$A$17,Categories!$B$17,IF($E95=Categories!$A$18,Categories!$B$18,IF($E95=Categories!$A$19,Categories!$B$19)))))))))))))))))))</f>
        <v>0</v>
      </c>
      <c r="G95" s="9" t="str">
        <f t="shared" si="19"/>
        <v/>
      </c>
      <c r="H95" s="1" t="str">
        <f t="shared" si="20"/>
        <v/>
      </c>
      <c r="I95" s="1" t="str">
        <f t="shared" si="21"/>
        <v/>
      </c>
      <c r="J95" s="1" t="str">
        <f t="shared" si="22"/>
        <v/>
      </c>
      <c r="K95" s="13" t="str">
        <f t="shared" si="23"/>
        <v/>
      </c>
      <c r="L95" s="9" t="str">
        <f t="shared" si="24"/>
        <v/>
      </c>
      <c r="M95" s="1" t="str">
        <f t="shared" si="25"/>
        <v/>
      </c>
      <c r="N95" s="1" t="str">
        <f t="shared" si="26"/>
        <v/>
      </c>
      <c r="O95" s="1" t="str">
        <f t="shared" si="27"/>
        <v/>
      </c>
      <c r="P95" s="1" t="str">
        <f t="shared" si="28"/>
        <v/>
      </c>
      <c r="Q95" s="1" t="str">
        <f t="shared" si="29"/>
        <v/>
      </c>
      <c r="R95" s="1" t="str">
        <f t="shared" si="30"/>
        <v/>
      </c>
      <c r="S95" s="1" t="str">
        <f t="shared" si="31"/>
        <v/>
      </c>
      <c r="T95" s="1" t="str">
        <f t="shared" si="32"/>
        <v/>
      </c>
      <c r="U95" s="1" t="str">
        <f t="shared" si="33"/>
        <v/>
      </c>
      <c r="V95" s="1" t="str">
        <f t="shared" si="34"/>
        <v/>
      </c>
      <c r="W95" s="26" t="str">
        <f t="shared" si="35"/>
        <v/>
      </c>
      <c r="X95" s="13" t="str">
        <f t="shared" si="36"/>
        <v/>
      </c>
      <c r="Y95" s="9">
        <f t="shared" si="37"/>
        <v>0</v>
      </c>
    </row>
    <row r="96" spans="1:25" x14ac:dyDescent="0.25">
      <c r="A96" s="11"/>
      <c r="B96" s="16" t="s">
        <v>30</v>
      </c>
      <c r="C96" s="11"/>
      <c r="D96" s="11"/>
      <c r="E96" s="11"/>
      <c r="F96" s="21"/>
      <c r="G96" s="18">
        <f>SUM(G6:G95)</f>
        <v>0</v>
      </c>
      <c r="H96" s="18">
        <f t="shared" ref="H96:X96" si="38">SUM(H6:H95)</f>
        <v>0</v>
      </c>
      <c r="I96" s="18">
        <f t="shared" si="38"/>
        <v>0</v>
      </c>
      <c r="J96" s="18">
        <f t="shared" si="38"/>
        <v>0</v>
      </c>
      <c r="K96" s="19">
        <f t="shared" si="38"/>
        <v>0</v>
      </c>
      <c r="L96" s="20">
        <f t="shared" si="38"/>
        <v>0</v>
      </c>
      <c r="M96" s="18">
        <f t="shared" si="38"/>
        <v>0</v>
      </c>
      <c r="N96" s="18">
        <f t="shared" si="38"/>
        <v>0</v>
      </c>
      <c r="O96" s="18">
        <f t="shared" si="38"/>
        <v>0</v>
      </c>
      <c r="P96" s="18">
        <f t="shared" si="38"/>
        <v>0</v>
      </c>
      <c r="Q96" s="18">
        <f t="shared" si="38"/>
        <v>0</v>
      </c>
      <c r="R96" s="18">
        <f t="shared" si="38"/>
        <v>0</v>
      </c>
      <c r="S96" s="18">
        <f t="shared" si="38"/>
        <v>0</v>
      </c>
      <c r="T96" s="18">
        <f t="shared" si="38"/>
        <v>0</v>
      </c>
      <c r="U96" s="18">
        <f t="shared" si="38"/>
        <v>0</v>
      </c>
      <c r="V96" s="18">
        <f t="shared" si="38"/>
        <v>0</v>
      </c>
      <c r="W96" s="18">
        <f t="shared" si="38"/>
        <v>0</v>
      </c>
      <c r="X96" s="18">
        <f t="shared" si="38"/>
        <v>0</v>
      </c>
      <c r="Y96" s="18"/>
    </row>
  </sheetData>
  <mergeCells count="1">
    <mergeCell ref="A4:E4"/>
  </mergeCells>
  <printOptions gridLines="1"/>
  <pageMargins left="0.23622047244094491" right="0.23622047244094491" top="0.74803149606299213" bottom="0.74803149606299213" header="0.31496062992125984" footer="0.31496062992125984"/>
  <pageSetup paperSize="9" scale="50" fitToHeight="2" orientation="landscape" r:id="rId1"/>
  <extLst>
    <ext xmlns:x14="http://schemas.microsoft.com/office/spreadsheetml/2009/9/main" uri="{CCE6A557-97BC-4b89-ADB6-D9C93CAAB3DF}">
      <x14:dataValidations xmlns:xm="http://schemas.microsoft.com/office/excel/2006/main" count="1">
        <x14:dataValidation type="list" allowBlank="1" showErrorMessage="1" xr:uid="{00000000-0002-0000-0C00-000000000000}">
          <x14:formula1>
            <xm:f>Categories!$A$1:$A$19</xm:f>
          </x14:formula1>
          <xm:sqref>E6:E95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Y96"/>
  <sheetViews>
    <sheetView workbookViewId="0">
      <pane xSplit="6" ySplit="5" topLeftCell="G6" activePane="bottomRight" state="frozen"/>
      <selection activeCell="B78" sqref="B78"/>
      <selection pane="topRight" activeCell="B78" sqref="B78"/>
      <selection pane="bottomLeft" activeCell="B78" sqref="B78"/>
      <selection pane="bottomRight" activeCell="B78" sqref="B78"/>
    </sheetView>
  </sheetViews>
  <sheetFormatPr defaultRowHeight="15" x14ac:dyDescent="0.25"/>
  <cols>
    <col min="1" max="1" width="10.7109375" bestFit="1" customWidth="1"/>
    <col min="2" max="2" width="13.7109375" customWidth="1"/>
    <col min="3" max="3" width="12" customWidth="1"/>
    <col min="5" max="5" width="15.28515625" customWidth="1"/>
    <col min="6" max="6" width="12.7109375" hidden="1" customWidth="1"/>
    <col min="7" max="25" width="11.7109375" customWidth="1"/>
  </cols>
  <sheetData>
    <row r="1" spans="1:25" ht="23.25" x14ac:dyDescent="0.35">
      <c r="A1" s="3" t="s">
        <v>51</v>
      </c>
      <c r="D1" s="8" t="str">
        <f>Instructions!C3</f>
        <v>Lucy's Tailored Tails</v>
      </c>
      <c r="Y1" s="9"/>
    </row>
    <row r="2" spans="1:25" ht="15" customHeight="1" x14ac:dyDescent="0.35">
      <c r="A2" s="3"/>
      <c r="D2" s="8"/>
      <c r="Y2" s="9"/>
    </row>
    <row r="3" spans="1:25" x14ac:dyDescent="0.25">
      <c r="R3" t="s">
        <v>0</v>
      </c>
      <c r="Y3" s="9">
        <f>IF(Instructions!C7="December",Instructions!C6,Nov!Y95)</f>
        <v>0</v>
      </c>
    </row>
    <row r="4" spans="1:25" x14ac:dyDescent="0.25">
      <c r="A4" s="39" t="s">
        <v>111</v>
      </c>
      <c r="B4" s="40"/>
      <c r="C4" s="40"/>
      <c r="D4" s="40"/>
      <c r="E4" s="41"/>
      <c r="F4" s="12"/>
      <c r="G4" s="17" t="s">
        <v>31</v>
      </c>
      <c r="H4" s="11"/>
      <c r="I4" s="11"/>
      <c r="J4" s="11"/>
      <c r="K4" s="12"/>
      <c r="L4" s="17" t="s">
        <v>33</v>
      </c>
      <c r="M4" s="11"/>
      <c r="N4" s="11"/>
      <c r="O4" s="11"/>
      <c r="P4" s="11"/>
      <c r="Q4" s="11"/>
      <c r="R4" s="11"/>
      <c r="S4" s="11"/>
      <c r="T4" s="11"/>
      <c r="U4" s="11"/>
      <c r="V4" s="11"/>
      <c r="W4" s="21"/>
      <c r="X4" s="12"/>
      <c r="Y4" s="10"/>
    </row>
    <row r="5" spans="1:25" ht="30" x14ac:dyDescent="0.25">
      <c r="A5" s="34" t="s">
        <v>1</v>
      </c>
      <c r="B5" s="35" t="s">
        <v>39</v>
      </c>
      <c r="C5" s="34" t="s">
        <v>2</v>
      </c>
      <c r="D5" s="34" t="s">
        <v>3</v>
      </c>
      <c r="E5" s="34" t="s">
        <v>105</v>
      </c>
      <c r="F5" s="12"/>
      <c r="G5" s="10" t="str">
        <f>Categories!A2</f>
        <v>Shop Sales</v>
      </c>
      <c r="H5" s="11" t="str">
        <f>Categories!A3</f>
        <v>Income 2</v>
      </c>
      <c r="I5" s="11" t="str">
        <f>Categories!A4</f>
        <v>Income 3</v>
      </c>
      <c r="J5" s="11" t="str">
        <f>Categories!A5</f>
        <v>Income 4</v>
      </c>
      <c r="K5" s="12" t="str">
        <f>Categories!A6</f>
        <v>Income 5</v>
      </c>
      <c r="L5" s="10" t="str">
        <f>Categories!A7</f>
        <v>Website Fees</v>
      </c>
      <c r="M5" s="11" t="str">
        <f>Categories!A8</f>
        <v>Exp 2</v>
      </c>
      <c r="N5" s="11" t="str">
        <f>Categories!A9</f>
        <v>Exp 3</v>
      </c>
      <c r="O5" s="11" t="str">
        <f>Categories!A10</f>
        <v>Exp 4</v>
      </c>
      <c r="P5" s="11" t="str">
        <f>Categories!A11</f>
        <v>Exp 5</v>
      </c>
      <c r="Q5" s="11" t="str">
        <f>Categories!A12</f>
        <v>Exp 6</v>
      </c>
      <c r="R5" s="11" t="str">
        <f>Categories!A13</f>
        <v>Exp 7</v>
      </c>
      <c r="S5" s="11" t="str">
        <f>Categories!A14</f>
        <v>Exp 8</v>
      </c>
      <c r="T5" s="11" t="str">
        <f>Categories!A15</f>
        <v>Exp 9</v>
      </c>
      <c r="U5" s="11" t="str">
        <f>Categories!A16</f>
        <v>Exp 10</v>
      </c>
      <c r="V5" s="11" t="str">
        <f>Categories!A17</f>
        <v>Exp 11</v>
      </c>
      <c r="W5" s="21" t="str">
        <f>Categories!A18</f>
        <v>Exp 12</v>
      </c>
      <c r="X5" s="12" t="str">
        <f>Categories!A19</f>
        <v>Exp 13</v>
      </c>
      <c r="Y5" s="10" t="s">
        <v>4</v>
      </c>
    </row>
    <row r="6" spans="1:25" x14ac:dyDescent="0.25">
      <c r="A6" s="28"/>
      <c r="B6" s="29"/>
      <c r="C6" s="30"/>
      <c r="D6" s="31"/>
      <c r="E6" s="29" t="s">
        <v>16</v>
      </c>
      <c r="F6" s="13" t="b">
        <f>IF($E6=Categories!$A$1,"",IF($E6=Categories!$A$2,Categories!$B$2,IF($E6=Categories!$A$3,Categories!$B$3,IF($E6=Categories!$A$4,Categories!$B$4,IF($E6=Categories!$A$5,Categories!$B$5,IF($E6=Categories!$A$6,Categories!$B$6,IF($E6=Categories!$A$7,Categories!$B$7,IF($E6=Categories!$A$8,Categories!$B$8,IF($E6=Categories!$A$9,Categories!$B$9,IF($E6=Categories!$A$10,Categories!$B$10,IF($E6=Categories!$A$11,Categories!$B$11,IF($E6=Categories!$A$12,Categories!$B$12,IF($E6=Categories!$A$13,Categories!$B$13,IF($E6=Categories!$A$14,Categories!$B$14,IF($E6=Categories!$A$15,Categories!$B$15,IF($E6=Categories!$A$16,Categories!$B$16,IF($E6=Categories!$A$17,Categories!$B$17,IF($E6=Categories!$A$18,Categories!$B$18,IF($E6=Categories!$A$19,Categories!$B$19)))))))))))))))))))</f>
        <v>0</v>
      </c>
      <c r="G6" s="9" t="str">
        <f>IF($F6="Inc1",$D6,"")</f>
        <v/>
      </c>
      <c r="H6" s="1" t="str">
        <f>IF($F6="Inc2",$D6,"")</f>
        <v/>
      </c>
      <c r="I6" s="1" t="str">
        <f>IF($F6="Int",$D6,"")</f>
        <v/>
      </c>
      <c r="J6" s="1" t="str">
        <f>IF($F6="Inc4",$D6,"")</f>
        <v/>
      </c>
      <c r="K6" s="13" t="str">
        <f>IF($F6="Inc5",$D6,"")</f>
        <v/>
      </c>
      <c r="L6" s="9" t="str">
        <f>IF($F6="ExpA",$D6,"")</f>
        <v/>
      </c>
      <c r="M6" s="1" t="str">
        <f>IF($F6="ExpB",$D6,"")</f>
        <v/>
      </c>
      <c r="N6" s="1" t="str">
        <f>IF($F6="ExpC",$D6,"")</f>
        <v/>
      </c>
      <c r="O6" s="1" t="str">
        <f>IF($F6="ExpD",$D6,"")</f>
        <v/>
      </c>
      <c r="P6" s="1" t="str">
        <f>IF($F6="ExpE",$D6,"")</f>
        <v/>
      </c>
      <c r="Q6" s="1" t="str">
        <f>IF($F6="ExpF",$D6,"")</f>
        <v/>
      </c>
      <c r="R6" s="1" t="str">
        <f>IF($F6="ExpG",$D6,"")</f>
        <v/>
      </c>
      <c r="S6" s="1" t="str">
        <f>IF($F6="ExpH",$D6,"")</f>
        <v/>
      </c>
      <c r="T6" s="1" t="str">
        <f>IF($F6="ExpI",$D6,"")</f>
        <v/>
      </c>
      <c r="U6" s="1" t="str">
        <f>IF($F6="ExpJ",$D6,"")</f>
        <v/>
      </c>
      <c r="V6" s="1" t="str">
        <f>IF($F6="ExpK",$D6,"")</f>
        <v/>
      </c>
      <c r="W6" s="26" t="str">
        <f>IF($F6="ExpL",$D6,"")</f>
        <v/>
      </c>
      <c r="X6" s="13" t="str">
        <f>IF($F6="Expm",$D6,"")</f>
        <v/>
      </c>
      <c r="Y6" s="9">
        <f>$Y$3+SUM(G6:K6)-SUM(L6:X6)</f>
        <v>0</v>
      </c>
    </row>
    <row r="7" spans="1:25" x14ac:dyDescent="0.25">
      <c r="A7" s="28"/>
      <c r="B7" s="29"/>
      <c r="C7" s="30"/>
      <c r="D7" s="31"/>
      <c r="E7" s="29" t="s">
        <v>16</v>
      </c>
      <c r="F7" s="13" t="b">
        <f>IF($E7=Categories!$A$1,"",IF($E7=Categories!$A$2,Categories!$B$2,IF($E7=Categories!$A$3,Categories!$B$3,IF($E7=Categories!$A$4,Categories!$B$4,IF($E7=Categories!$A$5,Categories!$B$5,IF($E7=Categories!$A$6,Categories!$B$6,IF($E7=Categories!$A$7,Categories!$B$7,IF($E7=Categories!$A$8,Categories!$B$8,IF($E7=Categories!$A$9,Categories!$B$9,IF($E7=Categories!$A$10,Categories!$B$10,IF($E7=Categories!$A$11,Categories!$B$11,IF($E7=Categories!$A$12,Categories!$B$12,IF($E7=Categories!$A$13,Categories!$B$13,IF($E7=Categories!$A$14,Categories!$B$14,IF($E7=Categories!$A$15,Categories!$B$15,IF($E7=Categories!$A$16,Categories!$B$16,IF($E7=Categories!$A$17,Categories!$B$17,IF($E7=Categories!$A$18,Categories!$B$18,IF($E7=Categories!$A$19,Categories!$B$19)))))))))))))))))))</f>
        <v>0</v>
      </c>
      <c r="G7" s="9" t="str">
        <f t="shared" ref="G7:G70" si="0">IF($F7="Inc1",$D7,"")</f>
        <v/>
      </c>
      <c r="H7" s="1" t="str">
        <f t="shared" ref="H7:H70" si="1">IF($F7="Inc2",$D7,"")</f>
        <v/>
      </c>
      <c r="I7" s="1" t="str">
        <f t="shared" ref="I7:I70" si="2">IF($F7="Int",$D7,"")</f>
        <v/>
      </c>
      <c r="J7" s="1" t="str">
        <f t="shared" ref="J7:J70" si="3">IF($F7="Inc4",$D7,"")</f>
        <v/>
      </c>
      <c r="K7" s="13" t="str">
        <f t="shared" ref="K7:K70" si="4">IF($F7="Inc5",$D7,"")</f>
        <v/>
      </c>
      <c r="L7" s="9" t="str">
        <f t="shared" ref="L7:L70" si="5">IF($F7="ExpA",$D7,"")</f>
        <v/>
      </c>
      <c r="M7" s="1" t="str">
        <f t="shared" ref="M7:M70" si="6">IF($F7="ExpB",$D7,"")</f>
        <v/>
      </c>
      <c r="N7" s="1" t="str">
        <f t="shared" ref="N7:N70" si="7">IF($F7="ExpC",$D7,"")</f>
        <v/>
      </c>
      <c r="O7" s="1" t="str">
        <f t="shared" ref="O7:O70" si="8">IF($F7="ExpD",$D7,"")</f>
        <v/>
      </c>
      <c r="P7" s="1" t="str">
        <f t="shared" ref="P7:P70" si="9">IF($F7="ExpE",$D7,"")</f>
        <v/>
      </c>
      <c r="Q7" s="1" t="str">
        <f t="shared" ref="Q7:Q70" si="10">IF($F7="ExpF",$D7,"")</f>
        <v/>
      </c>
      <c r="R7" s="1" t="str">
        <f t="shared" ref="R7:R70" si="11">IF($F7="ExpG",$D7,"")</f>
        <v/>
      </c>
      <c r="S7" s="1" t="str">
        <f t="shared" ref="S7:S70" si="12">IF($F7="ExpH",$D7,"")</f>
        <v/>
      </c>
      <c r="T7" s="1" t="str">
        <f t="shared" ref="T7:T70" si="13">IF($F7="ExpI",$D7,"")</f>
        <v/>
      </c>
      <c r="U7" s="1" t="str">
        <f t="shared" ref="U7:U70" si="14">IF($F7="ExpJ",$D7,"")</f>
        <v/>
      </c>
      <c r="V7" s="1" t="str">
        <f t="shared" ref="V7:V70" si="15">IF($F7="ExpK",$D7,"")</f>
        <v/>
      </c>
      <c r="W7" s="26" t="str">
        <f t="shared" ref="W7:W70" si="16">IF($F7="ExpL",$D7,"")</f>
        <v/>
      </c>
      <c r="X7" s="13" t="str">
        <f t="shared" ref="X7:X70" si="17">IF($F7="Expm",$D7,"")</f>
        <v/>
      </c>
      <c r="Y7" s="9">
        <f>Y6+SUM(G7:K7)-SUM(L7:X7)</f>
        <v>0</v>
      </c>
    </row>
    <row r="8" spans="1:25" x14ac:dyDescent="0.25">
      <c r="A8" s="28"/>
      <c r="B8" s="29"/>
      <c r="C8" s="30"/>
      <c r="D8" s="31"/>
      <c r="E8" s="29" t="s">
        <v>16</v>
      </c>
      <c r="F8" s="13" t="b">
        <f>IF($E8=Categories!$A$1,"",IF($E8=Categories!$A$2,Categories!$B$2,IF($E8=Categories!$A$3,Categories!$B$3,IF($E8=Categories!$A$4,Categories!$B$4,IF($E8=Categories!$A$5,Categories!$B$5,IF($E8=Categories!$A$6,Categories!$B$6,IF($E8=Categories!$A$7,Categories!$B$7,IF($E8=Categories!$A$8,Categories!$B$8,IF($E8=Categories!$A$9,Categories!$B$9,IF($E8=Categories!$A$10,Categories!$B$10,IF($E8=Categories!$A$11,Categories!$B$11,IF($E8=Categories!$A$12,Categories!$B$12,IF($E8=Categories!$A$13,Categories!$B$13,IF($E8=Categories!$A$14,Categories!$B$14,IF($E8=Categories!$A$15,Categories!$B$15,IF($E8=Categories!$A$16,Categories!$B$16,IF($E8=Categories!$A$17,Categories!$B$17,IF($E8=Categories!$A$18,Categories!$B$18,IF($E8=Categories!$A$19,Categories!$B$19)))))))))))))))))))</f>
        <v>0</v>
      </c>
      <c r="G8" s="9" t="str">
        <f t="shared" si="0"/>
        <v/>
      </c>
      <c r="H8" s="1" t="str">
        <f t="shared" si="1"/>
        <v/>
      </c>
      <c r="I8" s="1" t="str">
        <f t="shared" si="2"/>
        <v/>
      </c>
      <c r="J8" s="1" t="str">
        <f t="shared" si="3"/>
        <v/>
      </c>
      <c r="K8" s="13" t="str">
        <f t="shared" si="4"/>
        <v/>
      </c>
      <c r="L8" s="9" t="str">
        <f t="shared" si="5"/>
        <v/>
      </c>
      <c r="M8" s="1" t="str">
        <f t="shared" si="6"/>
        <v/>
      </c>
      <c r="N8" s="1" t="str">
        <f t="shared" si="7"/>
        <v/>
      </c>
      <c r="O8" s="1" t="str">
        <f t="shared" si="8"/>
        <v/>
      </c>
      <c r="P8" s="1" t="str">
        <f t="shared" si="9"/>
        <v/>
      </c>
      <c r="Q8" s="1" t="str">
        <f t="shared" si="10"/>
        <v/>
      </c>
      <c r="R8" s="1" t="str">
        <f t="shared" si="11"/>
        <v/>
      </c>
      <c r="S8" s="1" t="str">
        <f t="shared" si="12"/>
        <v/>
      </c>
      <c r="T8" s="1" t="str">
        <f t="shared" si="13"/>
        <v/>
      </c>
      <c r="U8" s="1" t="str">
        <f t="shared" si="14"/>
        <v/>
      </c>
      <c r="V8" s="1" t="str">
        <f t="shared" si="15"/>
        <v/>
      </c>
      <c r="W8" s="26" t="str">
        <f t="shared" si="16"/>
        <v/>
      </c>
      <c r="X8" s="13" t="str">
        <f t="shared" si="17"/>
        <v/>
      </c>
      <c r="Y8" s="9">
        <f t="shared" ref="Y8:Y71" si="18">Y7+SUM(G8:K8)-SUM(L8:X8)</f>
        <v>0</v>
      </c>
    </row>
    <row r="9" spans="1:25" x14ac:dyDescent="0.25">
      <c r="A9" s="28"/>
      <c r="B9" s="29"/>
      <c r="C9" s="30"/>
      <c r="D9" s="31"/>
      <c r="E9" s="29" t="s">
        <v>16</v>
      </c>
      <c r="F9" s="13" t="b">
        <f>IF($E9=Categories!$A$1,"",IF($E9=Categories!$A$2,Categories!$B$2,IF($E9=Categories!$A$3,Categories!$B$3,IF($E9=Categories!$A$4,Categories!$B$4,IF($E9=Categories!$A$5,Categories!$B$5,IF($E9=Categories!$A$6,Categories!$B$6,IF($E9=Categories!$A$7,Categories!$B$7,IF($E9=Categories!$A$8,Categories!$B$8,IF($E9=Categories!$A$9,Categories!$B$9,IF($E9=Categories!$A$10,Categories!$B$10,IF($E9=Categories!$A$11,Categories!$B$11,IF($E9=Categories!$A$12,Categories!$B$12,IF($E9=Categories!$A$13,Categories!$B$13,IF($E9=Categories!$A$14,Categories!$B$14,IF($E9=Categories!$A$15,Categories!$B$15,IF($E9=Categories!$A$16,Categories!$B$16,IF($E9=Categories!$A$17,Categories!$B$17,IF($E9=Categories!$A$18,Categories!$B$18,IF($E9=Categories!$A$19,Categories!$B$19)))))))))))))))))))</f>
        <v>0</v>
      </c>
      <c r="G9" s="9" t="str">
        <f t="shared" si="0"/>
        <v/>
      </c>
      <c r="H9" s="1" t="str">
        <f t="shared" si="1"/>
        <v/>
      </c>
      <c r="I9" s="1" t="str">
        <f t="shared" si="2"/>
        <v/>
      </c>
      <c r="J9" s="1" t="str">
        <f t="shared" si="3"/>
        <v/>
      </c>
      <c r="K9" s="13" t="str">
        <f t="shared" si="4"/>
        <v/>
      </c>
      <c r="L9" s="9" t="str">
        <f t="shared" si="5"/>
        <v/>
      </c>
      <c r="M9" s="1" t="str">
        <f t="shared" si="6"/>
        <v/>
      </c>
      <c r="N9" s="1" t="str">
        <f t="shared" si="7"/>
        <v/>
      </c>
      <c r="O9" s="1" t="str">
        <f t="shared" si="8"/>
        <v/>
      </c>
      <c r="P9" s="1" t="str">
        <f t="shared" si="9"/>
        <v/>
      </c>
      <c r="Q9" s="1" t="str">
        <f t="shared" si="10"/>
        <v/>
      </c>
      <c r="R9" s="1" t="str">
        <f t="shared" si="11"/>
        <v/>
      </c>
      <c r="S9" s="1" t="str">
        <f t="shared" si="12"/>
        <v/>
      </c>
      <c r="T9" s="1" t="str">
        <f t="shared" si="13"/>
        <v/>
      </c>
      <c r="U9" s="1" t="str">
        <f t="shared" si="14"/>
        <v/>
      </c>
      <c r="V9" s="1" t="str">
        <f t="shared" si="15"/>
        <v/>
      </c>
      <c r="W9" s="26" t="str">
        <f t="shared" si="16"/>
        <v/>
      </c>
      <c r="X9" s="13" t="str">
        <f t="shared" si="17"/>
        <v/>
      </c>
      <c r="Y9" s="9">
        <f t="shared" si="18"/>
        <v>0</v>
      </c>
    </row>
    <row r="10" spans="1:25" x14ac:dyDescent="0.25">
      <c r="A10" s="28"/>
      <c r="B10" s="29"/>
      <c r="C10" s="30"/>
      <c r="D10" s="31"/>
      <c r="E10" s="29" t="s">
        <v>16</v>
      </c>
      <c r="F10" s="13" t="b">
        <f>IF($E10=Categories!$A$1,"",IF($E10=Categories!$A$2,Categories!$B$2,IF($E10=Categories!$A$3,Categories!$B$3,IF($E10=Categories!$A$4,Categories!$B$4,IF($E10=Categories!$A$5,Categories!$B$5,IF($E10=Categories!$A$6,Categories!$B$6,IF($E10=Categories!$A$7,Categories!$B$7,IF($E10=Categories!$A$8,Categories!$B$8,IF($E10=Categories!$A$9,Categories!$B$9,IF($E10=Categories!$A$10,Categories!$B$10,IF($E10=Categories!$A$11,Categories!$B$11,IF($E10=Categories!$A$12,Categories!$B$12,IF($E10=Categories!$A$13,Categories!$B$13,IF($E10=Categories!$A$14,Categories!$B$14,IF($E10=Categories!$A$15,Categories!$B$15,IF($E10=Categories!$A$16,Categories!$B$16,IF($E10=Categories!$A$17,Categories!$B$17,IF($E10=Categories!$A$18,Categories!$B$18,IF($E10=Categories!$A$19,Categories!$B$19)))))))))))))))))))</f>
        <v>0</v>
      </c>
      <c r="G10" s="9" t="str">
        <f t="shared" si="0"/>
        <v/>
      </c>
      <c r="H10" s="1" t="str">
        <f t="shared" si="1"/>
        <v/>
      </c>
      <c r="I10" s="1" t="str">
        <f t="shared" si="2"/>
        <v/>
      </c>
      <c r="J10" s="1" t="str">
        <f t="shared" si="3"/>
        <v/>
      </c>
      <c r="K10" s="13" t="str">
        <f t="shared" si="4"/>
        <v/>
      </c>
      <c r="L10" s="9" t="str">
        <f t="shared" si="5"/>
        <v/>
      </c>
      <c r="M10" s="1" t="str">
        <f t="shared" si="6"/>
        <v/>
      </c>
      <c r="N10" s="1" t="str">
        <f t="shared" si="7"/>
        <v/>
      </c>
      <c r="O10" s="1" t="str">
        <f t="shared" si="8"/>
        <v/>
      </c>
      <c r="P10" s="1" t="str">
        <f t="shared" si="9"/>
        <v/>
      </c>
      <c r="Q10" s="1" t="str">
        <f t="shared" si="10"/>
        <v/>
      </c>
      <c r="R10" s="1" t="str">
        <f t="shared" si="11"/>
        <v/>
      </c>
      <c r="S10" s="1" t="str">
        <f t="shared" si="12"/>
        <v/>
      </c>
      <c r="T10" s="1" t="str">
        <f t="shared" si="13"/>
        <v/>
      </c>
      <c r="U10" s="1" t="str">
        <f t="shared" si="14"/>
        <v/>
      </c>
      <c r="V10" s="1" t="str">
        <f t="shared" si="15"/>
        <v/>
      </c>
      <c r="W10" s="26" t="str">
        <f t="shared" si="16"/>
        <v/>
      </c>
      <c r="X10" s="13" t="str">
        <f t="shared" si="17"/>
        <v/>
      </c>
      <c r="Y10" s="9">
        <f t="shared" si="18"/>
        <v>0</v>
      </c>
    </row>
    <row r="11" spans="1:25" x14ac:dyDescent="0.25">
      <c r="A11" s="28"/>
      <c r="B11" s="29"/>
      <c r="C11" s="30"/>
      <c r="D11" s="31"/>
      <c r="E11" s="29" t="s">
        <v>16</v>
      </c>
      <c r="F11" s="13" t="b">
        <f>IF($E11=Categories!$A$1,"",IF($E11=Categories!$A$2,Categories!$B$2,IF($E11=Categories!$A$3,Categories!$B$3,IF($E11=Categories!$A$4,Categories!$B$4,IF($E11=Categories!$A$5,Categories!$B$5,IF($E11=Categories!$A$6,Categories!$B$6,IF($E11=Categories!$A$7,Categories!$B$7,IF($E11=Categories!$A$8,Categories!$B$8,IF($E11=Categories!$A$9,Categories!$B$9,IF($E11=Categories!$A$10,Categories!$B$10,IF($E11=Categories!$A$11,Categories!$B$11,IF($E11=Categories!$A$12,Categories!$B$12,IF($E11=Categories!$A$13,Categories!$B$13,IF($E11=Categories!$A$14,Categories!$B$14,IF($E11=Categories!$A$15,Categories!$B$15,IF($E11=Categories!$A$16,Categories!$B$16,IF($E11=Categories!$A$17,Categories!$B$17,IF($E11=Categories!$A$18,Categories!$B$18,IF($E11=Categories!$A$19,Categories!$B$19)))))))))))))))))))</f>
        <v>0</v>
      </c>
      <c r="G11" s="9" t="str">
        <f t="shared" si="0"/>
        <v/>
      </c>
      <c r="H11" s="1" t="str">
        <f t="shared" si="1"/>
        <v/>
      </c>
      <c r="I11" s="1" t="str">
        <f t="shared" si="2"/>
        <v/>
      </c>
      <c r="J11" s="1" t="str">
        <f t="shared" si="3"/>
        <v/>
      </c>
      <c r="K11" s="13" t="str">
        <f t="shared" si="4"/>
        <v/>
      </c>
      <c r="L11" s="9" t="str">
        <f t="shared" si="5"/>
        <v/>
      </c>
      <c r="M11" s="1" t="str">
        <f t="shared" si="6"/>
        <v/>
      </c>
      <c r="N11" s="1" t="str">
        <f t="shared" si="7"/>
        <v/>
      </c>
      <c r="O11" s="1" t="str">
        <f t="shared" si="8"/>
        <v/>
      </c>
      <c r="P11" s="1" t="str">
        <f t="shared" si="9"/>
        <v/>
      </c>
      <c r="Q11" s="1" t="str">
        <f t="shared" si="10"/>
        <v/>
      </c>
      <c r="R11" s="1" t="str">
        <f t="shared" si="11"/>
        <v/>
      </c>
      <c r="S11" s="1" t="str">
        <f t="shared" si="12"/>
        <v/>
      </c>
      <c r="T11" s="1" t="str">
        <f t="shared" si="13"/>
        <v/>
      </c>
      <c r="U11" s="1" t="str">
        <f t="shared" si="14"/>
        <v/>
      </c>
      <c r="V11" s="1" t="str">
        <f t="shared" si="15"/>
        <v/>
      </c>
      <c r="W11" s="26" t="str">
        <f t="shared" si="16"/>
        <v/>
      </c>
      <c r="X11" s="13" t="str">
        <f t="shared" si="17"/>
        <v/>
      </c>
      <c r="Y11" s="9">
        <f t="shared" si="18"/>
        <v>0</v>
      </c>
    </row>
    <row r="12" spans="1:25" x14ac:dyDescent="0.25">
      <c r="A12" s="28"/>
      <c r="B12" s="29"/>
      <c r="C12" s="30"/>
      <c r="D12" s="31"/>
      <c r="E12" s="29" t="s">
        <v>16</v>
      </c>
      <c r="F12" s="13" t="b">
        <f>IF($E12=Categories!$A$1,"",IF($E12=Categories!$A$2,Categories!$B$2,IF($E12=Categories!$A$3,Categories!$B$3,IF($E12=Categories!$A$4,Categories!$B$4,IF($E12=Categories!$A$5,Categories!$B$5,IF($E12=Categories!$A$6,Categories!$B$6,IF($E12=Categories!$A$7,Categories!$B$7,IF($E12=Categories!$A$8,Categories!$B$8,IF($E12=Categories!$A$9,Categories!$B$9,IF($E12=Categories!$A$10,Categories!$B$10,IF($E12=Categories!$A$11,Categories!$B$11,IF($E12=Categories!$A$12,Categories!$B$12,IF($E12=Categories!$A$13,Categories!$B$13,IF($E12=Categories!$A$14,Categories!$B$14,IF($E12=Categories!$A$15,Categories!$B$15,IF($E12=Categories!$A$16,Categories!$B$16,IF($E12=Categories!$A$17,Categories!$B$17,IF($E12=Categories!$A$18,Categories!$B$18,IF($E12=Categories!$A$19,Categories!$B$19)))))))))))))))))))</f>
        <v>0</v>
      </c>
      <c r="G12" s="9" t="str">
        <f t="shared" si="0"/>
        <v/>
      </c>
      <c r="H12" s="1" t="str">
        <f t="shared" si="1"/>
        <v/>
      </c>
      <c r="I12" s="1" t="str">
        <f t="shared" si="2"/>
        <v/>
      </c>
      <c r="J12" s="1" t="str">
        <f t="shared" si="3"/>
        <v/>
      </c>
      <c r="K12" s="13" t="str">
        <f t="shared" si="4"/>
        <v/>
      </c>
      <c r="L12" s="9" t="str">
        <f t="shared" si="5"/>
        <v/>
      </c>
      <c r="M12" s="1" t="str">
        <f t="shared" si="6"/>
        <v/>
      </c>
      <c r="N12" s="1" t="str">
        <f t="shared" si="7"/>
        <v/>
      </c>
      <c r="O12" s="1" t="str">
        <f t="shared" si="8"/>
        <v/>
      </c>
      <c r="P12" s="1" t="str">
        <f t="shared" si="9"/>
        <v/>
      </c>
      <c r="Q12" s="1" t="str">
        <f t="shared" si="10"/>
        <v/>
      </c>
      <c r="R12" s="1" t="str">
        <f t="shared" si="11"/>
        <v/>
      </c>
      <c r="S12" s="1" t="str">
        <f t="shared" si="12"/>
        <v/>
      </c>
      <c r="T12" s="1" t="str">
        <f t="shared" si="13"/>
        <v/>
      </c>
      <c r="U12" s="1" t="str">
        <f t="shared" si="14"/>
        <v/>
      </c>
      <c r="V12" s="1" t="str">
        <f t="shared" si="15"/>
        <v/>
      </c>
      <c r="W12" s="26" t="str">
        <f t="shared" si="16"/>
        <v/>
      </c>
      <c r="X12" s="13" t="str">
        <f t="shared" si="17"/>
        <v/>
      </c>
      <c r="Y12" s="9">
        <f t="shared" si="18"/>
        <v>0</v>
      </c>
    </row>
    <row r="13" spans="1:25" x14ac:dyDescent="0.25">
      <c r="A13" s="28"/>
      <c r="B13" s="29"/>
      <c r="C13" s="30"/>
      <c r="D13" s="31"/>
      <c r="E13" s="29" t="s">
        <v>16</v>
      </c>
      <c r="F13" s="13" t="b">
        <f>IF($E13=Categories!$A$1,"",IF($E13=Categories!$A$2,Categories!$B$2,IF($E13=Categories!$A$3,Categories!$B$3,IF($E13=Categories!$A$4,Categories!$B$4,IF($E13=Categories!$A$5,Categories!$B$5,IF($E13=Categories!$A$6,Categories!$B$6,IF($E13=Categories!$A$7,Categories!$B$7,IF($E13=Categories!$A$8,Categories!$B$8,IF($E13=Categories!$A$9,Categories!$B$9,IF($E13=Categories!$A$10,Categories!$B$10,IF($E13=Categories!$A$11,Categories!$B$11,IF($E13=Categories!$A$12,Categories!$B$12,IF($E13=Categories!$A$13,Categories!$B$13,IF($E13=Categories!$A$14,Categories!$B$14,IF($E13=Categories!$A$15,Categories!$B$15,IF($E13=Categories!$A$16,Categories!$B$16,IF($E13=Categories!$A$17,Categories!$B$17,IF($E13=Categories!$A$18,Categories!$B$18,IF($E13=Categories!$A$19,Categories!$B$19)))))))))))))))))))</f>
        <v>0</v>
      </c>
      <c r="G13" s="9" t="str">
        <f t="shared" si="0"/>
        <v/>
      </c>
      <c r="H13" s="1" t="str">
        <f t="shared" si="1"/>
        <v/>
      </c>
      <c r="I13" s="1" t="str">
        <f t="shared" si="2"/>
        <v/>
      </c>
      <c r="J13" s="1" t="str">
        <f t="shared" si="3"/>
        <v/>
      </c>
      <c r="K13" s="13" t="str">
        <f t="shared" si="4"/>
        <v/>
      </c>
      <c r="L13" s="9" t="str">
        <f t="shared" si="5"/>
        <v/>
      </c>
      <c r="M13" s="1" t="str">
        <f t="shared" si="6"/>
        <v/>
      </c>
      <c r="N13" s="1" t="str">
        <f t="shared" si="7"/>
        <v/>
      </c>
      <c r="O13" s="1" t="str">
        <f t="shared" si="8"/>
        <v/>
      </c>
      <c r="P13" s="1" t="str">
        <f t="shared" si="9"/>
        <v/>
      </c>
      <c r="Q13" s="1" t="str">
        <f t="shared" si="10"/>
        <v/>
      </c>
      <c r="R13" s="1" t="str">
        <f t="shared" si="11"/>
        <v/>
      </c>
      <c r="S13" s="1" t="str">
        <f t="shared" si="12"/>
        <v/>
      </c>
      <c r="T13" s="1" t="str">
        <f t="shared" si="13"/>
        <v/>
      </c>
      <c r="U13" s="1" t="str">
        <f t="shared" si="14"/>
        <v/>
      </c>
      <c r="V13" s="1" t="str">
        <f t="shared" si="15"/>
        <v/>
      </c>
      <c r="W13" s="26" t="str">
        <f t="shared" si="16"/>
        <v/>
      </c>
      <c r="X13" s="13" t="str">
        <f t="shared" si="17"/>
        <v/>
      </c>
      <c r="Y13" s="9">
        <f t="shared" si="18"/>
        <v>0</v>
      </c>
    </row>
    <row r="14" spans="1:25" x14ac:dyDescent="0.25">
      <c r="A14" s="28"/>
      <c r="B14" s="29"/>
      <c r="C14" s="30"/>
      <c r="D14" s="31"/>
      <c r="E14" s="29" t="s">
        <v>16</v>
      </c>
      <c r="F14" s="13" t="b">
        <f>IF($E14=Categories!$A$1,"",IF($E14=Categories!$A$2,Categories!$B$2,IF($E14=Categories!$A$3,Categories!$B$3,IF($E14=Categories!$A$4,Categories!$B$4,IF($E14=Categories!$A$5,Categories!$B$5,IF($E14=Categories!$A$6,Categories!$B$6,IF($E14=Categories!$A$7,Categories!$B$7,IF($E14=Categories!$A$8,Categories!$B$8,IF($E14=Categories!$A$9,Categories!$B$9,IF($E14=Categories!$A$10,Categories!$B$10,IF($E14=Categories!$A$11,Categories!$B$11,IF($E14=Categories!$A$12,Categories!$B$12,IF($E14=Categories!$A$13,Categories!$B$13,IF($E14=Categories!$A$14,Categories!$B$14,IF($E14=Categories!$A$15,Categories!$B$15,IF($E14=Categories!$A$16,Categories!$B$16,IF($E14=Categories!$A$17,Categories!$B$17,IF($E14=Categories!$A$18,Categories!$B$18,IF($E14=Categories!$A$19,Categories!$B$19)))))))))))))))))))</f>
        <v>0</v>
      </c>
      <c r="G14" s="9" t="str">
        <f t="shared" si="0"/>
        <v/>
      </c>
      <c r="H14" s="1" t="str">
        <f t="shared" si="1"/>
        <v/>
      </c>
      <c r="I14" s="1" t="str">
        <f t="shared" si="2"/>
        <v/>
      </c>
      <c r="J14" s="1" t="str">
        <f t="shared" si="3"/>
        <v/>
      </c>
      <c r="K14" s="13" t="str">
        <f t="shared" si="4"/>
        <v/>
      </c>
      <c r="L14" s="9" t="str">
        <f t="shared" si="5"/>
        <v/>
      </c>
      <c r="M14" s="1" t="str">
        <f t="shared" si="6"/>
        <v/>
      </c>
      <c r="N14" s="1" t="str">
        <f t="shared" si="7"/>
        <v/>
      </c>
      <c r="O14" s="1" t="str">
        <f t="shared" si="8"/>
        <v/>
      </c>
      <c r="P14" s="1" t="str">
        <f t="shared" si="9"/>
        <v/>
      </c>
      <c r="Q14" s="1" t="str">
        <f t="shared" si="10"/>
        <v/>
      </c>
      <c r="R14" s="1" t="str">
        <f t="shared" si="11"/>
        <v/>
      </c>
      <c r="S14" s="1" t="str">
        <f t="shared" si="12"/>
        <v/>
      </c>
      <c r="T14" s="1" t="str">
        <f t="shared" si="13"/>
        <v/>
      </c>
      <c r="U14" s="1" t="str">
        <f t="shared" si="14"/>
        <v/>
      </c>
      <c r="V14" s="1" t="str">
        <f t="shared" si="15"/>
        <v/>
      </c>
      <c r="W14" s="26" t="str">
        <f t="shared" si="16"/>
        <v/>
      </c>
      <c r="X14" s="13" t="str">
        <f t="shared" si="17"/>
        <v/>
      </c>
      <c r="Y14" s="9">
        <f t="shared" si="18"/>
        <v>0</v>
      </c>
    </row>
    <row r="15" spans="1:25" x14ac:dyDescent="0.25">
      <c r="A15" s="28"/>
      <c r="B15" s="29"/>
      <c r="C15" s="30"/>
      <c r="D15" s="31"/>
      <c r="E15" s="29" t="s">
        <v>16</v>
      </c>
      <c r="F15" s="13" t="b">
        <f>IF($E15=Categories!$A$1,"",IF($E15=Categories!$A$2,Categories!$B$2,IF($E15=Categories!$A$3,Categories!$B$3,IF($E15=Categories!$A$4,Categories!$B$4,IF($E15=Categories!$A$5,Categories!$B$5,IF($E15=Categories!$A$6,Categories!$B$6,IF($E15=Categories!$A$7,Categories!$B$7,IF($E15=Categories!$A$8,Categories!$B$8,IF($E15=Categories!$A$9,Categories!$B$9,IF($E15=Categories!$A$10,Categories!$B$10,IF($E15=Categories!$A$11,Categories!$B$11,IF($E15=Categories!$A$12,Categories!$B$12,IF($E15=Categories!$A$13,Categories!$B$13,IF($E15=Categories!$A$14,Categories!$B$14,IF($E15=Categories!$A$15,Categories!$B$15,IF($E15=Categories!$A$16,Categories!$B$16,IF($E15=Categories!$A$17,Categories!$B$17,IF($E15=Categories!$A$18,Categories!$B$18,IF($E15=Categories!$A$19,Categories!$B$19)))))))))))))))))))</f>
        <v>0</v>
      </c>
      <c r="G15" s="9" t="str">
        <f t="shared" si="0"/>
        <v/>
      </c>
      <c r="H15" s="1" t="str">
        <f t="shared" si="1"/>
        <v/>
      </c>
      <c r="I15" s="1" t="str">
        <f t="shared" si="2"/>
        <v/>
      </c>
      <c r="J15" s="1" t="str">
        <f t="shared" si="3"/>
        <v/>
      </c>
      <c r="K15" s="13" t="str">
        <f t="shared" si="4"/>
        <v/>
      </c>
      <c r="L15" s="9" t="str">
        <f t="shared" si="5"/>
        <v/>
      </c>
      <c r="M15" s="1" t="str">
        <f t="shared" si="6"/>
        <v/>
      </c>
      <c r="N15" s="1" t="str">
        <f t="shared" si="7"/>
        <v/>
      </c>
      <c r="O15" s="1" t="str">
        <f t="shared" si="8"/>
        <v/>
      </c>
      <c r="P15" s="1" t="str">
        <f t="shared" si="9"/>
        <v/>
      </c>
      <c r="Q15" s="1" t="str">
        <f t="shared" si="10"/>
        <v/>
      </c>
      <c r="R15" s="1" t="str">
        <f t="shared" si="11"/>
        <v/>
      </c>
      <c r="S15" s="1" t="str">
        <f t="shared" si="12"/>
        <v/>
      </c>
      <c r="T15" s="1" t="str">
        <f t="shared" si="13"/>
        <v/>
      </c>
      <c r="U15" s="1" t="str">
        <f t="shared" si="14"/>
        <v/>
      </c>
      <c r="V15" s="1" t="str">
        <f t="shared" si="15"/>
        <v/>
      </c>
      <c r="W15" s="26" t="str">
        <f t="shared" si="16"/>
        <v/>
      </c>
      <c r="X15" s="13" t="str">
        <f t="shared" si="17"/>
        <v/>
      </c>
      <c r="Y15" s="9">
        <f t="shared" si="18"/>
        <v>0</v>
      </c>
    </row>
    <row r="16" spans="1:25" x14ac:dyDescent="0.25">
      <c r="A16" s="28"/>
      <c r="B16" s="29"/>
      <c r="C16" s="30"/>
      <c r="D16" s="31"/>
      <c r="E16" s="29" t="s">
        <v>16</v>
      </c>
      <c r="F16" s="13" t="b">
        <f>IF($E16=Categories!$A$1,"",IF($E16=Categories!$A$2,Categories!$B$2,IF($E16=Categories!$A$3,Categories!$B$3,IF($E16=Categories!$A$4,Categories!$B$4,IF($E16=Categories!$A$5,Categories!$B$5,IF($E16=Categories!$A$6,Categories!$B$6,IF($E16=Categories!$A$7,Categories!$B$7,IF($E16=Categories!$A$8,Categories!$B$8,IF($E16=Categories!$A$9,Categories!$B$9,IF($E16=Categories!$A$10,Categories!$B$10,IF($E16=Categories!$A$11,Categories!$B$11,IF($E16=Categories!$A$12,Categories!$B$12,IF($E16=Categories!$A$13,Categories!$B$13,IF($E16=Categories!$A$14,Categories!$B$14,IF($E16=Categories!$A$15,Categories!$B$15,IF($E16=Categories!$A$16,Categories!$B$16,IF($E16=Categories!$A$17,Categories!$B$17,IF($E16=Categories!$A$18,Categories!$B$18,IF($E16=Categories!$A$19,Categories!$B$19)))))))))))))))))))</f>
        <v>0</v>
      </c>
      <c r="G16" s="9" t="str">
        <f t="shared" si="0"/>
        <v/>
      </c>
      <c r="H16" s="1" t="str">
        <f t="shared" si="1"/>
        <v/>
      </c>
      <c r="I16" s="1" t="str">
        <f t="shared" si="2"/>
        <v/>
      </c>
      <c r="J16" s="1" t="str">
        <f t="shared" si="3"/>
        <v/>
      </c>
      <c r="K16" s="13" t="str">
        <f t="shared" si="4"/>
        <v/>
      </c>
      <c r="L16" s="9" t="str">
        <f t="shared" si="5"/>
        <v/>
      </c>
      <c r="M16" s="1" t="str">
        <f t="shared" si="6"/>
        <v/>
      </c>
      <c r="N16" s="1" t="str">
        <f t="shared" si="7"/>
        <v/>
      </c>
      <c r="O16" s="1" t="str">
        <f t="shared" si="8"/>
        <v/>
      </c>
      <c r="P16" s="1" t="str">
        <f t="shared" si="9"/>
        <v/>
      </c>
      <c r="Q16" s="1" t="str">
        <f t="shared" si="10"/>
        <v/>
      </c>
      <c r="R16" s="1" t="str">
        <f t="shared" si="11"/>
        <v/>
      </c>
      <c r="S16" s="1" t="str">
        <f t="shared" si="12"/>
        <v/>
      </c>
      <c r="T16" s="1" t="str">
        <f t="shared" si="13"/>
        <v/>
      </c>
      <c r="U16" s="1" t="str">
        <f t="shared" si="14"/>
        <v/>
      </c>
      <c r="V16" s="1" t="str">
        <f t="shared" si="15"/>
        <v/>
      </c>
      <c r="W16" s="26" t="str">
        <f t="shared" si="16"/>
        <v/>
      </c>
      <c r="X16" s="13" t="str">
        <f t="shared" si="17"/>
        <v/>
      </c>
      <c r="Y16" s="9">
        <f t="shared" si="18"/>
        <v>0</v>
      </c>
    </row>
    <row r="17" spans="1:25" x14ac:dyDescent="0.25">
      <c r="A17" s="28"/>
      <c r="B17" s="29"/>
      <c r="C17" s="30"/>
      <c r="D17" s="31"/>
      <c r="E17" s="29" t="s">
        <v>16</v>
      </c>
      <c r="F17" s="13" t="b">
        <f>IF($E17=Categories!$A$1,"",IF($E17=Categories!$A$2,Categories!$B$2,IF($E17=Categories!$A$3,Categories!$B$3,IF($E17=Categories!$A$4,Categories!$B$4,IF($E17=Categories!$A$5,Categories!$B$5,IF($E17=Categories!$A$6,Categories!$B$6,IF($E17=Categories!$A$7,Categories!$B$7,IF($E17=Categories!$A$8,Categories!$B$8,IF($E17=Categories!$A$9,Categories!$B$9,IF($E17=Categories!$A$10,Categories!$B$10,IF($E17=Categories!$A$11,Categories!$B$11,IF($E17=Categories!$A$12,Categories!$B$12,IF($E17=Categories!$A$13,Categories!$B$13,IF($E17=Categories!$A$14,Categories!$B$14,IF($E17=Categories!$A$15,Categories!$B$15,IF($E17=Categories!$A$16,Categories!$B$16,IF($E17=Categories!$A$17,Categories!$B$17,IF($E17=Categories!$A$18,Categories!$B$18,IF($E17=Categories!$A$19,Categories!$B$19)))))))))))))))))))</f>
        <v>0</v>
      </c>
      <c r="G17" s="9" t="str">
        <f t="shared" si="0"/>
        <v/>
      </c>
      <c r="H17" s="1" t="str">
        <f t="shared" si="1"/>
        <v/>
      </c>
      <c r="I17" s="1" t="str">
        <f t="shared" si="2"/>
        <v/>
      </c>
      <c r="J17" s="1" t="str">
        <f t="shared" si="3"/>
        <v/>
      </c>
      <c r="K17" s="13" t="str">
        <f t="shared" si="4"/>
        <v/>
      </c>
      <c r="L17" s="9" t="str">
        <f t="shared" si="5"/>
        <v/>
      </c>
      <c r="M17" s="1" t="str">
        <f t="shared" si="6"/>
        <v/>
      </c>
      <c r="N17" s="1" t="str">
        <f t="shared" si="7"/>
        <v/>
      </c>
      <c r="O17" s="1" t="str">
        <f t="shared" si="8"/>
        <v/>
      </c>
      <c r="P17" s="1" t="str">
        <f t="shared" si="9"/>
        <v/>
      </c>
      <c r="Q17" s="1" t="str">
        <f t="shared" si="10"/>
        <v/>
      </c>
      <c r="R17" s="1" t="str">
        <f t="shared" si="11"/>
        <v/>
      </c>
      <c r="S17" s="1" t="str">
        <f t="shared" si="12"/>
        <v/>
      </c>
      <c r="T17" s="1" t="str">
        <f t="shared" si="13"/>
        <v/>
      </c>
      <c r="U17" s="1" t="str">
        <f t="shared" si="14"/>
        <v/>
      </c>
      <c r="V17" s="1" t="str">
        <f t="shared" si="15"/>
        <v/>
      </c>
      <c r="W17" s="26" t="str">
        <f t="shared" si="16"/>
        <v/>
      </c>
      <c r="X17" s="13" t="str">
        <f t="shared" si="17"/>
        <v/>
      </c>
      <c r="Y17" s="9">
        <f t="shared" si="18"/>
        <v>0</v>
      </c>
    </row>
    <row r="18" spans="1:25" x14ac:dyDescent="0.25">
      <c r="A18" s="28"/>
      <c r="B18" s="29"/>
      <c r="C18" s="30"/>
      <c r="D18" s="31"/>
      <c r="E18" s="29" t="s">
        <v>16</v>
      </c>
      <c r="F18" s="13" t="b">
        <f>IF($E18=Categories!$A$1,"",IF($E18=Categories!$A$2,Categories!$B$2,IF($E18=Categories!$A$3,Categories!$B$3,IF($E18=Categories!$A$4,Categories!$B$4,IF($E18=Categories!$A$5,Categories!$B$5,IF($E18=Categories!$A$6,Categories!$B$6,IF($E18=Categories!$A$7,Categories!$B$7,IF($E18=Categories!$A$8,Categories!$B$8,IF($E18=Categories!$A$9,Categories!$B$9,IF($E18=Categories!$A$10,Categories!$B$10,IF($E18=Categories!$A$11,Categories!$B$11,IF($E18=Categories!$A$12,Categories!$B$12,IF($E18=Categories!$A$13,Categories!$B$13,IF($E18=Categories!$A$14,Categories!$B$14,IF($E18=Categories!$A$15,Categories!$B$15,IF($E18=Categories!$A$16,Categories!$B$16,IF($E18=Categories!$A$17,Categories!$B$17,IF($E18=Categories!$A$18,Categories!$B$18,IF($E18=Categories!$A$19,Categories!$B$19)))))))))))))))))))</f>
        <v>0</v>
      </c>
      <c r="G18" s="9" t="str">
        <f t="shared" si="0"/>
        <v/>
      </c>
      <c r="H18" s="1" t="str">
        <f t="shared" si="1"/>
        <v/>
      </c>
      <c r="I18" s="1" t="str">
        <f t="shared" si="2"/>
        <v/>
      </c>
      <c r="J18" s="1" t="str">
        <f t="shared" si="3"/>
        <v/>
      </c>
      <c r="K18" s="13" t="str">
        <f t="shared" si="4"/>
        <v/>
      </c>
      <c r="L18" s="9" t="str">
        <f t="shared" si="5"/>
        <v/>
      </c>
      <c r="M18" s="1" t="str">
        <f t="shared" si="6"/>
        <v/>
      </c>
      <c r="N18" s="1" t="str">
        <f t="shared" si="7"/>
        <v/>
      </c>
      <c r="O18" s="1" t="str">
        <f t="shared" si="8"/>
        <v/>
      </c>
      <c r="P18" s="1" t="str">
        <f t="shared" si="9"/>
        <v/>
      </c>
      <c r="Q18" s="1" t="str">
        <f t="shared" si="10"/>
        <v/>
      </c>
      <c r="R18" s="1" t="str">
        <f t="shared" si="11"/>
        <v/>
      </c>
      <c r="S18" s="1" t="str">
        <f t="shared" si="12"/>
        <v/>
      </c>
      <c r="T18" s="1" t="str">
        <f t="shared" si="13"/>
        <v/>
      </c>
      <c r="U18" s="1" t="str">
        <f t="shared" si="14"/>
        <v/>
      </c>
      <c r="V18" s="1" t="str">
        <f t="shared" si="15"/>
        <v/>
      </c>
      <c r="W18" s="26" t="str">
        <f t="shared" si="16"/>
        <v/>
      </c>
      <c r="X18" s="13" t="str">
        <f t="shared" si="17"/>
        <v/>
      </c>
      <c r="Y18" s="9">
        <f t="shared" si="18"/>
        <v>0</v>
      </c>
    </row>
    <row r="19" spans="1:25" x14ac:dyDescent="0.25">
      <c r="A19" s="28"/>
      <c r="B19" s="29"/>
      <c r="C19" s="30"/>
      <c r="D19" s="31"/>
      <c r="E19" s="29" t="s">
        <v>16</v>
      </c>
      <c r="F19" s="13" t="b">
        <f>IF($E19=Categories!$A$1,"",IF($E19=Categories!$A$2,Categories!$B$2,IF($E19=Categories!$A$3,Categories!$B$3,IF($E19=Categories!$A$4,Categories!$B$4,IF($E19=Categories!$A$5,Categories!$B$5,IF($E19=Categories!$A$6,Categories!$B$6,IF($E19=Categories!$A$7,Categories!$B$7,IF($E19=Categories!$A$8,Categories!$B$8,IF($E19=Categories!$A$9,Categories!$B$9,IF($E19=Categories!$A$10,Categories!$B$10,IF($E19=Categories!$A$11,Categories!$B$11,IF($E19=Categories!$A$12,Categories!$B$12,IF($E19=Categories!$A$13,Categories!$B$13,IF($E19=Categories!$A$14,Categories!$B$14,IF($E19=Categories!$A$15,Categories!$B$15,IF($E19=Categories!$A$16,Categories!$B$16,IF($E19=Categories!$A$17,Categories!$B$17,IF($E19=Categories!$A$18,Categories!$B$18,IF($E19=Categories!$A$19,Categories!$B$19)))))))))))))))))))</f>
        <v>0</v>
      </c>
      <c r="G19" s="9" t="str">
        <f t="shared" si="0"/>
        <v/>
      </c>
      <c r="H19" s="1" t="str">
        <f t="shared" si="1"/>
        <v/>
      </c>
      <c r="I19" s="1" t="str">
        <f t="shared" si="2"/>
        <v/>
      </c>
      <c r="J19" s="1" t="str">
        <f t="shared" si="3"/>
        <v/>
      </c>
      <c r="K19" s="13" t="str">
        <f t="shared" si="4"/>
        <v/>
      </c>
      <c r="L19" s="9" t="str">
        <f t="shared" si="5"/>
        <v/>
      </c>
      <c r="M19" s="1" t="str">
        <f t="shared" si="6"/>
        <v/>
      </c>
      <c r="N19" s="1" t="str">
        <f t="shared" si="7"/>
        <v/>
      </c>
      <c r="O19" s="1" t="str">
        <f t="shared" si="8"/>
        <v/>
      </c>
      <c r="P19" s="1" t="str">
        <f t="shared" si="9"/>
        <v/>
      </c>
      <c r="Q19" s="1" t="str">
        <f t="shared" si="10"/>
        <v/>
      </c>
      <c r="R19" s="1" t="str">
        <f t="shared" si="11"/>
        <v/>
      </c>
      <c r="S19" s="1" t="str">
        <f t="shared" si="12"/>
        <v/>
      </c>
      <c r="T19" s="1" t="str">
        <f t="shared" si="13"/>
        <v/>
      </c>
      <c r="U19" s="1" t="str">
        <f t="shared" si="14"/>
        <v/>
      </c>
      <c r="V19" s="1" t="str">
        <f t="shared" si="15"/>
        <v/>
      </c>
      <c r="W19" s="26" t="str">
        <f t="shared" si="16"/>
        <v/>
      </c>
      <c r="X19" s="13" t="str">
        <f t="shared" si="17"/>
        <v/>
      </c>
      <c r="Y19" s="9">
        <f t="shared" si="18"/>
        <v>0</v>
      </c>
    </row>
    <row r="20" spans="1:25" x14ac:dyDescent="0.25">
      <c r="A20" s="28"/>
      <c r="B20" s="29"/>
      <c r="C20" s="30"/>
      <c r="D20" s="31"/>
      <c r="E20" s="29" t="s">
        <v>16</v>
      </c>
      <c r="F20" s="13" t="b">
        <f>IF($E20=Categories!$A$1,"",IF($E20=Categories!$A$2,Categories!$B$2,IF($E20=Categories!$A$3,Categories!$B$3,IF($E20=Categories!$A$4,Categories!$B$4,IF($E20=Categories!$A$5,Categories!$B$5,IF($E20=Categories!$A$6,Categories!$B$6,IF($E20=Categories!$A$7,Categories!$B$7,IF($E20=Categories!$A$8,Categories!$B$8,IF($E20=Categories!$A$9,Categories!$B$9,IF($E20=Categories!$A$10,Categories!$B$10,IF($E20=Categories!$A$11,Categories!$B$11,IF($E20=Categories!$A$12,Categories!$B$12,IF($E20=Categories!$A$13,Categories!$B$13,IF($E20=Categories!$A$14,Categories!$B$14,IF($E20=Categories!$A$15,Categories!$B$15,IF($E20=Categories!$A$16,Categories!$B$16,IF($E20=Categories!$A$17,Categories!$B$17,IF($E20=Categories!$A$18,Categories!$B$18,IF($E20=Categories!$A$19,Categories!$B$19)))))))))))))))))))</f>
        <v>0</v>
      </c>
      <c r="G20" s="9" t="str">
        <f t="shared" si="0"/>
        <v/>
      </c>
      <c r="H20" s="1" t="str">
        <f t="shared" si="1"/>
        <v/>
      </c>
      <c r="I20" s="1" t="str">
        <f t="shared" si="2"/>
        <v/>
      </c>
      <c r="J20" s="1" t="str">
        <f t="shared" si="3"/>
        <v/>
      </c>
      <c r="K20" s="13" t="str">
        <f t="shared" si="4"/>
        <v/>
      </c>
      <c r="L20" s="9" t="str">
        <f t="shared" si="5"/>
        <v/>
      </c>
      <c r="M20" s="1" t="str">
        <f t="shared" si="6"/>
        <v/>
      </c>
      <c r="N20" s="1" t="str">
        <f t="shared" si="7"/>
        <v/>
      </c>
      <c r="O20" s="1" t="str">
        <f t="shared" si="8"/>
        <v/>
      </c>
      <c r="P20" s="1" t="str">
        <f t="shared" si="9"/>
        <v/>
      </c>
      <c r="Q20" s="1" t="str">
        <f t="shared" si="10"/>
        <v/>
      </c>
      <c r="R20" s="1" t="str">
        <f t="shared" si="11"/>
        <v/>
      </c>
      <c r="S20" s="1" t="str">
        <f t="shared" si="12"/>
        <v/>
      </c>
      <c r="T20" s="1" t="str">
        <f t="shared" si="13"/>
        <v/>
      </c>
      <c r="U20" s="1" t="str">
        <f t="shared" si="14"/>
        <v/>
      </c>
      <c r="V20" s="1" t="str">
        <f t="shared" si="15"/>
        <v/>
      </c>
      <c r="W20" s="26" t="str">
        <f t="shared" si="16"/>
        <v/>
      </c>
      <c r="X20" s="13" t="str">
        <f t="shared" si="17"/>
        <v/>
      </c>
      <c r="Y20" s="9">
        <f t="shared" si="18"/>
        <v>0</v>
      </c>
    </row>
    <row r="21" spans="1:25" x14ac:dyDescent="0.25">
      <c r="A21" s="28"/>
      <c r="B21" s="29"/>
      <c r="C21" s="30"/>
      <c r="D21" s="31"/>
      <c r="E21" s="29" t="s">
        <v>16</v>
      </c>
      <c r="F21" s="13" t="b">
        <f>IF($E21=Categories!$A$1,"",IF($E21=Categories!$A$2,Categories!$B$2,IF($E21=Categories!$A$3,Categories!$B$3,IF($E21=Categories!$A$4,Categories!$B$4,IF($E21=Categories!$A$5,Categories!$B$5,IF($E21=Categories!$A$6,Categories!$B$6,IF($E21=Categories!$A$7,Categories!$B$7,IF($E21=Categories!$A$8,Categories!$B$8,IF($E21=Categories!$A$9,Categories!$B$9,IF($E21=Categories!$A$10,Categories!$B$10,IF($E21=Categories!$A$11,Categories!$B$11,IF($E21=Categories!$A$12,Categories!$B$12,IF($E21=Categories!$A$13,Categories!$B$13,IF($E21=Categories!$A$14,Categories!$B$14,IF($E21=Categories!$A$15,Categories!$B$15,IF($E21=Categories!$A$16,Categories!$B$16,IF($E21=Categories!$A$17,Categories!$B$17,IF($E21=Categories!$A$18,Categories!$B$18,IF($E21=Categories!$A$19,Categories!$B$19)))))))))))))))))))</f>
        <v>0</v>
      </c>
      <c r="G21" s="9" t="str">
        <f t="shared" si="0"/>
        <v/>
      </c>
      <c r="H21" s="1" t="str">
        <f t="shared" si="1"/>
        <v/>
      </c>
      <c r="I21" s="1" t="str">
        <f t="shared" si="2"/>
        <v/>
      </c>
      <c r="J21" s="1" t="str">
        <f t="shared" si="3"/>
        <v/>
      </c>
      <c r="K21" s="13" t="str">
        <f t="shared" si="4"/>
        <v/>
      </c>
      <c r="L21" s="9" t="str">
        <f t="shared" si="5"/>
        <v/>
      </c>
      <c r="M21" s="1" t="str">
        <f t="shared" si="6"/>
        <v/>
      </c>
      <c r="N21" s="1" t="str">
        <f t="shared" si="7"/>
        <v/>
      </c>
      <c r="O21" s="1" t="str">
        <f t="shared" si="8"/>
        <v/>
      </c>
      <c r="P21" s="1" t="str">
        <f t="shared" si="9"/>
        <v/>
      </c>
      <c r="Q21" s="1" t="str">
        <f t="shared" si="10"/>
        <v/>
      </c>
      <c r="R21" s="1" t="str">
        <f t="shared" si="11"/>
        <v/>
      </c>
      <c r="S21" s="1" t="str">
        <f t="shared" si="12"/>
        <v/>
      </c>
      <c r="T21" s="1" t="str">
        <f t="shared" si="13"/>
        <v/>
      </c>
      <c r="U21" s="1" t="str">
        <f t="shared" si="14"/>
        <v/>
      </c>
      <c r="V21" s="1" t="str">
        <f t="shared" si="15"/>
        <v/>
      </c>
      <c r="W21" s="26" t="str">
        <f t="shared" si="16"/>
        <v/>
      </c>
      <c r="X21" s="13" t="str">
        <f t="shared" si="17"/>
        <v/>
      </c>
      <c r="Y21" s="9">
        <f t="shared" si="18"/>
        <v>0</v>
      </c>
    </row>
    <row r="22" spans="1:25" x14ac:dyDescent="0.25">
      <c r="A22" s="28"/>
      <c r="B22" s="29"/>
      <c r="C22" s="30"/>
      <c r="D22" s="31"/>
      <c r="E22" s="29" t="s">
        <v>16</v>
      </c>
      <c r="F22" s="13" t="b">
        <f>IF($E22=Categories!$A$1,"",IF($E22=Categories!$A$2,Categories!$B$2,IF($E22=Categories!$A$3,Categories!$B$3,IF($E22=Categories!$A$4,Categories!$B$4,IF($E22=Categories!$A$5,Categories!$B$5,IF($E22=Categories!$A$6,Categories!$B$6,IF($E22=Categories!$A$7,Categories!$B$7,IF($E22=Categories!$A$8,Categories!$B$8,IF($E22=Categories!$A$9,Categories!$B$9,IF($E22=Categories!$A$10,Categories!$B$10,IF($E22=Categories!$A$11,Categories!$B$11,IF($E22=Categories!$A$12,Categories!$B$12,IF($E22=Categories!$A$13,Categories!$B$13,IF($E22=Categories!$A$14,Categories!$B$14,IF($E22=Categories!$A$15,Categories!$B$15,IF($E22=Categories!$A$16,Categories!$B$16,IF($E22=Categories!$A$17,Categories!$B$17,IF($E22=Categories!$A$18,Categories!$B$18,IF($E22=Categories!$A$19,Categories!$B$19)))))))))))))))))))</f>
        <v>0</v>
      </c>
      <c r="G22" s="9" t="str">
        <f t="shared" si="0"/>
        <v/>
      </c>
      <c r="H22" s="1" t="str">
        <f t="shared" si="1"/>
        <v/>
      </c>
      <c r="I22" s="1" t="str">
        <f t="shared" si="2"/>
        <v/>
      </c>
      <c r="J22" s="1" t="str">
        <f t="shared" si="3"/>
        <v/>
      </c>
      <c r="K22" s="13" t="str">
        <f t="shared" si="4"/>
        <v/>
      </c>
      <c r="L22" s="9" t="str">
        <f t="shared" si="5"/>
        <v/>
      </c>
      <c r="M22" s="1" t="str">
        <f t="shared" si="6"/>
        <v/>
      </c>
      <c r="N22" s="1" t="str">
        <f t="shared" si="7"/>
        <v/>
      </c>
      <c r="O22" s="1" t="str">
        <f t="shared" si="8"/>
        <v/>
      </c>
      <c r="P22" s="1" t="str">
        <f t="shared" si="9"/>
        <v/>
      </c>
      <c r="Q22" s="1" t="str">
        <f t="shared" si="10"/>
        <v/>
      </c>
      <c r="R22" s="1" t="str">
        <f t="shared" si="11"/>
        <v/>
      </c>
      <c r="S22" s="1" t="str">
        <f t="shared" si="12"/>
        <v/>
      </c>
      <c r="T22" s="1" t="str">
        <f t="shared" si="13"/>
        <v/>
      </c>
      <c r="U22" s="1" t="str">
        <f t="shared" si="14"/>
        <v/>
      </c>
      <c r="V22" s="1" t="str">
        <f t="shared" si="15"/>
        <v/>
      </c>
      <c r="W22" s="26" t="str">
        <f t="shared" si="16"/>
        <v/>
      </c>
      <c r="X22" s="13" t="str">
        <f t="shared" si="17"/>
        <v/>
      </c>
      <c r="Y22" s="9">
        <f t="shared" si="18"/>
        <v>0</v>
      </c>
    </row>
    <row r="23" spans="1:25" x14ac:dyDescent="0.25">
      <c r="A23" s="28"/>
      <c r="B23" s="29"/>
      <c r="C23" s="30"/>
      <c r="D23" s="31"/>
      <c r="E23" s="29" t="s">
        <v>16</v>
      </c>
      <c r="F23" s="13" t="b">
        <f>IF($E23=Categories!$A$1,"",IF($E23=Categories!$A$2,Categories!$B$2,IF($E23=Categories!$A$3,Categories!$B$3,IF($E23=Categories!$A$4,Categories!$B$4,IF($E23=Categories!$A$5,Categories!$B$5,IF($E23=Categories!$A$6,Categories!$B$6,IF($E23=Categories!$A$7,Categories!$B$7,IF($E23=Categories!$A$8,Categories!$B$8,IF($E23=Categories!$A$9,Categories!$B$9,IF($E23=Categories!$A$10,Categories!$B$10,IF($E23=Categories!$A$11,Categories!$B$11,IF($E23=Categories!$A$12,Categories!$B$12,IF($E23=Categories!$A$13,Categories!$B$13,IF($E23=Categories!$A$14,Categories!$B$14,IF($E23=Categories!$A$15,Categories!$B$15,IF($E23=Categories!$A$16,Categories!$B$16,IF($E23=Categories!$A$17,Categories!$B$17,IF($E23=Categories!$A$18,Categories!$B$18,IF($E23=Categories!$A$19,Categories!$B$19)))))))))))))))))))</f>
        <v>0</v>
      </c>
      <c r="G23" s="9" t="str">
        <f t="shared" si="0"/>
        <v/>
      </c>
      <c r="H23" s="1" t="str">
        <f t="shared" si="1"/>
        <v/>
      </c>
      <c r="I23" s="1" t="str">
        <f t="shared" si="2"/>
        <v/>
      </c>
      <c r="J23" s="1" t="str">
        <f t="shared" si="3"/>
        <v/>
      </c>
      <c r="K23" s="13" t="str">
        <f t="shared" si="4"/>
        <v/>
      </c>
      <c r="L23" s="9" t="str">
        <f t="shared" si="5"/>
        <v/>
      </c>
      <c r="M23" s="1" t="str">
        <f t="shared" si="6"/>
        <v/>
      </c>
      <c r="N23" s="1" t="str">
        <f t="shared" si="7"/>
        <v/>
      </c>
      <c r="O23" s="1" t="str">
        <f t="shared" si="8"/>
        <v/>
      </c>
      <c r="P23" s="1" t="str">
        <f t="shared" si="9"/>
        <v/>
      </c>
      <c r="Q23" s="1" t="str">
        <f t="shared" si="10"/>
        <v/>
      </c>
      <c r="R23" s="1" t="str">
        <f t="shared" si="11"/>
        <v/>
      </c>
      <c r="S23" s="1" t="str">
        <f t="shared" si="12"/>
        <v/>
      </c>
      <c r="T23" s="1" t="str">
        <f t="shared" si="13"/>
        <v/>
      </c>
      <c r="U23" s="1" t="str">
        <f t="shared" si="14"/>
        <v/>
      </c>
      <c r="V23" s="1" t="str">
        <f t="shared" si="15"/>
        <v/>
      </c>
      <c r="W23" s="26" t="str">
        <f t="shared" si="16"/>
        <v/>
      </c>
      <c r="X23" s="13" t="str">
        <f t="shared" si="17"/>
        <v/>
      </c>
      <c r="Y23" s="9">
        <f t="shared" si="18"/>
        <v>0</v>
      </c>
    </row>
    <row r="24" spans="1:25" x14ac:dyDescent="0.25">
      <c r="A24" s="28"/>
      <c r="B24" s="29"/>
      <c r="C24" s="30"/>
      <c r="D24" s="31"/>
      <c r="E24" s="29" t="s">
        <v>16</v>
      </c>
      <c r="F24" s="13" t="b">
        <f>IF($E24=Categories!$A$1,"",IF($E24=Categories!$A$2,Categories!$B$2,IF($E24=Categories!$A$3,Categories!$B$3,IF($E24=Categories!$A$4,Categories!$B$4,IF($E24=Categories!$A$5,Categories!$B$5,IF($E24=Categories!$A$6,Categories!$B$6,IF($E24=Categories!$A$7,Categories!$B$7,IF($E24=Categories!$A$8,Categories!$B$8,IF($E24=Categories!$A$9,Categories!$B$9,IF($E24=Categories!$A$10,Categories!$B$10,IF($E24=Categories!$A$11,Categories!$B$11,IF($E24=Categories!$A$12,Categories!$B$12,IF($E24=Categories!$A$13,Categories!$B$13,IF($E24=Categories!$A$14,Categories!$B$14,IF($E24=Categories!$A$15,Categories!$B$15,IF($E24=Categories!$A$16,Categories!$B$16,IF($E24=Categories!$A$17,Categories!$B$17,IF($E24=Categories!$A$18,Categories!$B$18,IF($E24=Categories!$A$19,Categories!$B$19)))))))))))))))))))</f>
        <v>0</v>
      </c>
      <c r="G24" s="9" t="str">
        <f t="shared" si="0"/>
        <v/>
      </c>
      <c r="H24" s="1" t="str">
        <f t="shared" si="1"/>
        <v/>
      </c>
      <c r="I24" s="1" t="str">
        <f t="shared" si="2"/>
        <v/>
      </c>
      <c r="J24" s="1" t="str">
        <f t="shared" si="3"/>
        <v/>
      </c>
      <c r="K24" s="13" t="str">
        <f t="shared" si="4"/>
        <v/>
      </c>
      <c r="L24" s="9" t="str">
        <f t="shared" si="5"/>
        <v/>
      </c>
      <c r="M24" s="1" t="str">
        <f t="shared" si="6"/>
        <v/>
      </c>
      <c r="N24" s="1" t="str">
        <f t="shared" si="7"/>
        <v/>
      </c>
      <c r="O24" s="1" t="str">
        <f t="shared" si="8"/>
        <v/>
      </c>
      <c r="P24" s="1" t="str">
        <f t="shared" si="9"/>
        <v/>
      </c>
      <c r="Q24" s="1" t="str">
        <f t="shared" si="10"/>
        <v/>
      </c>
      <c r="R24" s="1" t="str">
        <f t="shared" si="11"/>
        <v/>
      </c>
      <c r="S24" s="1" t="str">
        <f t="shared" si="12"/>
        <v/>
      </c>
      <c r="T24" s="1" t="str">
        <f t="shared" si="13"/>
        <v/>
      </c>
      <c r="U24" s="1" t="str">
        <f t="shared" si="14"/>
        <v/>
      </c>
      <c r="V24" s="1" t="str">
        <f t="shared" si="15"/>
        <v/>
      </c>
      <c r="W24" s="26" t="str">
        <f t="shared" si="16"/>
        <v/>
      </c>
      <c r="X24" s="13" t="str">
        <f t="shared" si="17"/>
        <v/>
      </c>
      <c r="Y24" s="9">
        <f t="shared" si="18"/>
        <v>0</v>
      </c>
    </row>
    <row r="25" spans="1:25" x14ac:dyDescent="0.25">
      <c r="A25" s="28"/>
      <c r="B25" s="29"/>
      <c r="C25" s="30"/>
      <c r="D25" s="31"/>
      <c r="E25" s="29" t="s">
        <v>16</v>
      </c>
      <c r="F25" s="13" t="b">
        <f>IF($E25=Categories!$A$1,"",IF($E25=Categories!$A$2,Categories!$B$2,IF($E25=Categories!$A$3,Categories!$B$3,IF($E25=Categories!$A$4,Categories!$B$4,IF($E25=Categories!$A$5,Categories!$B$5,IF($E25=Categories!$A$6,Categories!$B$6,IF($E25=Categories!$A$7,Categories!$B$7,IF($E25=Categories!$A$8,Categories!$B$8,IF($E25=Categories!$A$9,Categories!$B$9,IF($E25=Categories!$A$10,Categories!$B$10,IF($E25=Categories!$A$11,Categories!$B$11,IF($E25=Categories!$A$12,Categories!$B$12,IF($E25=Categories!$A$13,Categories!$B$13,IF($E25=Categories!$A$14,Categories!$B$14,IF($E25=Categories!$A$15,Categories!$B$15,IF($E25=Categories!$A$16,Categories!$B$16,IF($E25=Categories!$A$17,Categories!$B$17,IF($E25=Categories!$A$18,Categories!$B$18,IF($E25=Categories!$A$19,Categories!$B$19)))))))))))))))))))</f>
        <v>0</v>
      </c>
      <c r="G25" s="9" t="str">
        <f t="shared" si="0"/>
        <v/>
      </c>
      <c r="H25" s="1" t="str">
        <f t="shared" si="1"/>
        <v/>
      </c>
      <c r="I25" s="1" t="str">
        <f t="shared" si="2"/>
        <v/>
      </c>
      <c r="J25" s="1" t="str">
        <f t="shared" si="3"/>
        <v/>
      </c>
      <c r="K25" s="13" t="str">
        <f t="shared" si="4"/>
        <v/>
      </c>
      <c r="L25" s="9" t="str">
        <f t="shared" si="5"/>
        <v/>
      </c>
      <c r="M25" s="1" t="str">
        <f t="shared" si="6"/>
        <v/>
      </c>
      <c r="N25" s="1" t="str">
        <f t="shared" si="7"/>
        <v/>
      </c>
      <c r="O25" s="1" t="str">
        <f t="shared" si="8"/>
        <v/>
      </c>
      <c r="P25" s="1" t="str">
        <f t="shared" si="9"/>
        <v/>
      </c>
      <c r="Q25" s="1" t="str">
        <f t="shared" si="10"/>
        <v/>
      </c>
      <c r="R25" s="1" t="str">
        <f t="shared" si="11"/>
        <v/>
      </c>
      <c r="S25" s="1" t="str">
        <f t="shared" si="12"/>
        <v/>
      </c>
      <c r="T25" s="1" t="str">
        <f t="shared" si="13"/>
        <v/>
      </c>
      <c r="U25" s="1" t="str">
        <f t="shared" si="14"/>
        <v/>
      </c>
      <c r="V25" s="1" t="str">
        <f t="shared" si="15"/>
        <v/>
      </c>
      <c r="W25" s="26" t="str">
        <f t="shared" si="16"/>
        <v/>
      </c>
      <c r="X25" s="13" t="str">
        <f t="shared" si="17"/>
        <v/>
      </c>
      <c r="Y25" s="9">
        <f t="shared" si="18"/>
        <v>0</v>
      </c>
    </row>
    <row r="26" spans="1:25" x14ac:dyDescent="0.25">
      <c r="A26" s="28"/>
      <c r="B26" s="29"/>
      <c r="C26" s="30"/>
      <c r="D26" s="31"/>
      <c r="E26" s="29" t="s">
        <v>16</v>
      </c>
      <c r="F26" s="13" t="b">
        <f>IF($E26=Categories!$A$1,"",IF($E26=Categories!$A$2,Categories!$B$2,IF($E26=Categories!$A$3,Categories!$B$3,IF($E26=Categories!$A$4,Categories!$B$4,IF($E26=Categories!$A$5,Categories!$B$5,IF($E26=Categories!$A$6,Categories!$B$6,IF($E26=Categories!$A$7,Categories!$B$7,IF($E26=Categories!$A$8,Categories!$B$8,IF($E26=Categories!$A$9,Categories!$B$9,IF($E26=Categories!$A$10,Categories!$B$10,IF($E26=Categories!$A$11,Categories!$B$11,IF($E26=Categories!$A$12,Categories!$B$12,IF($E26=Categories!$A$13,Categories!$B$13,IF($E26=Categories!$A$14,Categories!$B$14,IF($E26=Categories!$A$15,Categories!$B$15,IF($E26=Categories!$A$16,Categories!$B$16,IF($E26=Categories!$A$17,Categories!$B$17,IF($E26=Categories!$A$18,Categories!$B$18,IF($E26=Categories!$A$19,Categories!$B$19)))))))))))))))))))</f>
        <v>0</v>
      </c>
      <c r="G26" s="9" t="str">
        <f t="shared" si="0"/>
        <v/>
      </c>
      <c r="H26" s="1" t="str">
        <f t="shared" si="1"/>
        <v/>
      </c>
      <c r="I26" s="1" t="str">
        <f t="shared" si="2"/>
        <v/>
      </c>
      <c r="J26" s="1" t="str">
        <f t="shared" si="3"/>
        <v/>
      </c>
      <c r="K26" s="13" t="str">
        <f t="shared" si="4"/>
        <v/>
      </c>
      <c r="L26" s="9" t="str">
        <f t="shared" si="5"/>
        <v/>
      </c>
      <c r="M26" s="1" t="str">
        <f t="shared" si="6"/>
        <v/>
      </c>
      <c r="N26" s="1" t="str">
        <f t="shared" si="7"/>
        <v/>
      </c>
      <c r="O26" s="1" t="str">
        <f t="shared" si="8"/>
        <v/>
      </c>
      <c r="P26" s="1" t="str">
        <f t="shared" si="9"/>
        <v/>
      </c>
      <c r="Q26" s="1" t="str">
        <f t="shared" si="10"/>
        <v/>
      </c>
      <c r="R26" s="1" t="str">
        <f t="shared" si="11"/>
        <v/>
      </c>
      <c r="S26" s="1" t="str">
        <f t="shared" si="12"/>
        <v/>
      </c>
      <c r="T26" s="1" t="str">
        <f t="shared" si="13"/>
        <v/>
      </c>
      <c r="U26" s="1" t="str">
        <f t="shared" si="14"/>
        <v/>
      </c>
      <c r="V26" s="1" t="str">
        <f t="shared" si="15"/>
        <v/>
      </c>
      <c r="W26" s="26" t="str">
        <f t="shared" si="16"/>
        <v/>
      </c>
      <c r="X26" s="13" t="str">
        <f t="shared" si="17"/>
        <v/>
      </c>
      <c r="Y26" s="9">
        <f t="shared" si="18"/>
        <v>0</v>
      </c>
    </row>
    <row r="27" spans="1:25" x14ac:dyDescent="0.25">
      <c r="A27" s="28"/>
      <c r="B27" s="29"/>
      <c r="C27" s="30"/>
      <c r="D27" s="31"/>
      <c r="E27" s="29" t="s">
        <v>16</v>
      </c>
      <c r="F27" s="13" t="b">
        <f>IF($E27=Categories!$A$1,"",IF($E27=Categories!$A$2,Categories!$B$2,IF($E27=Categories!$A$3,Categories!$B$3,IF($E27=Categories!$A$4,Categories!$B$4,IF($E27=Categories!$A$5,Categories!$B$5,IF($E27=Categories!$A$6,Categories!$B$6,IF($E27=Categories!$A$7,Categories!$B$7,IF($E27=Categories!$A$8,Categories!$B$8,IF($E27=Categories!$A$9,Categories!$B$9,IF($E27=Categories!$A$10,Categories!$B$10,IF($E27=Categories!$A$11,Categories!$B$11,IF($E27=Categories!$A$12,Categories!$B$12,IF($E27=Categories!$A$13,Categories!$B$13,IF($E27=Categories!$A$14,Categories!$B$14,IF($E27=Categories!$A$15,Categories!$B$15,IF($E27=Categories!$A$16,Categories!$B$16,IF($E27=Categories!$A$17,Categories!$B$17,IF($E27=Categories!$A$18,Categories!$B$18,IF($E27=Categories!$A$19,Categories!$B$19)))))))))))))))))))</f>
        <v>0</v>
      </c>
      <c r="G27" s="9" t="str">
        <f t="shared" si="0"/>
        <v/>
      </c>
      <c r="H27" s="1" t="str">
        <f t="shared" si="1"/>
        <v/>
      </c>
      <c r="I27" s="1" t="str">
        <f t="shared" si="2"/>
        <v/>
      </c>
      <c r="J27" s="1" t="str">
        <f t="shared" si="3"/>
        <v/>
      </c>
      <c r="K27" s="13" t="str">
        <f t="shared" si="4"/>
        <v/>
      </c>
      <c r="L27" s="9" t="str">
        <f t="shared" si="5"/>
        <v/>
      </c>
      <c r="M27" s="1" t="str">
        <f t="shared" si="6"/>
        <v/>
      </c>
      <c r="N27" s="1" t="str">
        <f t="shared" si="7"/>
        <v/>
      </c>
      <c r="O27" s="1" t="str">
        <f t="shared" si="8"/>
        <v/>
      </c>
      <c r="P27" s="1" t="str">
        <f t="shared" si="9"/>
        <v/>
      </c>
      <c r="Q27" s="1" t="str">
        <f t="shared" si="10"/>
        <v/>
      </c>
      <c r="R27" s="1" t="str">
        <f t="shared" si="11"/>
        <v/>
      </c>
      <c r="S27" s="1" t="str">
        <f t="shared" si="12"/>
        <v/>
      </c>
      <c r="T27" s="1" t="str">
        <f t="shared" si="13"/>
        <v/>
      </c>
      <c r="U27" s="1" t="str">
        <f t="shared" si="14"/>
        <v/>
      </c>
      <c r="V27" s="1" t="str">
        <f t="shared" si="15"/>
        <v/>
      </c>
      <c r="W27" s="26" t="str">
        <f t="shared" si="16"/>
        <v/>
      </c>
      <c r="X27" s="13" t="str">
        <f t="shared" si="17"/>
        <v/>
      </c>
      <c r="Y27" s="9">
        <f t="shared" si="18"/>
        <v>0</v>
      </c>
    </row>
    <row r="28" spans="1:25" x14ac:dyDescent="0.25">
      <c r="A28" s="28"/>
      <c r="B28" s="29"/>
      <c r="C28" s="30"/>
      <c r="D28" s="31"/>
      <c r="E28" s="29" t="s">
        <v>16</v>
      </c>
      <c r="F28" s="13" t="b">
        <f>IF($E28=Categories!$A$1,"",IF($E28=Categories!$A$2,Categories!$B$2,IF($E28=Categories!$A$3,Categories!$B$3,IF($E28=Categories!$A$4,Categories!$B$4,IF($E28=Categories!$A$5,Categories!$B$5,IF($E28=Categories!$A$6,Categories!$B$6,IF($E28=Categories!$A$7,Categories!$B$7,IF($E28=Categories!$A$8,Categories!$B$8,IF($E28=Categories!$A$9,Categories!$B$9,IF($E28=Categories!$A$10,Categories!$B$10,IF($E28=Categories!$A$11,Categories!$B$11,IF($E28=Categories!$A$12,Categories!$B$12,IF($E28=Categories!$A$13,Categories!$B$13,IF($E28=Categories!$A$14,Categories!$B$14,IF($E28=Categories!$A$15,Categories!$B$15,IF($E28=Categories!$A$16,Categories!$B$16,IF($E28=Categories!$A$17,Categories!$B$17,IF($E28=Categories!$A$18,Categories!$B$18,IF($E28=Categories!$A$19,Categories!$B$19)))))))))))))))))))</f>
        <v>0</v>
      </c>
      <c r="G28" s="9" t="str">
        <f t="shared" si="0"/>
        <v/>
      </c>
      <c r="H28" s="1" t="str">
        <f t="shared" si="1"/>
        <v/>
      </c>
      <c r="I28" s="1" t="str">
        <f t="shared" si="2"/>
        <v/>
      </c>
      <c r="J28" s="1" t="str">
        <f t="shared" si="3"/>
        <v/>
      </c>
      <c r="K28" s="13" t="str">
        <f t="shared" si="4"/>
        <v/>
      </c>
      <c r="L28" s="9" t="str">
        <f t="shared" si="5"/>
        <v/>
      </c>
      <c r="M28" s="1" t="str">
        <f t="shared" si="6"/>
        <v/>
      </c>
      <c r="N28" s="1" t="str">
        <f t="shared" si="7"/>
        <v/>
      </c>
      <c r="O28" s="1" t="str">
        <f t="shared" si="8"/>
        <v/>
      </c>
      <c r="P28" s="1" t="str">
        <f t="shared" si="9"/>
        <v/>
      </c>
      <c r="Q28" s="1" t="str">
        <f t="shared" si="10"/>
        <v/>
      </c>
      <c r="R28" s="1" t="str">
        <f t="shared" si="11"/>
        <v/>
      </c>
      <c r="S28" s="1" t="str">
        <f t="shared" si="12"/>
        <v/>
      </c>
      <c r="T28" s="1" t="str">
        <f t="shared" si="13"/>
        <v/>
      </c>
      <c r="U28" s="1" t="str">
        <f t="shared" si="14"/>
        <v/>
      </c>
      <c r="V28" s="1" t="str">
        <f t="shared" si="15"/>
        <v/>
      </c>
      <c r="W28" s="26" t="str">
        <f t="shared" si="16"/>
        <v/>
      </c>
      <c r="X28" s="13" t="str">
        <f t="shared" si="17"/>
        <v/>
      </c>
      <c r="Y28" s="9">
        <f t="shared" si="18"/>
        <v>0</v>
      </c>
    </row>
    <row r="29" spans="1:25" x14ac:dyDescent="0.25">
      <c r="A29" s="28"/>
      <c r="B29" s="29"/>
      <c r="C29" s="30"/>
      <c r="D29" s="31"/>
      <c r="E29" s="29" t="s">
        <v>16</v>
      </c>
      <c r="F29" s="13" t="b">
        <f>IF($E29=Categories!$A$1,"",IF($E29=Categories!$A$2,Categories!$B$2,IF($E29=Categories!$A$3,Categories!$B$3,IF($E29=Categories!$A$4,Categories!$B$4,IF($E29=Categories!$A$5,Categories!$B$5,IF($E29=Categories!$A$6,Categories!$B$6,IF($E29=Categories!$A$7,Categories!$B$7,IF($E29=Categories!$A$8,Categories!$B$8,IF($E29=Categories!$A$9,Categories!$B$9,IF($E29=Categories!$A$10,Categories!$B$10,IF($E29=Categories!$A$11,Categories!$B$11,IF($E29=Categories!$A$12,Categories!$B$12,IF($E29=Categories!$A$13,Categories!$B$13,IF($E29=Categories!$A$14,Categories!$B$14,IF($E29=Categories!$A$15,Categories!$B$15,IF($E29=Categories!$A$16,Categories!$B$16,IF($E29=Categories!$A$17,Categories!$B$17,IF($E29=Categories!$A$18,Categories!$B$18,IF($E29=Categories!$A$19,Categories!$B$19)))))))))))))))))))</f>
        <v>0</v>
      </c>
      <c r="G29" s="9" t="str">
        <f t="shared" si="0"/>
        <v/>
      </c>
      <c r="H29" s="1" t="str">
        <f t="shared" si="1"/>
        <v/>
      </c>
      <c r="I29" s="1" t="str">
        <f t="shared" si="2"/>
        <v/>
      </c>
      <c r="J29" s="1" t="str">
        <f t="shared" si="3"/>
        <v/>
      </c>
      <c r="K29" s="13" t="str">
        <f t="shared" si="4"/>
        <v/>
      </c>
      <c r="L29" s="9" t="str">
        <f t="shared" si="5"/>
        <v/>
      </c>
      <c r="M29" s="1" t="str">
        <f t="shared" si="6"/>
        <v/>
      </c>
      <c r="N29" s="1" t="str">
        <f t="shared" si="7"/>
        <v/>
      </c>
      <c r="O29" s="1" t="str">
        <f t="shared" si="8"/>
        <v/>
      </c>
      <c r="P29" s="1" t="str">
        <f t="shared" si="9"/>
        <v/>
      </c>
      <c r="Q29" s="1" t="str">
        <f t="shared" si="10"/>
        <v/>
      </c>
      <c r="R29" s="1" t="str">
        <f t="shared" si="11"/>
        <v/>
      </c>
      <c r="S29" s="1" t="str">
        <f t="shared" si="12"/>
        <v/>
      </c>
      <c r="T29" s="1" t="str">
        <f t="shared" si="13"/>
        <v/>
      </c>
      <c r="U29" s="1" t="str">
        <f t="shared" si="14"/>
        <v/>
      </c>
      <c r="V29" s="1" t="str">
        <f t="shared" si="15"/>
        <v/>
      </c>
      <c r="W29" s="26" t="str">
        <f t="shared" si="16"/>
        <v/>
      </c>
      <c r="X29" s="13" t="str">
        <f t="shared" si="17"/>
        <v/>
      </c>
      <c r="Y29" s="9">
        <f t="shared" si="18"/>
        <v>0</v>
      </c>
    </row>
    <row r="30" spans="1:25" x14ac:dyDescent="0.25">
      <c r="A30" s="28"/>
      <c r="B30" s="29"/>
      <c r="C30" s="30"/>
      <c r="D30" s="31"/>
      <c r="E30" s="29" t="s">
        <v>16</v>
      </c>
      <c r="F30" s="13" t="b">
        <f>IF($E30=Categories!$A$1,"",IF($E30=Categories!$A$2,Categories!$B$2,IF($E30=Categories!$A$3,Categories!$B$3,IF($E30=Categories!$A$4,Categories!$B$4,IF($E30=Categories!$A$5,Categories!$B$5,IF($E30=Categories!$A$6,Categories!$B$6,IF($E30=Categories!$A$7,Categories!$B$7,IF($E30=Categories!$A$8,Categories!$B$8,IF($E30=Categories!$A$9,Categories!$B$9,IF($E30=Categories!$A$10,Categories!$B$10,IF($E30=Categories!$A$11,Categories!$B$11,IF($E30=Categories!$A$12,Categories!$B$12,IF($E30=Categories!$A$13,Categories!$B$13,IF($E30=Categories!$A$14,Categories!$B$14,IF($E30=Categories!$A$15,Categories!$B$15,IF($E30=Categories!$A$16,Categories!$B$16,IF($E30=Categories!$A$17,Categories!$B$17,IF($E30=Categories!$A$18,Categories!$B$18,IF($E30=Categories!$A$19,Categories!$B$19)))))))))))))))))))</f>
        <v>0</v>
      </c>
      <c r="G30" s="9" t="str">
        <f t="shared" si="0"/>
        <v/>
      </c>
      <c r="H30" s="1" t="str">
        <f t="shared" si="1"/>
        <v/>
      </c>
      <c r="I30" s="1" t="str">
        <f t="shared" si="2"/>
        <v/>
      </c>
      <c r="J30" s="1" t="str">
        <f t="shared" si="3"/>
        <v/>
      </c>
      <c r="K30" s="13" t="str">
        <f t="shared" si="4"/>
        <v/>
      </c>
      <c r="L30" s="9" t="str">
        <f t="shared" si="5"/>
        <v/>
      </c>
      <c r="M30" s="1" t="str">
        <f t="shared" si="6"/>
        <v/>
      </c>
      <c r="N30" s="1" t="str">
        <f t="shared" si="7"/>
        <v/>
      </c>
      <c r="O30" s="1" t="str">
        <f t="shared" si="8"/>
        <v/>
      </c>
      <c r="P30" s="1" t="str">
        <f t="shared" si="9"/>
        <v/>
      </c>
      <c r="Q30" s="1" t="str">
        <f t="shared" si="10"/>
        <v/>
      </c>
      <c r="R30" s="1" t="str">
        <f t="shared" si="11"/>
        <v/>
      </c>
      <c r="S30" s="1" t="str">
        <f t="shared" si="12"/>
        <v/>
      </c>
      <c r="T30" s="1" t="str">
        <f t="shared" si="13"/>
        <v/>
      </c>
      <c r="U30" s="1" t="str">
        <f t="shared" si="14"/>
        <v/>
      </c>
      <c r="V30" s="1" t="str">
        <f t="shared" si="15"/>
        <v/>
      </c>
      <c r="W30" s="26" t="str">
        <f t="shared" si="16"/>
        <v/>
      </c>
      <c r="X30" s="13" t="str">
        <f t="shared" si="17"/>
        <v/>
      </c>
      <c r="Y30" s="9">
        <f t="shared" si="18"/>
        <v>0</v>
      </c>
    </row>
    <row r="31" spans="1:25" x14ac:dyDescent="0.25">
      <c r="A31" s="28"/>
      <c r="B31" s="29"/>
      <c r="C31" s="30"/>
      <c r="D31" s="31"/>
      <c r="E31" s="29" t="s">
        <v>16</v>
      </c>
      <c r="F31" s="13" t="b">
        <f>IF($E31=Categories!$A$1,"",IF($E31=Categories!$A$2,Categories!$B$2,IF($E31=Categories!$A$3,Categories!$B$3,IF($E31=Categories!$A$4,Categories!$B$4,IF($E31=Categories!$A$5,Categories!$B$5,IF($E31=Categories!$A$6,Categories!$B$6,IF($E31=Categories!$A$7,Categories!$B$7,IF($E31=Categories!$A$8,Categories!$B$8,IF($E31=Categories!$A$9,Categories!$B$9,IF($E31=Categories!$A$10,Categories!$B$10,IF($E31=Categories!$A$11,Categories!$B$11,IF($E31=Categories!$A$12,Categories!$B$12,IF($E31=Categories!$A$13,Categories!$B$13,IF($E31=Categories!$A$14,Categories!$B$14,IF($E31=Categories!$A$15,Categories!$B$15,IF($E31=Categories!$A$16,Categories!$B$16,IF($E31=Categories!$A$17,Categories!$B$17,IF($E31=Categories!$A$18,Categories!$B$18,IF($E31=Categories!$A$19,Categories!$B$19)))))))))))))))))))</f>
        <v>0</v>
      </c>
      <c r="G31" s="9" t="str">
        <f t="shared" si="0"/>
        <v/>
      </c>
      <c r="H31" s="1" t="str">
        <f t="shared" si="1"/>
        <v/>
      </c>
      <c r="I31" s="1" t="str">
        <f t="shared" si="2"/>
        <v/>
      </c>
      <c r="J31" s="1" t="str">
        <f t="shared" si="3"/>
        <v/>
      </c>
      <c r="K31" s="13" t="str">
        <f t="shared" si="4"/>
        <v/>
      </c>
      <c r="L31" s="9" t="str">
        <f t="shared" si="5"/>
        <v/>
      </c>
      <c r="M31" s="1" t="str">
        <f t="shared" si="6"/>
        <v/>
      </c>
      <c r="N31" s="1" t="str">
        <f t="shared" si="7"/>
        <v/>
      </c>
      <c r="O31" s="1" t="str">
        <f t="shared" si="8"/>
        <v/>
      </c>
      <c r="P31" s="1" t="str">
        <f t="shared" si="9"/>
        <v/>
      </c>
      <c r="Q31" s="1" t="str">
        <f t="shared" si="10"/>
        <v/>
      </c>
      <c r="R31" s="1" t="str">
        <f t="shared" si="11"/>
        <v/>
      </c>
      <c r="S31" s="1" t="str">
        <f t="shared" si="12"/>
        <v/>
      </c>
      <c r="T31" s="1" t="str">
        <f t="shared" si="13"/>
        <v/>
      </c>
      <c r="U31" s="1" t="str">
        <f t="shared" si="14"/>
        <v/>
      </c>
      <c r="V31" s="1" t="str">
        <f t="shared" si="15"/>
        <v/>
      </c>
      <c r="W31" s="26" t="str">
        <f t="shared" si="16"/>
        <v/>
      </c>
      <c r="X31" s="13" t="str">
        <f t="shared" si="17"/>
        <v/>
      </c>
      <c r="Y31" s="9">
        <f t="shared" si="18"/>
        <v>0</v>
      </c>
    </row>
    <row r="32" spans="1:25" x14ac:dyDescent="0.25">
      <c r="A32" s="28"/>
      <c r="B32" s="29"/>
      <c r="C32" s="30"/>
      <c r="D32" s="31"/>
      <c r="E32" s="29" t="s">
        <v>16</v>
      </c>
      <c r="F32" s="13" t="b">
        <f>IF($E32=Categories!$A$1,"",IF($E32=Categories!$A$2,Categories!$B$2,IF($E32=Categories!$A$3,Categories!$B$3,IF($E32=Categories!$A$4,Categories!$B$4,IF($E32=Categories!$A$5,Categories!$B$5,IF($E32=Categories!$A$6,Categories!$B$6,IF($E32=Categories!$A$7,Categories!$B$7,IF($E32=Categories!$A$8,Categories!$B$8,IF($E32=Categories!$A$9,Categories!$B$9,IF($E32=Categories!$A$10,Categories!$B$10,IF($E32=Categories!$A$11,Categories!$B$11,IF($E32=Categories!$A$12,Categories!$B$12,IF($E32=Categories!$A$13,Categories!$B$13,IF($E32=Categories!$A$14,Categories!$B$14,IF($E32=Categories!$A$15,Categories!$B$15,IF($E32=Categories!$A$16,Categories!$B$16,IF($E32=Categories!$A$17,Categories!$B$17,IF($E32=Categories!$A$18,Categories!$B$18,IF($E32=Categories!$A$19,Categories!$B$19)))))))))))))))))))</f>
        <v>0</v>
      </c>
      <c r="G32" s="9" t="str">
        <f t="shared" si="0"/>
        <v/>
      </c>
      <c r="H32" s="1" t="str">
        <f t="shared" si="1"/>
        <v/>
      </c>
      <c r="I32" s="1" t="str">
        <f t="shared" si="2"/>
        <v/>
      </c>
      <c r="J32" s="1" t="str">
        <f t="shared" si="3"/>
        <v/>
      </c>
      <c r="K32" s="13" t="str">
        <f t="shared" si="4"/>
        <v/>
      </c>
      <c r="L32" s="9" t="str">
        <f t="shared" si="5"/>
        <v/>
      </c>
      <c r="M32" s="1" t="str">
        <f t="shared" si="6"/>
        <v/>
      </c>
      <c r="N32" s="1" t="str">
        <f t="shared" si="7"/>
        <v/>
      </c>
      <c r="O32" s="1" t="str">
        <f t="shared" si="8"/>
        <v/>
      </c>
      <c r="P32" s="1" t="str">
        <f t="shared" si="9"/>
        <v/>
      </c>
      <c r="Q32" s="1" t="str">
        <f t="shared" si="10"/>
        <v/>
      </c>
      <c r="R32" s="1" t="str">
        <f t="shared" si="11"/>
        <v/>
      </c>
      <c r="S32" s="1" t="str">
        <f t="shared" si="12"/>
        <v/>
      </c>
      <c r="T32" s="1" t="str">
        <f t="shared" si="13"/>
        <v/>
      </c>
      <c r="U32" s="1" t="str">
        <f t="shared" si="14"/>
        <v/>
      </c>
      <c r="V32" s="1" t="str">
        <f t="shared" si="15"/>
        <v/>
      </c>
      <c r="W32" s="26" t="str">
        <f t="shared" si="16"/>
        <v/>
      </c>
      <c r="X32" s="13" t="str">
        <f t="shared" si="17"/>
        <v/>
      </c>
      <c r="Y32" s="9">
        <f t="shared" si="18"/>
        <v>0</v>
      </c>
    </row>
    <row r="33" spans="1:25" x14ac:dyDescent="0.25">
      <c r="A33" s="28"/>
      <c r="B33" s="29"/>
      <c r="C33" s="30"/>
      <c r="D33" s="31"/>
      <c r="E33" s="29" t="s">
        <v>16</v>
      </c>
      <c r="F33" s="13" t="b">
        <f>IF($E33=Categories!$A$1,"",IF($E33=Categories!$A$2,Categories!$B$2,IF($E33=Categories!$A$3,Categories!$B$3,IF($E33=Categories!$A$4,Categories!$B$4,IF($E33=Categories!$A$5,Categories!$B$5,IF($E33=Categories!$A$6,Categories!$B$6,IF($E33=Categories!$A$7,Categories!$B$7,IF($E33=Categories!$A$8,Categories!$B$8,IF($E33=Categories!$A$9,Categories!$B$9,IF($E33=Categories!$A$10,Categories!$B$10,IF($E33=Categories!$A$11,Categories!$B$11,IF($E33=Categories!$A$12,Categories!$B$12,IF($E33=Categories!$A$13,Categories!$B$13,IF($E33=Categories!$A$14,Categories!$B$14,IF($E33=Categories!$A$15,Categories!$B$15,IF($E33=Categories!$A$16,Categories!$B$16,IF($E33=Categories!$A$17,Categories!$B$17,IF($E33=Categories!$A$18,Categories!$B$18,IF($E33=Categories!$A$19,Categories!$B$19)))))))))))))))))))</f>
        <v>0</v>
      </c>
      <c r="G33" s="9" t="str">
        <f t="shared" si="0"/>
        <v/>
      </c>
      <c r="H33" s="1" t="str">
        <f t="shared" si="1"/>
        <v/>
      </c>
      <c r="I33" s="1" t="str">
        <f t="shared" si="2"/>
        <v/>
      </c>
      <c r="J33" s="1" t="str">
        <f t="shared" si="3"/>
        <v/>
      </c>
      <c r="K33" s="13" t="str">
        <f t="shared" si="4"/>
        <v/>
      </c>
      <c r="L33" s="9" t="str">
        <f t="shared" si="5"/>
        <v/>
      </c>
      <c r="M33" s="1" t="str">
        <f t="shared" si="6"/>
        <v/>
      </c>
      <c r="N33" s="1" t="str">
        <f t="shared" si="7"/>
        <v/>
      </c>
      <c r="O33" s="1" t="str">
        <f t="shared" si="8"/>
        <v/>
      </c>
      <c r="P33" s="1" t="str">
        <f t="shared" si="9"/>
        <v/>
      </c>
      <c r="Q33" s="1" t="str">
        <f t="shared" si="10"/>
        <v/>
      </c>
      <c r="R33" s="1" t="str">
        <f t="shared" si="11"/>
        <v/>
      </c>
      <c r="S33" s="1" t="str">
        <f t="shared" si="12"/>
        <v/>
      </c>
      <c r="T33" s="1" t="str">
        <f t="shared" si="13"/>
        <v/>
      </c>
      <c r="U33" s="1" t="str">
        <f t="shared" si="14"/>
        <v/>
      </c>
      <c r="V33" s="1" t="str">
        <f t="shared" si="15"/>
        <v/>
      </c>
      <c r="W33" s="26" t="str">
        <f t="shared" si="16"/>
        <v/>
      </c>
      <c r="X33" s="13" t="str">
        <f t="shared" si="17"/>
        <v/>
      </c>
      <c r="Y33" s="9">
        <f t="shared" si="18"/>
        <v>0</v>
      </c>
    </row>
    <row r="34" spans="1:25" x14ac:dyDescent="0.25">
      <c r="A34" s="28"/>
      <c r="B34" s="29"/>
      <c r="C34" s="30"/>
      <c r="D34" s="31"/>
      <c r="E34" s="29" t="s">
        <v>16</v>
      </c>
      <c r="F34" s="13" t="b">
        <f>IF($E34=Categories!$A$1,"",IF($E34=Categories!$A$2,Categories!$B$2,IF($E34=Categories!$A$3,Categories!$B$3,IF($E34=Categories!$A$4,Categories!$B$4,IF($E34=Categories!$A$5,Categories!$B$5,IF($E34=Categories!$A$6,Categories!$B$6,IF($E34=Categories!$A$7,Categories!$B$7,IF($E34=Categories!$A$8,Categories!$B$8,IF($E34=Categories!$A$9,Categories!$B$9,IF($E34=Categories!$A$10,Categories!$B$10,IF($E34=Categories!$A$11,Categories!$B$11,IF($E34=Categories!$A$12,Categories!$B$12,IF($E34=Categories!$A$13,Categories!$B$13,IF($E34=Categories!$A$14,Categories!$B$14,IF($E34=Categories!$A$15,Categories!$B$15,IF($E34=Categories!$A$16,Categories!$B$16,IF($E34=Categories!$A$17,Categories!$B$17,IF($E34=Categories!$A$18,Categories!$B$18,IF($E34=Categories!$A$19,Categories!$B$19)))))))))))))))))))</f>
        <v>0</v>
      </c>
      <c r="G34" s="9" t="str">
        <f t="shared" si="0"/>
        <v/>
      </c>
      <c r="H34" s="1" t="str">
        <f t="shared" si="1"/>
        <v/>
      </c>
      <c r="I34" s="1" t="str">
        <f t="shared" si="2"/>
        <v/>
      </c>
      <c r="J34" s="1" t="str">
        <f t="shared" si="3"/>
        <v/>
      </c>
      <c r="K34" s="13" t="str">
        <f t="shared" si="4"/>
        <v/>
      </c>
      <c r="L34" s="9" t="str">
        <f t="shared" si="5"/>
        <v/>
      </c>
      <c r="M34" s="1" t="str">
        <f t="shared" si="6"/>
        <v/>
      </c>
      <c r="N34" s="1" t="str">
        <f t="shared" si="7"/>
        <v/>
      </c>
      <c r="O34" s="1" t="str">
        <f t="shared" si="8"/>
        <v/>
      </c>
      <c r="P34" s="1" t="str">
        <f t="shared" si="9"/>
        <v/>
      </c>
      <c r="Q34" s="1" t="str">
        <f t="shared" si="10"/>
        <v/>
      </c>
      <c r="R34" s="1" t="str">
        <f t="shared" si="11"/>
        <v/>
      </c>
      <c r="S34" s="1" t="str">
        <f t="shared" si="12"/>
        <v/>
      </c>
      <c r="T34" s="1" t="str">
        <f t="shared" si="13"/>
        <v/>
      </c>
      <c r="U34" s="1" t="str">
        <f t="shared" si="14"/>
        <v/>
      </c>
      <c r="V34" s="1" t="str">
        <f t="shared" si="15"/>
        <v/>
      </c>
      <c r="W34" s="26" t="str">
        <f t="shared" si="16"/>
        <v/>
      </c>
      <c r="X34" s="13" t="str">
        <f t="shared" si="17"/>
        <v/>
      </c>
      <c r="Y34" s="9">
        <f t="shared" si="18"/>
        <v>0</v>
      </c>
    </row>
    <row r="35" spans="1:25" x14ac:dyDescent="0.25">
      <c r="A35" s="28"/>
      <c r="B35" s="29"/>
      <c r="C35" s="30"/>
      <c r="D35" s="31"/>
      <c r="E35" s="29" t="s">
        <v>16</v>
      </c>
      <c r="F35" s="13" t="b">
        <f>IF($E35=Categories!$A$1,"",IF($E35=Categories!$A$2,Categories!$B$2,IF($E35=Categories!$A$3,Categories!$B$3,IF($E35=Categories!$A$4,Categories!$B$4,IF($E35=Categories!$A$5,Categories!$B$5,IF($E35=Categories!$A$6,Categories!$B$6,IF($E35=Categories!$A$7,Categories!$B$7,IF($E35=Categories!$A$8,Categories!$B$8,IF($E35=Categories!$A$9,Categories!$B$9,IF($E35=Categories!$A$10,Categories!$B$10,IF($E35=Categories!$A$11,Categories!$B$11,IF($E35=Categories!$A$12,Categories!$B$12,IF($E35=Categories!$A$13,Categories!$B$13,IF($E35=Categories!$A$14,Categories!$B$14,IF($E35=Categories!$A$15,Categories!$B$15,IF($E35=Categories!$A$16,Categories!$B$16,IF($E35=Categories!$A$17,Categories!$B$17,IF($E35=Categories!$A$18,Categories!$B$18,IF($E35=Categories!$A$19,Categories!$B$19)))))))))))))))))))</f>
        <v>0</v>
      </c>
      <c r="G35" s="9" t="str">
        <f t="shared" si="0"/>
        <v/>
      </c>
      <c r="H35" s="1" t="str">
        <f t="shared" si="1"/>
        <v/>
      </c>
      <c r="I35" s="1" t="str">
        <f t="shared" si="2"/>
        <v/>
      </c>
      <c r="J35" s="1" t="str">
        <f t="shared" si="3"/>
        <v/>
      </c>
      <c r="K35" s="13" t="str">
        <f t="shared" si="4"/>
        <v/>
      </c>
      <c r="L35" s="9" t="str">
        <f t="shared" si="5"/>
        <v/>
      </c>
      <c r="M35" s="1" t="str">
        <f t="shared" si="6"/>
        <v/>
      </c>
      <c r="N35" s="1" t="str">
        <f t="shared" si="7"/>
        <v/>
      </c>
      <c r="O35" s="1" t="str">
        <f t="shared" si="8"/>
        <v/>
      </c>
      <c r="P35" s="1" t="str">
        <f t="shared" si="9"/>
        <v/>
      </c>
      <c r="Q35" s="1" t="str">
        <f t="shared" si="10"/>
        <v/>
      </c>
      <c r="R35" s="1" t="str">
        <f t="shared" si="11"/>
        <v/>
      </c>
      <c r="S35" s="1" t="str">
        <f t="shared" si="12"/>
        <v/>
      </c>
      <c r="T35" s="1" t="str">
        <f t="shared" si="13"/>
        <v/>
      </c>
      <c r="U35" s="1" t="str">
        <f t="shared" si="14"/>
        <v/>
      </c>
      <c r="V35" s="1" t="str">
        <f t="shared" si="15"/>
        <v/>
      </c>
      <c r="W35" s="26" t="str">
        <f t="shared" si="16"/>
        <v/>
      </c>
      <c r="X35" s="13" t="str">
        <f t="shared" si="17"/>
        <v/>
      </c>
      <c r="Y35" s="9">
        <f t="shared" si="18"/>
        <v>0</v>
      </c>
    </row>
    <row r="36" spans="1:25" x14ac:dyDescent="0.25">
      <c r="A36" s="28"/>
      <c r="B36" s="29"/>
      <c r="C36" s="30"/>
      <c r="D36" s="31"/>
      <c r="E36" s="29" t="s">
        <v>16</v>
      </c>
      <c r="F36" s="13" t="b">
        <f>IF($E36=Categories!$A$1,"",IF($E36=Categories!$A$2,Categories!$B$2,IF($E36=Categories!$A$3,Categories!$B$3,IF($E36=Categories!$A$4,Categories!$B$4,IF($E36=Categories!$A$5,Categories!$B$5,IF($E36=Categories!$A$6,Categories!$B$6,IF($E36=Categories!$A$7,Categories!$B$7,IF($E36=Categories!$A$8,Categories!$B$8,IF($E36=Categories!$A$9,Categories!$B$9,IF($E36=Categories!$A$10,Categories!$B$10,IF($E36=Categories!$A$11,Categories!$B$11,IF($E36=Categories!$A$12,Categories!$B$12,IF($E36=Categories!$A$13,Categories!$B$13,IF($E36=Categories!$A$14,Categories!$B$14,IF($E36=Categories!$A$15,Categories!$B$15,IF($E36=Categories!$A$16,Categories!$B$16,IF($E36=Categories!$A$17,Categories!$B$17,IF($E36=Categories!$A$18,Categories!$B$18,IF($E36=Categories!$A$19,Categories!$B$19)))))))))))))))))))</f>
        <v>0</v>
      </c>
      <c r="G36" s="9" t="str">
        <f t="shared" si="0"/>
        <v/>
      </c>
      <c r="H36" s="1" t="str">
        <f t="shared" si="1"/>
        <v/>
      </c>
      <c r="I36" s="1" t="str">
        <f t="shared" si="2"/>
        <v/>
      </c>
      <c r="J36" s="1" t="str">
        <f t="shared" si="3"/>
        <v/>
      </c>
      <c r="K36" s="13" t="str">
        <f t="shared" si="4"/>
        <v/>
      </c>
      <c r="L36" s="9" t="str">
        <f t="shared" si="5"/>
        <v/>
      </c>
      <c r="M36" s="1" t="str">
        <f t="shared" si="6"/>
        <v/>
      </c>
      <c r="N36" s="1" t="str">
        <f t="shared" si="7"/>
        <v/>
      </c>
      <c r="O36" s="1" t="str">
        <f t="shared" si="8"/>
        <v/>
      </c>
      <c r="P36" s="1" t="str">
        <f t="shared" si="9"/>
        <v/>
      </c>
      <c r="Q36" s="1" t="str">
        <f t="shared" si="10"/>
        <v/>
      </c>
      <c r="R36" s="1" t="str">
        <f t="shared" si="11"/>
        <v/>
      </c>
      <c r="S36" s="1" t="str">
        <f t="shared" si="12"/>
        <v/>
      </c>
      <c r="T36" s="1" t="str">
        <f t="shared" si="13"/>
        <v/>
      </c>
      <c r="U36" s="1" t="str">
        <f t="shared" si="14"/>
        <v/>
      </c>
      <c r="V36" s="1" t="str">
        <f t="shared" si="15"/>
        <v/>
      </c>
      <c r="W36" s="26" t="str">
        <f t="shared" si="16"/>
        <v/>
      </c>
      <c r="X36" s="13" t="str">
        <f t="shared" si="17"/>
        <v/>
      </c>
      <c r="Y36" s="9">
        <f t="shared" si="18"/>
        <v>0</v>
      </c>
    </row>
    <row r="37" spans="1:25" x14ac:dyDescent="0.25">
      <c r="A37" s="28"/>
      <c r="B37" s="29"/>
      <c r="C37" s="30"/>
      <c r="D37" s="31"/>
      <c r="E37" s="29" t="s">
        <v>16</v>
      </c>
      <c r="F37" s="13" t="b">
        <f>IF($E37=Categories!$A$1,"",IF($E37=Categories!$A$2,Categories!$B$2,IF($E37=Categories!$A$3,Categories!$B$3,IF($E37=Categories!$A$4,Categories!$B$4,IF($E37=Categories!$A$5,Categories!$B$5,IF($E37=Categories!$A$6,Categories!$B$6,IF($E37=Categories!$A$7,Categories!$B$7,IF($E37=Categories!$A$8,Categories!$B$8,IF($E37=Categories!$A$9,Categories!$B$9,IF($E37=Categories!$A$10,Categories!$B$10,IF($E37=Categories!$A$11,Categories!$B$11,IF($E37=Categories!$A$12,Categories!$B$12,IF($E37=Categories!$A$13,Categories!$B$13,IF($E37=Categories!$A$14,Categories!$B$14,IF($E37=Categories!$A$15,Categories!$B$15,IF($E37=Categories!$A$16,Categories!$B$16,IF($E37=Categories!$A$17,Categories!$B$17,IF($E37=Categories!$A$18,Categories!$B$18,IF($E37=Categories!$A$19,Categories!$B$19)))))))))))))))))))</f>
        <v>0</v>
      </c>
      <c r="G37" s="9" t="str">
        <f t="shared" si="0"/>
        <v/>
      </c>
      <c r="H37" s="1" t="str">
        <f t="shared" si="1"/>
        <v/>
      </c>
      <c r="I37" s="1" t="str">
        <f t="shared" si="2"/>
        <v/>
      </c>
      <c r="J37" s="1" t="str">
        <f t="shared" si="3"/>
        <v/>
      </c>
      <c r="K37" s="13" t="str">
        <f t="shared" si="4"/>
        <v/>
      </c>
      <c r="L37" s="9" t="str">
        <f t="shared" si="5"/>
        <v/>
      </c>
      <c r="M37" s="1" t="str">
        <f t="shared" si="6"/>
        <v/>
      </c>
      <c r="N37" s="1" t="str">
        <f t="shared" si="7"/>
        <v/>
      </c>
      <c r="O37" s="1" t="str">
        <f t="shared" si="8"/>
        <v/>
      </c>
      <c r="P37" s="1" t="str">
        <f t="shared" si="9"/>
        <v/>
      </c>
      <c r="Q37" s="1" t="str">
        <f t="shared" si="10"/>
        <v/>
      </c>
      <c r="R37" s="1" t="str">
        <f t="shared" si="11"/>
        <v/>
      </c>
      <c r="S37" s="1" t="str">
        <f t="shared" si="12"/>
        <v/>
      </c>
      <c r="T37" s="1" t="str">
        <f t="shared" si="13"/>
        <v/>
      </c>
      <c r="U37" s="1" t="str">
        <f t="shared" si="14"/>
        <v/>
      </c>
      <c r="V37" s="1" t="str">
        <f t="shared" si="15"/>
        <v/>
      </c>
      <c r="W37" s="26" t="str">
        <f t="shared" si="16"/>
        <v/>
      </c>
      <c r="X37" s="13" t="str">
        <f t="shared" si="17"/>
        <v/>
      </c>
      <c r="Y37" s="9">
        <f t="shared" si="18"/>
        <v>0</v>
      </c>
    </row>
    <row r="38" spans="1:25" x14ac:dyDescent="0.25">
      <c r="A38" s="28"/>
      <c r="B38" s="29"/>
      <c r="C38" s="30"/>
      <c r="D38" s="31"/>
      <c r="E38" s="29" t="s">
        <v>16</v>
      </c>
      <c r="F38" s="13" t="b">
        <f>IF($E38=Categories!$A$1,"",IF($E38=Categories!$A$2,Categories!$B$2,IF($E38=Categories!$A$3,Categories!$B$3,IF($E38=Categories!$A$4,Categories!$B$4,IF($E38=Categories!$A$5,Categories!$B$5,IF($E38=Categories!$A$6,Categories!$B$6,IF($E38=Categories!$A$7,Categories!$B$7,IF($E38=Categories!$A$8,Categories!$B$8,IF($E38=Categories!$A$9,Categories!$B$9,IF($E38=Categories!$A$10,Categories!$B$10,IF($E38=Categories!$A$11,Categories!$B$11,IF($E38=Categories!$A$12,Categories!$B$12,IF($E38=Categories!$A$13,Categories!$B$13,IF($E38=Categories!$A$14,Categories!$B$14,IF($E38=Categories!$A$15,Categories!$B$15,IF($E38=Categories!$A$16,Categories!$B$16,IF($E38=Categories!$A$17,Categories!$B$17,IF($E38=Categories!$A$18,Categories!$B$18,IF($E38=Categories!$A$19,Categories!$B$19)))))))))))))))))))</f>
        <v>0</v>
      </c>
      <c r="G38" s="9" t="str">
        <f t="shared" si="0"/>
        <v/>
      </c>
      <c r="H38" s="1" t="str">
        <f t="shared" si="1"/>
        <v/>
      </c>
      <c r="I38" s="1" t="str">
        <f t="shared" si="2"/>
        <v/>
      </c>
      <c r="J38" s="1" t="str">
        <f t="shared" si="3"/>
        <v/>
      </c>
      <c r="K38" s="13" t="str">
        <f t="shared" si="4"/>
        <v/>
      </c>
      <c r="L38" s="9" t="str">
        <f t="shared" si="5"/>
        <v/>
      </c>
      <c r="M38" s="1" t="str">
        <f t="shared" si="6"/>
        <v/>
      </c>
      <c r="N38" s="1" t="str">
        <f t="shared" si="7"/>
        <v/>
      </c>
      <c r="O38" s="1" t="str">
        <f t="shared" si="8"/>
        <v/>
      </c>
      <c r="P38" s="1" t="str">
        <f t="shared" si="9"/>
        <v/>
      </c>
      <c r="Q38" s="1" t="str">
        <f t="shared" si="10"/>
        <v/>
      </c>
      <c r="R38" s="1" t="str">
        <f t="shared" si="11"/>
        <v/>
      </c>
      <c r="S38" s="1" t="str">
        <f t="shared" si="12"/>
        <v/>
      </c>
      <c r="T38" s="1" t="str">
        <f t="shared" si="13"/>
        <v/>
      </c>
      <c r="U38" s="1" t="str">
        <f t="shared" si="14"/>
        <v/>
      </c>
      <c r="V38" s="1" t="str">
        <f t="shared" si="15"/>
        <v/>
      </c>
      <c r="W38" s="26" t="str">
        <f t="shared" si="16"/>
        <v/>
      </c>
      <c r="X38" s="13" t="str">
        <f t="shared" si="17"/>
        <v/>
      </c>
      <c r="Y38" s="9">
        <f t="shared" si="18"/>
        <v>0</v>
      </c>
    </row>
    <row r="39" spans="1:25" x14ac:dyDescent="0.25">
      <c r="A39" s="28"/>
      <c r="B39" s="29"/>
      <c r="C39" s="30"/>
      <c r="D39" s="31"/>
      <c r="E39" s="29" t="s">
        <v>16</v>
      </c>
      <c r="F39" s="13" t="b">
        <f>IF($E39=Categories!$A$1,"",IF($E39=Categories!$A$2,Categories!$B$2,IF($E39=Categories!$A$3,Categories!$B$3,IF($E39=Categories!$A$4,Categories!$B$4,IF($E39=Categories!$A$5,Categories!$B$5,IF($E39=Categories!$A$6,Categories!$B$6,IF($E39=Categories!$A$7,Categories!$B$7,IF($E39=Categories!$A$8,Categories!$B$8,IF($E39=Categories!$A$9,Categories!$B$9,IF($E39=Categories!$A$10,Categories!$B$10,IF($E39=Categories!$A$11,Categories!$B$11,IF($E39=Categories!$A$12,Categories!$B$12,IF($E39=Categories!$A$13,Categories!$B$13,IF($E39=Categories!$A$14,Categories!$B$14,IF($E39=Categories!$A$15,Categories!$B$15,IF($E39=Categories!$A$16,Categories!$B$16,IF($E39=Categories!$A$17,Categories!$B$17,IF($E39=Categories!$A$18,Categories!$B$18,IF($E39=Categories!$A$19,Categories!$B$19)))))))))))))))))))</f>
        <v>0</v>
      </c>
      <c r="G39" s="9" t="str">
        <f t="shared" si="0"/>
        <v/>
      </c>
      <c r="H39" s="1" t="str">
        <f t="shared" si="1"/>
        <v/>
      </c>
      <c r="I39" s="1" t="str">
        <f t="shared" si="2"/>
        <v/>
      </c>
      <c r="J39" s="1" t="str">
        <f t="shared" si="3"/>
        <v/>
      </c>
      <c r="K39" s="13" t="str">
        <f t="shared" si="4"/>
        <v/>
      </c>
      <c r="L39" s="9" t="str">
        <f t="shared" si="5"/>
        <v/>
      </c>
      <c r="M39" s="1" t="str">
        <f t="shared" si="6"/>
        <v/>
      </c>
      <c r="N39" s="1" t="str">
        <f t="shared" si="7"/>
        <v/>
      </c>
      <c r="O39" s="1" t="str">
        <f t="shared" si="8"/>
        <v/>
      </c>
      <c r="P39" s="1" t="str">
        <f t="shared" si="9"/>
        <v/>
      </c>
      <c r="Q39" s="1" t="str">
        <f t="shared" si="10"/>
        <v/>
      </c>
      <c r="R39" s="1" t="str">
        <f t="shared" si="11"/>
        <v/>
      </c>
      <c r="S39" s="1" t="str">
        <f t="shared" si="12"/>
        <v/>
      </c>
      <c r="T39" s="1" t="str">
        <f t="shared" si="13"/>
        <v/>
      </c>
      <c r="U39" s="1" t="str">
        <f t="shared" si="14"/>
        <v/>
      </c>
      <c r="V39" s="1" t="str">
        <f t="shared" si="15"/>
        <v/>
      </c>
      <c r="W39" s="26" t="str">
        <f t="shared" si="16"/>
        <v/>
      </c>
      <c r="X39" s="13" t="str">
        <f t="shared" si="17"/>
        <v/>
      </c>
      <c r="Y39" s="9">
        <f t="shared" si="18"/>
        <v>0</v>
      </c>
    </row>
    <row r="40" spans="1:25" x14ac:dyDescent="0.25">
      <c r="A40" s="28"/>
      <c r="B40" s="29"/>
      <c r="C40" s="30"/>
      <c r="D40" s="31"/>
      <c r="E40" s="29" t="s">
        <v>16</v>
      </c>
      <c r="F40" s="13" t="b">
        <f>IF($E40=Categories!$A$1,"",IF($E40=Categories!$A$2,Categories!$B$2,IF($E40=Categories!$A$3,Categories!$B$3,IF($E40=Categories!$A$4,Categories!$B$4,IF($E40=Categories!$A$5,Categories!$B$5,IF($E40=Categories!$A$6,Categories!$B$6,IF($E40=Categories!$A$7,Categories!$B$7,IF($E40=Categories!$A$8,Categories!$B$8,IF($E40=Categories!$A$9,Categories!$B$9,IF($E40=Categories!$A$10,Categories!$B$10,IF($E40=Categories!$A$11,Categories!$B$11,IF($E40=Categories!$A$12,Categories!$B$12,IF($E40=Categories!$A$13,Categories!$B$13,IF($E40=Categories!$A$14,Categories!$B$14,IF($E40=Categories!$A$15,Categories!$B$15,IF($E40=Categories!$A$16,Categories!$B$16,IF($E40=Categories!$A$17,Categories!$B$17,IF($E40=Categories!$A$18,Categories!$B$18,IF($E40=Categories!$A$19,Categories!$B$19)))))))))))))))))))</f>
        <v>0</v>
      </c>
      <c r="G40" s="9" t="str">
        <f t="shared" si="0"/>
        <v/>
      </c>
      <c r="H40" s="1" t="str">
        <f t="shared" si="1"/>
        <v/>
      </c>
      <c r="I40" s="1" t="str">
        <f t="shared" si="2"/>
        <v/>
      </c>
      <c r="J40" s="1" t="str">
        <f t="shared" si="3"/>
        <v/>
      </c>
      <c r="K40" s="13" t="str">
        <f t="shared" si="4"/>
        <v/>
      </c>
      <c r="L40" s="9" t="str">
        <f t="shared" si="5"/>
        <v/>
      </c>
      <c r="M40" s="1" t="str">
        <f t="shared" si="6"/>
        <v/>
      </c>
      <c r="N40" s="1" t="str">
        <f t="shared" si="7"/>
        <v/>
      </c>
      <c r="O40" s="1" t="str">
        <f t="shared" si="8"/>
        <v/>
      </c>
      <c r="P40" s="1" t="str">
        <f t="shared" si="9"/>
        <v/>
      </c>
      <c r="Q40" s="1" t="str">
        <f t="shared" si="10"/>
        <v/>
      </c>
      <c r="R40" s="1" t="str">
        <f t="shared" si="11"/>
        <v/>
      </c>
      <c r="S40" s="1" t="str">
        <f t="shared" si="12"/>
        <v/>
      </c>
      <c r="T40" s="1" t="str">
        <f t="shared" si="13"/>
        <v/>
      </c>
      <c r="U40" s="1" t="str">
        <f t="shared" si="14"/>
        <v/>
      </c>
      <c r="V40" s="1" t="str">
        <f t="shared" si="15"/>
        <v/>
      </c>
      <c r="W40" s="26" t="str">
        <f t="shared" si="16"/>
        <v/>
      </c>
      <c r="X40" s="13" t="str">
        <f t="shared" si="17"/>
        <v/>
      </c>
      <c r="Y40" s="9">
        <f t="shared" si="18"/>
        <v>0</v>
      </c>
    </row>
    <row r="41" spans="1:25" x14ac:dyDescent="0.25">
      <c r="A41" s="28"/>
      <c r="B41" s="29"/>
      <c r="C41" s="30"/>
      <c r="D41" s="31"/>
      <c r="E41" s="29" t="s">
        <v>16</v>
      </c>
      <c r="F41" s="13" t="b">
        <f>IF($E41=Categories!$A$1,"",IF($E41=Categories!$A$2,Categories!$B$2,IF($E41=Categories!$A$3,Categories!$B$3,IF($E41=Categories!$A$4,Categories!$B$4,IF($E41=Categories!$A$5,Categories!$B$5,IF($E41=Categories!$A$6,Categories!$B$6,IF($E41=Categories!$A$7,Categories!$B$7,IF($E41=Categories!$A$8,Categories!$B$8,IF($E41=Categories!$A$9,Categories!$B$9,IF($E41=Categories!$A$10,Categories!$B$10,IF($E41=Categories!$A$11,Categories!$B$11,IF($E41=Categories!$A$12,Categories!$B$12,IF($E41=Categories!$A$13,Categories!$B$13,IF($E41=Categories!$A$14,Categories!$B$14,IF($E41=Categories!$A$15,Categories!$B$15,IF($E41=Categories!$A$16,Categories!$B$16,IF($E41=Categories!$A$17,Categories!$B$17,IF($E41=Categories!$A$18,Categories!$B$18,IF($E41=Categories!$A$19,Categories!$B$19)))))))))))))))))))</f>
        <v>0</v>
      </c>
      <c r="G41" s="9" t="str">
        <f t="shared" si="0"/>
        <v/>
      </c>
      <c r="H41" s="1" t="str">
        <f t="shared" si="1"/>
        <v/>
      </c>
      <c r="I41" s="1" t="str">
        <f t="shared" si="2"/>
        <v/>
      </c>
      <c r="J41" s="1" t="str">
        <f t="shared" si="3"/>
        <v/>
      </c>
      <c r="K41" s="13" t="str">
        <f t="shared" si="4"/>
        <v/>
      </c>
      <c r="L41" s="9" t="str">
        <f t="shared" si="5"/>
        <v/>
      </c>
      <c r="M41" s="1" t="str">
        <f t="shared" si="6"/>
        <v/>
      </c>
      <c r="N41" s="1" t="str">
        <f t="shared" si="7"/>
        <v/>
      </c>
      <c r="O41" s="1" t="str">
        <f t="shared" si="8"/>
        <v/>
      </c>
      <c r="P41" s="1" t="str">
        <f t="shared" si="9"/>
        <v/>
      </c>
      <c r="Q41" s="1" t="str">
        <f t="shared" si="10"/>
        <v/>
      </c>
      <c r="R41" s="1" t="str">
        <f t="shared" si="11"/>
        <v/>
      </c>
      <c r="S41" s="1" t="str">
        <f t="shared" si="12"/>
        <v/>
      </c>
      <c r="T41" s="1" t="str">
        <f t="shared" si="13"/>
        <v/>
      </c>
      <c r="U41" s="1" t="str">
        <f t="shared" si="14"/>
        <v/>
      </c>
      <c r="V41" s="1" t="str">
        <f t="shared" si="15"/>
        <v/>
      </c>
      <c r="W41" s="26" t="str">
        <f t="shared" si="16"/>
        <v/>
      </c>
      <c r="X41" s="13" t="str">
        <f t="shared" si="17"/>
        <v/>
      </c>
      <c r="Y41" s="9">
        <f t="shared" si="18"/>
        <v>0</v>
      </c>
    </row>
    <row r="42" spans="1:25" x14ac:dyDescent="0.25">
      <c r="A42" s="28"/>
      <c r="B42" s="29"/>
      <c r="C42" s="30"/>
      <c r="D42" s="31"/>
      <c r="E42" s="29" t="s">
        <v>16</v>
      </c>
      <c r="F42" s="13" t="b">
        <f>IF($E42=Categories!$A$1,"",IF($E42=Categories!$A$2,Categories!$B$2,IF($E42=Categories!$A$3,Categories!$B$3,IF($E42=Categories!$A$4,Categories!$B$4,IF($E42=Categories!$A$5,Categories!$B$5,IF($E42=Categories!$A$6,Categories!$B$6,IF($E42=Categories!$A$7,Categories!$B$7,IF($E42=Categories!$A$8,Categories!$B$8,IF($E42=Categories!$A$9,Categories!$B$9,IF($E42=Categories!$A$10,Categories!$B$10,IF($E42=Categories!$A$11,Categories!$B$11,IF($E42=Categories!$A$12,Categories!$B$12,IF($E42=Categories!$A$13,Categories!$B$13,IF($E42=Categories!$A$14,Categories!$B$14,IF($E42=Categories!$A$15,Categories!$B$15,IF($E42=Categories!$A$16,Categories!$B$16,IF($E42=Categories!$A$17,Categories!$B$17,IF($E42=Categories!$A$18,Categories!$B$18,IF($E42=Categories!$A$19,Categories!$B$19)))))))))))))))))))</f>
        <v>0</v>
      </c>
      <c r="G42" s="9" t="str">
        <f t="shared" si="0"/>
        <v/>
      </c>
      <c r="H42" s="1" t="str">
        <f t="shared" si="1"/>
        <v/>
      </c>
      <c r="I42" s="1" t="str">
        <f t="shared" si="2"/>
        <v/>
      </c>
      <c r="J42" s="1" t="str">
        <f t="shared" si="3"/>
        <v/>
      </c>
      <c r="K42" s="13" t="str">
        <f t="shared" si="4"/>
        <v/>
      </c>
      <c r="L42" s="9" t="str">
        <f t="shared" si="5"/>
        <v/>
      </c>
      <c r="M42" s="1" t="str">
        <f t="shared" si="6"/>
        <v/>
      </c>
      <c r="N42" s="1" t="str">
        <f t="shared" si="7"/>
        <v/>
      </c>
      <c r="O42" s="1" t="str">
        <f t="shared" si="8"/>
        <v/>
      </c>
      <c r="P42" s="1" t="str">
        <f t="shared" si="9"/>
        <v/>
      </c>
      <c r="Q42" s="1" t="str">
        <f t="shared" si="10"/>
        <v/>
      </c>
      <c r="R42" s="1" t="str">
        <f t="shared" si="11"/>
        <v/>
      </c>
      <c r="S42" s="1" t="str">
        <f t="shared" si="12"/>
        <v/>
      </c>
      <c r="T42" s="1" t="str">
        <f t="shared" si="13"/>
        <v/>
      </c>
      <c r="U42" s="1" t="str">
        <f t="shared" si="14"/>
        <v/>
      </c>
      <c r="V42" s="1" t="str">
        <f t="shared" si="15"/>
        <v/>
      </c>
      <c r="W42" s="26" t="str">
        <f t="shared" si="16"/>
        <v/>
      </c>
      <c r="X42" s="13" t="str">
        <f t="shared" si="17"/>
        <v/>
      </c>
      <c r="Y42" s="9">
        <f t="shared" si="18"/>
        <v>0</v>
      </c>
    </row>
    <row r="43" spans="1:25" x14ac:dyDescent="0.25">
      <c r="A43" s="28"/>
      <c r="B43" s="29"/>
      <c r="C43" s="30"/>
      <c r="D43" s="31"/>
      <c r="E43" s="29" t="s">
        <v>16</v>
      </c>
      <c r="F43" s="13" t="b">
        <f>IF($E43=Categories!$A$1,"",IF($E43=Categories!$A$2,Categories!$B$2,IF($E43=Categories!$A$3,Categories!$B$3,IF($E43=Categories!$A$4,Categories!$B$4,IF($E43=Categories!$A$5,Categories!$B$5,IF($E43=Categories!$A$6,Categories!$B$6,IF($E43=Categories!$A$7,Categories!$B$7,IF($E43=Categories!$A$8,Categories!$B$8,IF($E43=Categories!$A$9,Categories!$B$9,IF($E43=Categories!$A$10,Categories!$B$10,IF($E43=Categories!$A$11,Categories!$B$11,IF($E43=Categories!$A$12,Categories!$B$12,IF($E43=Categories!$A$13,Categories!$B$13,IF($E43=Categories!$A$14,Categories!$B$14,IF($E43=Categories!$A$15,Categories!$B$15,IF($E43=Categories!$A$16,Categories!$B$16,IF($E43=Categories!$A$17,Categories!$B$17,IF($E43=Categories!$A$18,Categories!$B$18,IF($E43=Categories!$A$19,Categories!$B$19)))))))))))))))))))</f>
        <v>0</v>
      </c>
      <c r="G43" s="9" t="str">
        <f t="shared" si="0"/>
        <v/>
      </c>
      <c r="H43" s="1" t="str">
        <f t="shared" si="1"/>
        <v/>
      </c>
      <c r="I43" s="1" t="str">
        <f t="shared" si="2"/>
        <v/>
      </c>
      <c r="J43" s="1" t="str">
        <f t="shared" si="3"/>
        <v/>
      </c>
      <c r="K43" s="13" t="str">
        <f t="shared" si="4"/>
        <v/>
      </c>
      <c r="L43" s="9" t="str">
        <f t="shared" si="5"/>
        <v/>
      </c>
      <c r="M43" s="1" t="str">
        <f t="shared" si="6"/>
        <v/>
      </c>
      <c r="N43" s="1" t="str">
        <f t="shared" si="7"/>
        <v/>
      </c>
      <c r="O43" s="1" t="str">
        <f t="shared" si="8"/>
        <v/>
      </c>
      <c r="P43" s="1" t="str">
        <f t="shared" si="9"/>
        <v/>
      </c>
      <c r="Q43" s="1" t="str">
        <f t="shared" si="10"/>
        <v/>
      </c>
      <c r="R43" s="1" t="str">
        <f t="shared" si="11"/>
        <v/>
      </c>
      <c r="S43" s="1" t="str">
        <f t="shared" si="12"/>
        <v/>
      </c>
      <c r="T43" s="1" t="str">
        <f t="shared" si="13"/>
        <v/>
      </c>
      <c r="U43" s="1" t="str">
        <f t="shared" si="14"/>
        <v/>
      </c>
      <c r="V43" s="1" t="str">
        <f t="shared" si="15"/>
        <v/>
      </c>
      <c r="W43" s="26" t="str">
        <f t="shared" si="16"/>
        <v/>
      </c>
      <c r="X43" s="13" t="str">
        <f t="shared" si="17"/>
        <v/>
      </c>
      <c r="Y43" s="9">
        <f t="shared" si="18"/>
        <v>0</v>
      </c>
    </row>
    <row r="44" spans="1:25" x14ac:dyDescent="0.25">
      <c r="A44" s="28"/>
      <c r="B44" s="29"/>
      <c r="C44" s="30"/>
      <c r="D44" s="31"/>
      <c r="E44" s="29" t="s">
        <v>16</v>
      </c>
      <c r="F44" s="13" t="b">
        <f>IF($E44=Categories!$A$1,"",IF($E44=Categories!$A$2,Categories!$B$2,IF($E44=Categories!$A$3,Categories!$B$3,IF($E44=Categories!$A$4,Categories!$B$4,IF($E44=Categories!$A$5,Categories!$B$5,IF($E44=Categories!$A$6,Categories!$B$6,IF($E44=Categories!$A$7,Categories!$B$7,IF($E44=Categories!$A$8,Categories!$B$8,IF($E44=Categories!$A$9,Categories!$B$9,IF($E44=Categories!$A$10,Categories!$B$10,IF($E44=Categories!$A$11,Categories!$B$11,IF($E44=Categories!$A$12,Categories!$B$12,IF($E44=Categories!$A$13,Categories!$B$13,IF($E44=Categories!$A$14,Categories!$B$14,IF($E44=Categories!$A$15,Categories!$B$15,IF($E44=Categories!$A$16,Categories!$B$16,IF($E44=Categories!$A$17,Categories!$B$17,IF($E44=Categories!$A$18,Categories!$B$18,IF($E44=Categories!$A$19,Categories!$B$19)))))))))))))))))))</f>
        <v>0</v>
      </c>
      <c r="G44" s="9" t="str">
        <f t="shared" si="0"/>
        <v/>
      </c>
      <c r="H44" s="1" t="str">
        <f t="shared" si="1"/>
        <v/>
      </c>
      <c r="I44" s="1" t="str">
        <f t="shared" si="2"/>
        <v/>
      </c>
      <c r="J44" s="1" t="str">
        <f t="shared" si="3"/>
        <v/>
      </c>
      <c r="K44" s="13" t="str">
        <f t="shared" si="4"/>
        <v/>
      </c>
      <c r="L44" s="9" t="str">
        <f t="shared" si="5"/>
        <v/>
      </c>
      <c r="M44" s="1" t="str">
        <f t="shared" si="6"/>
        <v/>
      </c>
      <c r="N44" s="1" t="str">
        <f t="shared" si="7"/>
        <v/>
      </c>
      <c r="O44" s="1" t="str">
        <f t="shared" si="8"/>
        <v/>
      </c>
      <c r="P44" s="1" t="str">
        <f t="shared" si="9"/>
        <v/>
      </c>
      <c r="Q44" s="1" t="str">
        <f t="shared" si="10"/>
        <v/>
      </c>
      <c r="R44" s="1" t="str">
        <f t="shared" si="11"/>
        <v/>
      </c>
      <c r="S44" s="1" t="str">
        <f t="shared" si="12"/>
        <v/>
      </c>
      <c r="T44" s="1" t="str">
        <f t="shared" si="13"/>
        <v/>
      </c>
      <c r="U44" s="1" t="str">
        <f t="shared" si="14"/>
        <v/>
      </c>
      <c r="V44" s="1" t="str">
        <f t="shared" si="15"/>
        <v/>
      </c>
      <c r="W44" s="26" t="str">
        <f t="shared" si="16"/>
        <v/>
      </c>
      <c r="X44" s="13" t="str">
        <f t="shared" si="17"/>
        <v/>
      </c>
      <c r="Y44" s="9">
        <f t="shared" si="18"/>
        <v>0</v>
      </c>
    </row>
    <row r="45" spans="1:25" x14ac:dyDescent="0.25">
      <c r="A45" s="28"/>
      <c r="B45" s="29"/>
      <c r="C45" s="30"/>
      <c r="D45" s="31"/>
      <c r="E45" s="29" t="s">
        <v>16</v>
      </c>
      <c r="F45" s="13" t="b">
        <f>IF($E45=Categories!$A$1,"",IF($E45=Categories!$A$2,Categories!$B$2,IF($E45=Categories!$A$3,Categories!$B$3,IF($E45=Categories!$A$4,Categories!$B$4,IF($E45=Categories!$A$5,Categories!$B$5,IF($E45=Categories!$A$6,Categories!$B$6,IF($E45=Categories!$A$7,Categories!$B$7,IF($E45=Categories!$A$8,Categories!$B$8,IF($E45=Categories!$A$9,Categories!$B$9,IF($E45=Categories!$A$10,Categories!$B$10,IF($E45=Categories!$A$11,Categories!$B$11,IF($E45=Categories!$A$12,Categories!$B$12,IF($E45=Categories!$A$13,Categories!$B$13,IF($E45=Categories!$A$14,Categories!$B$14,IF($E45=Categories!$A$15,Categories!$B$15,IF($E45=Categories!$A$16,Categories!$B$16,IF($E45=Categories!$A$17,Categories!$B$17,IF($E45=Categories!$A$18,Categories!$B$18,IF($E45=Categories!$A$19,Categories!$B$19)))))))))))))))))))</f>
        <v>0</v>
      </c>
      <c r="G45" s="9" t="str">
        <f t="shared" si="0"/>
        <v/>
      </c>
      <c r="H45" s="1" t="str">
        <f t="shared" si="1"/>
        <v/>
      </c>
      <c r="I45" s="1" t="str">
        <f t="shared" si="2"/>
        <v/>
      </c>
      <c r="J45" s="1" t="str">
        <f t="shared" si="3"/>
        <v/>
      </c>
      <c r="K45" s="13" t="str">
        <f t="shared" si="4"/>
        <v/>
      </c>
      <c r="L45" s="9" t="str">
        <f t="shared" si="5"/>
        <v/>
      </c>
      <c r="M45" s="1" t="str">
        <f t="shared" si="6"/>
        <v/>
      </c>
      <c r="N45" s="1" t="str">
        <f t="shared" si="7"/>
        <v/>
      </c>
      <c r="O45" s="1" t="str">
        <f t="shared" si="8"/>
        <v/>
      </c>
      <c r="P45" s="1" t="str">
        <f t="shared" si="9"/>
        <v/>
      </c>
      <c r="Q45" s="1" t="str">
        <f t="shared" si="10"/>
        <v/>
      </c>
      <c r="R45" s="1" t="str">
        <f t="shared" si="11"/>
        <v/>
      </c>
      <c r="S45" s="1" t="str">
        <f t="shared" si="12"/>
        <v/>
      </c>
      <c r="T45" s="1" t="str">
        <f t="shared" si="13"/>
        <v/>
      </c>
      <c r="U45" s="1" t="str">
        <f t="shared" si="14"/>
        <v/>
      </c>
      <c r="V45" s="1" t="str">
        <f t="shared" si="15"/>
        <v/>
      </c>
      <c r="W45" s="26" t="str">
        <f t="shared" si="16"/>
        <v/>
      </c>
      <c r="X45" s="13" t="str">
        <f t="shared" si="17"/>
        <v/>
      </c>
      <c r="Y45" s="9">
        <f t="shared" si="18"/>
        <v>0</v>
      </c>
    </row>
    <row r="46" spans="1:25" x14ac:dyDescent="0.25">
      <c r="A46" s="28"/>
      <c r="B46" s="29"/>
      <c r="C46" s="30"/>
      <c r="D46" s="31"/>
      <c r="E46" s="29" t="s">
        <v>16</v>
      </c>
      <c r="F46" s="13" t="b">
        <f>IF($E46=Categories!$A$1,"",IF($E46=Categories!$A$2,Categories!$B$2,IF($E46=Categories!$A$3,Categories!$B$3,IF($E46=Categories!$A$4,Categories!$B$4,IF($E46=Categories!$A$5,Categories!$B$5,IF($E46=Categories!$A$6,Categories!$B$6,IF($E46=Categories!$A$7,Categories!$B$7,IF($E46=Categories!$A$8,Categories!$B$8,IF($E46=Categories!$A$9,Categories!$B$9,IF($E46=Categories!$A$10,Categories!$B$10,IF($E46=Categories!$A$11,Categories!$B$11,IF($E46=Categories!$A$12,Categories!$B$12,IF($E46=Categories!$A$13,Categories!$B$13,IF($E46=Categories!$A$14,Categories!$B$14,IF($E46=Categories!$A$15,Categories!$B$15,IF($E46=Categories!$A$16,Categories!$B$16,IF($E46=Categories!$A$17,Categories!$B$17,IF($E46=Categories!$A$18,Categories!$B$18,IF($E46=Categories!$A$19,Categories!$B$19)))))))))))))))))))</f>
        <v>0</v>
      </c>
      <c r="G46" s="9" t="str">
        <f t="shared" si="0"/>
        <v/>
      </c>
      <c r="H46" s="1" t="str">
        <f t="shared" si="1"/>
        <v/>
      </c>
      <c r="I46" s="1" t="str">
        <f t="shared" si="2"/>
        <v/>
      </c>
      <c r="J46" s="1" t="str">
        <f t="shared" si="3"/>
        <v/>
      </c>
      <c r="K46" s="13" t="str">
        <f t="shared" si="4"/>
        <v/>
      </c>
      <c r="L46" s="9" t="str">
        <f t="shared" si="5"/>
        <v/>
      </c>
      <c r="M46" s="1" t="str">
        <f t="shared" si="6"/>
        <v/>
      </c>
      <c r="N46" s="1" t="str">
        <f t="shared" si="7"/>
        <v/>
      </c>
      <c r="O46" s="1" t="str">
        <f t="shared" si="8"/>
        <v/>
      </c>
      <c r="P46" s="1" t="str">
        <f t="shared" si="9"/>
        <v/>
      </c>
      <c r="Q46" s="1" t="str">
        <f t="shared" si="10"/>
        <v/>
      </c>
      <c r="R46" s="1" t="str">
        <f t="shared" si="11"/>
        <v/>
      </c>
      <c r="S46" s="1" t="str">
        <f t="shared" si="12"/>
        <v/>
      </c>
      <c r="T46" s="1" t="str">
        <f t="shared" si="13"/>
        <v/>
      </c>
      <c r="U46" s="1" t="str">
        <f t="shared" si="14"/>
        <v/>
      </c>
      <c r="V46" s="1" t="str">
        <f t="shared" si="15"/>
        <v/>
      </c>
      <c r="W46" s="26" t="str">
        <f t="shared" si="16"/>
        <v/>
      </c>
      <c r="X46" s="13" t="str">
        <f t="shared" si="17"/>
        <v/>
      </c>
      <c r="Y46" s="9">
        <f t="shared" si="18"/>
        <v>0</v>
      </c>
    </row>
    <row r="47" spans="1:25" x14ac:dyDescent="0.25">
      <c r="A47" s="28"/>
      <c r="B47" s="29"/>
      <c r="C47" s="30"/>
      <c r="D47" s="31"/>
      <c r="E47" s="29" t="s">
        <v>16</v>
      </c>
      <c r="F47" s="13" t="b">
        <f>IF($E47=Categories!$A$1,"",IF($E47=Categories!$A$2,Categories!$B$2,IF($E47=Categories!$A$3,Categories!$B$3,IF($E47=Categories!$A$4,Categories!$B$4,IF($E47=Categories!$A$5,Categories!$B$5,IF($E47=Categories!$A$6,Categories!$B$6,IF($E47=Categories!$A$7,Categories!$B$7,IF($E47=Categories!$A$8,Categories!$B$8,IF($E47=Categories!$A$9,Categories!$B$9,IF($E47=Categories!$A$10,Categories!$B$10,IF($E47=Categories!$A$11,Categories!$B$11,IF($E47=Categories!$A$12,Categories!$B$12,IF($E47=Categories!$A$13,Categories!$B$13,IF($E47=Categories!$A$14,Categories!$B$14,IF($E47=Categories!$A$15,Categories!$B$15,IF($E47=Categories!$A$16,Categories!$B$16,IF($E47=Categories!$A$17,Categories!$B$17,IF($E47=Categories!$A$18,Categories!$B$18,IF($E47=Categories!$A$19,Categories!$B$19)))))))))))))))))))</f>
        <v>0</v>
      </c>
      <c r="G47" s="9" t="str">
        <f t="shared" si="0"/>
        <v/>
      </c>
      <c r="H47" s="1" t="str">
        <f t="shared" si="1"/>
        <v/>
      </c>
      <c r="I47" s="1" t="str">
        <f t="shared" si="2"/>
        <v/>
      </c>
      <c r="J47" s="1" t="str">
        <f t="shared" si="3"/>
        <v/>
      </c>
      <c r="K47" s="13" t="str">
        <f t="shared" si="4"/>
        <v/>
      </c>
      <c r="L47" s="9" t="str">
        <f t="shared" si="5"/>
        <v/>
      </c>
      <c r="M47" s="1" t="str">
        <f t="shared" si="6"/>
        <v/>
      </c>
      <c r="N47" s="1" t="str">
        <f t="shared" si="7"/>
        <v/>
      </c>
      <c r="O47" s="1" t="str">
        <f t="shared" si="8"/>
        <v/>
      </c>
      <c r="P47" s="1" t="str">
        <f t="shared" si="9"/>
        <v/>
      </c>
      <c r="Q47" s="1" t="str">
        <f t="shared" si="10"/>
        <v/>
      </c>
      <c r="R47" s="1" t="str">
        <f t="shared" si="11"/>
        <v/>
      </c>
      <c r="S47" s="1" t="str">
        <f t="shared" si="12"/>
        <v/>
      </c>
      <c r="T47" s="1" t="str">
        <f t="shared" si="13"/>
        <v/>
      </c>
      <c r="U47" s="1" t="str">
        <f t="shared" si="14"/>
        <v/>
      </c>
      <c r="V47" s="1" t="str">
        <f t="shared" si="15"/>
        <v/>
      </c>
      <c r="W47" s="26" t="str">
        <f t="shared" si="16"/>
        <v/>
      </c>
      <c r="X47" s="13" t="str">
        <f t="shared" si="17"/>
        <v/>
      </c>
      <c r="Y47" s="9">
        <f t="shared" si="18"/>
        <v>0</v>
      </c>
    </row>
    <row r="48" spans="1:25" x14ac:dyDescent="0.25">
      <c r="A48" s="28"/>
      <c r="B48" s="29"/>
      <c r="C48" s="30"/>
      <c r="D48" s="31"/>
      <c r="E48" s="29" t="s">
        <v>16</v>
      </c>
      <c r="F48" s="13" t="b">
        <f>IF($E48=Categories!$A$1,"",IF($E48=Categories!$A$2,Categories!$B$2,IF($E48=Categories!$A$3,Categories!$B$3,IF($E48=Categories!$A$4,Categories!$B$4,IF($E48=Categories!$A$5,Categories!$B$5,IF($E48=Categories!$A$6,Categories!$B$6,IF($E48=Categories!$A$7,Categories!$B$7,IF($E48=Categories!$A$8,Categories!$B$8,IF($E48=Categories!$A$9,Categories!$B$9,IF($E48=Categories!$A$10,Categories!$B$10,IF($E48=Categories!$A$11,Categories!$B$11,IF($E48=Categories!$A$12,Categories!$B$12,IF($E48=Categories!$A$13,Categories!$B$13,IF($E48=Categories!$A$14,Categories!$B$14,IF($E48=Categories!$A$15,Categories!$B$15,IF($E48=Categories!$A$16,Categories!$B$16,IF($E48=Categories!$A$17,Categories!$B$17,IF($E48=Categories!$A$18,Categories!$B$18,IF($E48=Categories!$A$19,Categories!$B$19)))))))))))))))))))</f>
        <v>0</v>
      </c>
      <c r="G48" s="9" t="str">
        <f t="shared" si="0"/>
        <v/>
      </c>
      <c r="H48" s="1" t="str">
        <f t="shared" si="1"/>
        <v/>
      </c>
      <c r="I48" s="1" t="str">
        <f t="shared" si="2"/>
        <v/>
      </c>
      <c r="J48" s="1" t="str">
        <f t="shared" si="3"/>
        <v/>
      </c>
      <c r="K48" s="13" t="str">
        <f t="shared" si="4"/>
        <v/>
      </c>
      <c r="L48" s="9" t="str">
        <f t="shared" si="5"/>
        <v/>
      </c>
      <c r="M48" s="1" t="str">
        <f t="shared" si="6"/>
        <v/>
      </c>
      <c r="N48" s="1" t="str">
        <f t="shared" si="7"/>
        <v/>
      </c>
      <c r="O48" s="1" t="str">
        <f t="shared" si="8"/>
        <v/>
      </c>
      <c r="P48" s="1" t="str">
        <f t="shared" si="9"/>
        <v/>
      </c>
      <c r="Q48" s="1" t="str">
        <f t="shared" si="10"/>
        <v/>
      </c>
      <c r="R48" s="1" t="str">
        <f t="shared" si="11"/>
        <v/>
      </c>
      <c r="S48" s="1" t="str">
        <f t="shared" si="12"/>
        <v/>
      </c>
      <c r="T48" s="1" t="str">
        <f t="shared" si="13"/>
        <v/>
      </c>
      <c r="U48" s="1" t="str">
        <f t="shared" si="14"/>
        <v/>
      </c>
      <c r="V48" s="1" t="str">
        <f t="shared" si="15"/>
        <v/>
      </c>
      <c r="W48" s="26" t="str">
        <f t="shared" si="16"/>
        <v/>
      </c>
      <c r="X48" s="13" t="str">
        <f t="shared" si="17"/>
        <v/>
      </c>
      <c r="Y48" s="9">
        <f t="shared" si="18"/>
        <v>0</v>
      </c>
    </row>
    <row r="49" spans="1:25" x14ac:dyDescent="0.25">
      <c r="A49" s="28"/>
      <c r="B49" s="29"/>
      <c r="C49" s="30"/>
      <c r="D49" s="31"/>
      <c r="E49" s="29" t="s">
        <v>16</v>
      </c>
      <c r="F49" s="13" t="b">
        <f>IF($E49=Categories!$A$1,"",IF($E49=Categories!$A$2,Categories!$B$2,IF($E49=Categories!$A$3,Categories!$B$3,IF($E49=Categories!$A$4,Categories!$B$4,IF($E49=Categories!$A$5,Categories!$B$5,IF($E49=Categories!$A$6,Categories!$B$6,IF($E49=Categories!$A$7,Categories!$B$7,IF($E49=Categories!$A$8,Categories!$B$8,IF($E49=Categories!$A$9,Categories!$B$9,IF($E49=Categories!$A$10,Categories!$B$10,IF($E49=Categories!$A$11,Categories!$B$11,IF($E49=Categories!$A$12,Categories!$B$12,IF($E49=Categories!$A$13,Categories!$B$13,IF($E49=Categories!$A$14,Categories!$B$14,IF($E49=Categories!$A$15,Categories!$B$15,IF($E49=Categories!$A$16,Categories!$B$16,IF($E49=Categories!$A$17,Categories!$B$17,IF($E49=Categories!$A$18,Categories!$B$18,IF($E49=Categories!$A$19,Categories!$B$19)))))))))))))))))))</f>
        <v>0</v>
      </c>
      <c r="G49" s="9" t="str">
        <f t="shared" si="0"/>
        <v/>
      </c>
      <c r="H49" s="1" t="str">
        <f t="shared" si="1"/>
        <v/>
      </c>
      <c r="I49" s="1" t="str">
        <f t="shared" si="2"/>
        <v/>
      </c>
      <c r="J49" s="1" t="str">
        <f t="shared" si="3"/>
        <v/>
      </c>
      <c r="K49" s="13" t="str">
        <f t="shared" si="4"/>
        <v/>
      </c>
      <c r="L49" s="9" t="str">
        <f t="shared" si="5"/>
        <v/>
      </c>
      <c r="M49" s="1" t="str">
        <f t="shared" si="6"/>
        <v/>
      </c>
      <c r="N49" s="1" t="str">
        <f t="shared" si="7"/>
        <v/>
      </c>
      <c r="O49" s="1" t="str">
        <f t="shared" si="8"/>
        <v/>
      </c>
      <c r="P49" s="1" t="str">
        <f t="shared" si="9"/>
        <v/>
      </c>
      <c r="Q49" s="1" t="str">
        <f t="shared" si="10"/>
        <v/>
      </c>
      <c r="R49" s="1" t="str">
        <f t="shared" si="11"/>
        <v/>
      </c>
      <c r="S49" s="1" t="str">
        <f t="shared" si="12"/>
        <v/>
      </c>
      <c r="T49" s="1" t="str">
        <f t="shared" si="13"/>
        <v/>
      </c>
      <c r="U49" s="1" t="str">
        <f t="shared" si="14"/>
        <v/>
      </c>
      <c r="V49" s="1" t="str">
        <f t="shared" si="15"/>
        <v/>
      </c>
      <c r="W49" s="26" t="str">
        <f t="shared" si="16"/>
        <v/>
      </c>
      <c r="X49" s="13" t="str">
        <f t="shared" si="17"/>
        <v/>
      </c>
      <c r="Y49" s="9">
        <f t="shared" si="18"/>
        <v>0</v>
      </c>
    </row>
    <row r="50" spans="1:25" x14ac:dyDescent="0.25">
      <c r="A50" s="28"/>
      <c r="B50" s="29"/>
      <c r="C50" s="30"/>
      <c r="D50" s="31"/>
      <c r="E50" s="29" t="s">
        <v>16</v>
      </c>
      <c r="F50" s="13" t="b">
        <f>IF($E50=Categories!$A$1,"",IF($E50=Categories!$A$2,Categories!$B$2,IF($E50=Categories!$A$3,Categories!$B$3,IF($E50=Categories!$A$4,Categories!$B$4,IF($E50=Categories!$A$5,Categories!$B$5,IF($E50=Categories!$A$6,Categories!$B$6,IF($E50=Categories!$A$7,Categories!$B$7,IF($E50=Categories!$A$8,Categories!$B$8,IF($E50=Categories!$A$9,Categories!$B$9,IF($E50=Categories!$A$10,Categories!$B$10,IF($E50=Categories!$A$11,Categories!$B$11,IF($E50=Categories!$A$12,Categories!$B$12,IF($E50=Categories!$A$13,Categories!$B$13,IF($E50=Categories!$A$14,Categories!$B$14,IF($E50=Categories!$A$15,Categories!$B$15,IF($E50=Categories!$A$16,Categories!$B$16,IF($E50=Categories!$A$17,Categories!$B$17,IF($E50=Categories!$A$18,Categories!$B$18,IF($E50=Categories!$A$19,Categories!$B$19)))))))))))))))))))</f>
        <v>0</v>
      </c>
      <c r="G50" s="9" t="str">
        <f t="shared" si="0"/>
        <v/>
      </c>
      <c r="H50" s="1" t="str">
        <f t="shared" si="1"/>
        <v/>
      </c>
      <c r="I50" s="1" t="str">
        <f t="shared" si="2"/>
        <v/>
      </c>
      <c r="J50" s="1" t="str">
        <f t="shared" si="3"/>
        <v/>
      </c>
      <c r="K50" s="13" t="str">
        <f t="shared" si="4"/>
        <v/>
      </c>
      <c r="L50" s="9" t="str">
        <f t="shared" si="5"/>
        <v/>
      </c>
      <c r="M50" s="1" t="str">
        <f t="shared" si="6"/>
        <v/>
      </c>
      <c r="N50" s="1" t="str">
        <f t="shared" si="7"/>
        <v/>
      </c>
      <c r="O50" s="1" t="str">
        <f t="shared" si="8"/>
        <v/>
      </c>
      <c r="P50" s="1" t="str">
        <f t="shared" si="9"/>
        <v/>
      </c>
      <c r="Q50" s="1" t="str">
        <f t="shared" si="10"/>
        <v/>
      </c>
      <c r="R50" s="1" t="str">
        <f t="shared" si="11"/>
        <v/>
      </c>
      <c r="S50" s="1" t="str">
        <f t="shared" si="12"/>
        <v/>
      </c>
      <c r="T50" s="1" t="str">
        <f t="shared" si="13"/>
        <v/>
      </c>
      <c r="U50" s="1" t="str">
        <f t="shared" si="14"/>
        <v/>
      </c>
      <c r="V50" s="1" t="str">
        <f t="shared" si="15"/>
        <v/>
      </c>
      <c r="W50" s="26" t="str">
        <f t="shared" si="16"/>
        <v/>
      </c>
      <c r="X50" s="13" t="str">
        <f t="shared" si="17"/>
        <v/>
      </c>
      <c r="Y50" s="9">
        <f t="shared" si="18"/>
        <v>0</v>
      </c>
    </row>
    <row r="51" spans="1:25" x14ac:dyDescent="0.25">
      <c r="A51" s="28"/>
      <c r="B51" s="29"/>
      <c r="C51" s="30"/>
      <c r="D51" s="31"/>
      <c r="E51" s="29" t="s">
        <v>16</v>
      </c>
      <c r="F51" s="13" t="b">
        <f>IF($E51=Categories!$A$1,"",IF($E51=Categories!$A$2,Categories!$B$2,IF($E51=Categories!$A$3,Categories!$B$3,IF($E51=Categories!$A$4,Categories!$B$4,IF($E51=Categories!$A$5,Categories!$B$5,IF($E51=Categories!$A$6,Categories!$B$6,IF($E51=Categories!$A$7,Categories!$B$7,IF($E51=Categories!$A$8,Categories!$B$8,IF($E51=Categories!$A$9,Categories!$B$9,IF($E51=Categories!$A$10,Categories!$B$10,IF($E51=Categories!$A$11,Categories!$B$11,IF($E51=Categories!$A$12,Categories!$B$12,IF($E51=Categories!$A$13,Categories!$B$13,IF($E51=Categories!$A$14,Categories!$B$14,IF($E51=Categories!$A$15,Categories!$B$15,IF($E51=Categories!$A$16,Categories!$B$16,IF($E51=Categories!$A$17,Categories!$B$17,IF($E51=Categories!$A$18,Categories!$B$18,IF($E51=Categories!$A$19,Categories!$B$19)))))))))))))))))))</f>
        <v>0</v>
      </c>
      <c r="G51" s="9" t="str">
        <f t="shared" si="0"/>
        <v/>
      </c>
      <c r="H51" s="1" t="str">
        <f t="shared" si="1"/>
        <v/>
      </c>
      <c r="I51" s="1" t="str">
        <f t="shared" si="2"/>
        <v/>
      </c>
      <c r="J51" s="1" t="str">
        <f t="shared" si="3"/>
        <v/>
      </c>
      <c r="K51" s="13" t="str">
        <f t="shared" si="4"/>
        <v/>
      </c>
      <c r="L51" s="9" t="str">
        <f t="shared" si="5"/>
        <v/>
      </c>
      <c r="M51" s="1" t="str">
        <f t="shared" si="6"/>
        <v/>
      </c>
      <c r="N51" s="1" t="str">
        <f t="shared" si="7"/>
        <v/>
      </c>
      <c r="O51" s="1" t="str">
        <f t="shared" si="8"/>
        <v/>
      </c>
      <c r="P51" s="1" t="str">
        <f t="shared" si="9"/>
        <v/>
      </c>
      <c r="Q51" s="1" t="str">
        <f t="shared" si="10"/>
        <v/>
      </c>
      <c r="R51" s="1" t="str">
        <f t="shared" si="11"/>
        <v/>
      </c>
      <c r="S51" s="1" t="str">
        <f t="shared" si="12"/>
        <v/>
      </c>
      <c r="T51" s="1" t="str">
        <f t="shared" si="13"/>
        <v/>
      </c>
      <c r="U51" s="1" t="str">
        <f t="shared" si="14"/>
        <v/>
      </c>
      <c r="V51" s="1" t="str">
        <f t="shared" si="15"/>
        <v/>
      </c>
      <c r="W51" s="26" t="str">
        <f t="shared" si="16"/>
        <v/>
      </c>
      <c r="X51" s="13" t="str">
        <f t="shared" si="17"/>
        <v/>
      </c>
      <c r="Y51" s="9">
        <f t="shared" si="18"/>
        <v>0</v>
      </c>
    </row>
    <row r="52" spans="1:25" x14ac:dyDescent="0.25">
      <c r="A52" s="28"/>
      <c r="B52" s="29"/>
      <c r="C52" s="30"/>
      <c r="D52" s="31"/>
      <c r="E52" s="29" t="s">
        <v>16</v>
      </c>
      <c r="F52" s="13" t="b">
        <f>IF($E52=Categories!$A$1,"",IF($E52=Categories!$A$2,Categories!$B$2,IF($E52=Categories!$A$3,Categories!$B$3,IF($E52=Categories!$A$4,Categories!$B$4,IF($E52=Categories!$A$5,Categories!$B$5,IF($E52=Categories!$A$6,Categories!$B$6,IF($E52=Categories!$A$7,Categories!$B$7,IF($E52=Categories!$A$8,Categories!$B$8,IF($E52=Categories!$A$9,Categories!$B$9,IF($E52=Categories!$A$10,Categories!$B$10,IF($E52=Categories!$A$11,Categories!$B$11,IF($E52=Categories!$A$12,Categories!$B$12,IF($E52=Categories!$A$13,Categories!$B$13,IF($E52=Categories!$A$14,Categories!$B$14,IF($E52=Categories!$A$15,Categories!$B$15,IF($E52=Categories!$A$16,Categories!$B$16,IF($E52=Categories!$A$17,Categories!$B$17,IF($E52=Categories!$A$18,Categories!$B$18,IF($E52=Categories!$A$19,Categories!$B$19)))))))))))))))))))</f>
        <v>0</v>
      </c>
      <c r="G52" s="9" t="str">
        <f t="shared" si="0"/>
        <v/>
      </c>
      <c r="H52" s="1" t="str">
        <f t="shared" si="1"/>
        <v/>
      </c>
      <c r="I52" s="1" t="str">
        <f t="shared" si="2"/>
        <v/>
      </c>
      <c r="J52" s="1" t="str">
        <f t="shared" si="3"/>
        <v/>
      </c>
      <c r="K52" s="13" t="str">
        <f t="shared" si="4"/>
        <v/>
      </c>
      <c r="L52" s="9" t="str">
        <f t="shared" si="5"/>
        <v/>
      </c>
      <c r="M52" s="1" t="str">
        <f t="shared" si="6"/>
        <v/>
      </c>
      <c r="N52" s="1" t="str">
        <f t="shared" si="7"/>
        <v/>
      </c>
      <c r="O52" s="1" t="str">
        <f t="shared" si="8"/>
        <v/>
      </c>
      <c r="P52" s="1" t="str">
        <f t="shared" si="9"/>
        <v/>
      </c>
      <c r="Q52" s="1" t="str">
        <f t="shared" si="10"/>
        <v/>
      </c>
      <c r="R52" s="1" t="str">
        <f t="shared" si="11"/>
        <v/>
      </c>
      <c r="S52" s="1" t="str">
        <f t="shared" si="12"/>
        <v/>
      </c>
      <c r="T52" s="1" t="str">
        <f t="shared" si="13"/>
        <v/>
      </c>
      <c r="U52" s="1" t="str">
        <f t="shared" si="14"/>
        <v/>
      </c>
      <c r="V52" s="1" t="str">
        <f t="shared" si="15"/>
        <v/>
      </c>
      <c r="W52" s="26" t="str">
        <f t="shared" si="16"/>
        <v/>
      </c>
      <c r="X52" s="13" t="str">
        <f t="shared" si="17"/>
        <v/>
      </c>
      <c r="Y52" s="9">
        <f t="shared" si="18"/>
        <v>0</v>
      </c>
    </row>
    <row r="53" spans="1:25" x14ac:dyDescent="0.25">
      <c r="A53" s="28"/>
      <c r="B53" s="29"/>
      <c r="C53" s="30"/>
      <c r="D53" s="31"/>
      <c r="E53" s="29" t="s">
        <v>16</v>
      </c>
      <c r="F53" s="13" t="b">
        <f>IF($E53=Categories!$A$1,"",IF($E53=Categories!$A$2,Categories!$B$2,IF($E53=Categories!$A$3,Categories!$B$3,IF($E53=Categories!$A$4,Categories!$B$4,IF($E53=Categories!$A$5,Categories!$B$5,IF($E53=Categories!$A$6,Categories!$B$6,IF($E53=Categories!$A$7,Categories!$B$7,IF($E53=Categories!$A$8,Categories!$B$8,IF($E53=Categories!$A$9,Categories!$B$9,IF($E53=Categories!$A$10,Categories!$B$10,IF($E53=Categories!$A$11,Categories!$B$11,IF($E53=Categories!$A$12,Categories!$B$12,IF($E53=Categories!$A$13,Categories!$B$13,IF($E53=Categories!$A$14,Categories!$B$14,IF($E53=Categories!$A$15,Categories!$B$15,IF($E53=Categories!$A$16,Categories!$B$16,IF($E53=Categories!$A$17,Categories!$B$17,IF($E53=Categories!$A$18,Categories!$B$18,IF($E53=Categories!$A$19,Categories!$B$19)))))))))))))))))))</f>
        <v>0</v>
      </c>
      <c r="G53" s="9" t="str">
        <f t="shared" si="0"/>
        <v/>
      </c>
      <c r="H53" s="1" t="str">
        <f t="shared" si="1"/>
        <v/>
      </c>
      <c r="I53" s="1" t="str">
        <f t="shared" si="2"/>
        <v/>
      </c>
      <c r="J53" s="1" t="str">
        <f t="shared" si="3"/>
        <v/>
      </c>
      <c r="K53" s="13" t="str">
        <f t="shared" si="4"/>
        <v/>
      </c>
      <c r="L53" s="9" t="str">
        <f t="shared" si="5"/>
        <v/>
      </c>
      <c r="M53" s="1" t="str">
        <f t="shared" si="6"/>
        <v/>
      </c>
      <c r="N53" s="1" t="str">
        <f t="shared" si="7"/>
        <v/>
      </c>
      <c r="O53" s="1" t="str">
        <f t="shared" si="8"/>
        <v/>
      </c>
      <c r="P53" s="1" t="str">
        <f t="shared" si="9"/>
        <v/>
      </c>
      <c r="Q53" s="1" t="str">
        <f t="shared" si="10"/>
        <v/>
      </c>
      <c r="R53" s="1" t="str">
        <f t="shared" si="11"/>
        <v/>
      </c>
      <c r="S53" s="1" t="str">
        <f t="shared" si="12"/>
        <v/>
      </c>
      <c r="T53" s="1" t="str">
        <f t="shared" si="13"/>
        <v/>
      </c>
      <c r="U53" s="1" t="str">
        <f t="shared" si="14"/>
        <v/>
      </c>
      <c r="V53" s="1" t="str">
        <f t="shared" si="15"/>
        <v/>
      </c>
      <c r="W53" s="26" t="str">
        <f t="shared" si="16"/>
        <v/>
      </c>
      <c r="X53" s="13" t="str">
        <f t="shared" si="17"/>
        <v/>
      </c>
      <c r="Y53" s="9">
        <f t="shared" si="18"/>
        <v>0</v>
      </c>
    </row>
    <row r="54" spans="1:25" x14ac:dyDescent="0.25">
      <c r="A54" s="28"/>
      <c r="B54" s="29"/>
      <c r="C54" s="30"/>
      <c r="D54" s="31"/>
      <c r="E54" s="29" t="s">
        <v>16</v>
      </c>
      <c r="F54" s="13" t="b">
        <f>IF($E54=Categories!$A$1,"",IF($E54=Categories!$A$2,Categories!$B$2,IF($E54=Categories!$A$3,Categories!$B$3,IF($E54=Categories!$A$4,Categories!$B$4,IF($E54=Categories!$A$5,Categories!$B$5,IF($E54=Categories!$A$6,Categories!$B$6,IF($E54=Categories!$A$7,Categories!$B$7,IF($E54=Categories!$A$8,Categories!$B$8,IF($E54=Categories!$A$9,Categories!$B$9,IF($E54=Categories!$A$10,Categories!$B$10,IF($E54=Categories!$A$11,Categories!$B$11,IF($E54=Categories!$A$12,Categories!$B$12,IF($E54=Categories!$A$13,Categories!$B$13,IF($E54=Categories!$A$14,Categories!$B$14,IF($E54=Categories!$A$15,Categories!$B$15,IF($E54=Categories!$A$16,Categories!$B$16,IF($E54=Categories!$A$17,Categories!$B$17,IF($E54=Categories!$A$18,Categories!$B$18,IF($E54=Categories!$A$19,Categories!$B$19)))))))))))))))))))</f>
        <v>0</v>
      </c>
      <c r="G54" s="9" t="str">
        <f t="shared" si="0"/>
        <v/>
      </c>
      <c r="H54" s="1" t="str">
        <f t="shared" si="1"/>
        <v/>
      </c>
      <c r="I54" s="1" t="str">
        <f t="shared" si="2"/>
        <v/>
      </c>
      <c r="J54" s="1" t="str">
        <f t="shared" si="3"/>
        <v/>
      </c>
      <c r="K54" s="13" t="str">
        <f t="shared" si="4"/>
        <v/>
      </c>
      <c r="L54" s="9" t="str">
        <f t="shared" si="5"/>
        <v/>
      </c>
      <c r="M54" s="1" t="str">
        <f t="shared" si="6"/>
        <v/>
      </c>
      <c r="N54" s="1" t="str">
        <f t="shared" si="7"/>
        <v/>
      </c>
      <c r="O54" s="1" t="str">
        <f t="shared" si="8"/>
        <v/>
      </c>
      <c r="P54" s="1" t="str">
        <f t="shared" si="9"/>
        <v/>
      </c>
      <c r="Q54" s="1" t="str">
        <f t="shared" si="10"/>
        <v/>
      </c>
      <c r="R54" s="1" t="str">
        <f t="shared" si="11"/>
        <v/>
      </c>
      <c r="S54" s="1" t="str">
        <f t="shared" si="12"/>
        <v/>
      </c>
      <c r="T54" s="1" t="str">
        <f t="shared" si="13"/>
        <v/>
      </c>
      <c r="U54" s="1" t="str">
        <f t="shared" si="14"/>
        <v/>
      </c>
      <c r="V54" s="1" t="str">
        <f t="shared" si="15"/>
        <v/>
      </c>
      <c r="W54" s="26" t="str">
        <f t="shared" si="16"/>
        <v/>
      </c>
      <c r="X54" s="13" t="str">
        <f t="shared" si="17"/>
        <v/>
      </c>
      <c r="Y54" s="9">
        <f t="shared" si="18"/>
        <v>0</v>
      </c>
    </row>
    <row r="55" spans="1:25" x14ac:dyDescent="0.25">
      <c r="A55" s="28"/>
      <c r="B55" s="29"/>
      <c r="C55" s="30"/>
      <c r="D55" s="31"/>
      <c r="E55" s="29" t="s">
        <v>16</v>
      </c>
      <c r="F55" s="13" t="b">
        <f>IF($E55=Categories!$A$1,"",IF($E55=Categories!$A$2,Categories!$B$2,IF($E55=Categories!$A$3,Categories!$B$3,IF($E55=Categories!$A$4,Categories!$B$4,IF($E55=Categories!$A$5,Categories!$B$5,IF($E55=Categories!$A$6,Categories!$B$6,IF($E55=Categories!$A$7,Categories!$B$7,IF($E55=Categories!$A$8,Categories!$B$8,IF($E55=Categories!$A$9,Categories!$B$9,IF($E55=Categories!$A$10,Categories!$B$10,IF($E55=Categories!$A$11,Categories!$B$11,IF($E55=Categories!$A$12,Categories!$B$12,IF($E55=Categories!$A$13,Categories!$B$13,IF($E55=Categories!$A$14,Categories!$B$14,IF($E55=Categories!$A$15,Categories!$B$15,IF($E55=Categories!$A$16,Categories!$B$16,IF($E55=Categories!$A$17,Categories!$B$17,IF($E55=Categories!$A$18,Categories!$B$18,IF($E55=Categories!$A$19,Categories!$B$19)))))))))))))))))))</f>
        <v>0</v>
      </c>
      <c r="G55" s="9" t="str">
        <f t="shared" si="0"/>
        <v/>
      </c>
      <c r="H55" s="1" t="str">
        <f t="shared" si="1"/>
        <v/>
      </c>
      <c r="I55" s="1" t="str">
        <f t="shared" si="2"/>
        <v/>
      </c>
      <c r="J55" s="1" t="str">
        <f t="shared" si="3"/>
        <v/>
      </c>
      <c r="K55" s="13" t="str">
        <f t="shared" si="4"/>
        <v/>
      </c>
      <c r="L55" s="9" t="str">
        <f t="shared" si="5"/>
        <v/>
      </c>
      <c r="M55" s="1" t="str">
        <f t="shared" si="6"/>
        <v/>
      </c>
      <c r="N55" s="1" t="str">
        <f t="shared" si="7"/>
        <v/>
      </c>
      <c r="O55" s="1" t="str">
        <f t="shared" si="8"/>
        <v/>
      </c>
      <c r="P55" s="1" t="str">
        <f t="shared" si="9"/>
        <v/>
      </c>
      <c r="Q55" s="1" t="str">
        <f t="shared" si="10"/>
        <v/>
      </c>
      <c r="R55" s="1" t="str">
        <f t="shared" si="11"/>
        <v/>
      </c>
      <c r="S55" s="1" t="str">
        <f t="shared" si="12"/>
        <v/>
      </c>
      <c r="T55" s="1" t="str">
        <f t="shared" si="13"/>
        <v/>
      </c>
      <c r="U55" s="1" t="str">
        <f t="shared" si="14"/>
        <v/>
      </c>
      <c r="V55" s="1" t="str">
        <f t="shared" si="15"/>
        <v/>
      </c>
      <c r="W55" s="26" t="str">
        <f t="shared" si="16"/>
        <v/>
      </c>
      <c r="X55" s="13" t="str">
        <f t="shared" si="17"/>
        <v/>
      </c>
      <c r="Y55" s="9">
        <f t="shared" si="18"/>
        <v>0</v>
      </c>
    </row>
    <row r="56" spans="1:25" x14ac:dyDescent="0.25">
      <c r="A56" s="28"/>
      <c r="B56" s="29"/>
      <c r="C56" s="30"/>
      <c r="D56" s="31"/>
      <c r="E56" s="29" t="s">
        <v>16</v>
      </c>
      <c r="F56" s="13" t="b">
        <f>IF($E56=Categories!$A$1,"",IF($E56=Categories!$A$2,Categories!$B$2,IF($E56=Categories!$A$3,Categories!$B$3,IF($E56=Categories!$A$4,Categories!$B$4,IF($E56=Categories!$A$5,Categories!$B$5,IF($E56=Categories!$A$6,Categories!$B$6,IF($E56=Categories!$A$7,Categories!$B$7,IF($E56=Categories!$A$8,Categories!$B$8,IF($E56=Categories!$A$9,Categories!$B$9,IF($E56=Categories!$A$10,Categories!$B$10,IF($E56=Categories!$A$11,Categories!$B$11,IF($E56=Categories!$A$12,Categories!$B$12,IF($E56=Categories!$A$13,Categories!$B$13,IF($E56=Categories!$A$14,Categories!$B$14,IF($E56=Categories!$A$15,Categories!$B$15,IF($E56=Categories!$A$16,Categories!$B$16,IF($E56=Categories!$A$17,Categories!$B$17,IF($E56=Categories!$A$18,Categories!$B$18,IF($E56=Categories!$A$19,Categories!$B$19)))))))))))))))))))</f>
        <v>0</v>
      </c>
      <c r="G56" s="9" t="str">
        <f t="shared" si="0"/>
        <v/>
      </c>
      <c r="H56" s="1" t="str">
        <f t="shared" si="1"/>
        <v/>
      </c>
      <c r="I56" s="1" t="str">
        <f t="shared" si="2"/>
        <v/>
      </c>
      <c r="J56" s="1" t="str">
        <f t="shared" si="3"/>
        <v/>
      </c>
      <c r="K56" s="13" t="str">
        <f t="shared" si="4"/>
        <v/>
      </c>
      <c r="L56" s="9" t="str">
        <f t="shared" si="5"/>
        <v/>
      </c>
      <c r="M56" s="1" t="str">
        <f t="shared" si="6"/>
        <v/>
      </c>
      <c r="N56" s="1" t="str">
        <f t="shared" si="7"/>
        <v/>
      </c>
      <c r="O56" s="1" t="str">
        <f t="shared" si="8"/>
        <v/>
      </c>
      <c r="P56" s="1" t="str">
        <f t="shared" si="9"/>
        <v/>
      </c>
      <c r="Q56" s="1" t="str">
        <f t="shared" si="10"/>
        <v/>
      </c>
      <c r="R56" s="1" t="str">
        <f t="shared" si="11"/>
        <v/>
      </c>
      <c r="S56" s="1" t="str">
        <f t="shared" si="12"/>
        <v/>
      </c>
      <c r="T56" s="1" t="str">
        <f t="shared" si="13"/>
        <v/>
      </c>
      <c r="U56" s="1" t="str">
        <f t="shared" si="14"/>
        <v/>
      </c>
      <c r="V56" s="1" t="str">
        <f t="shared" si="15"/>
        <v/>
      </c>
      <c r="W56" s="26" t="str">
        <f t="shared" si="16"/>
        <v/>
      </c>
      <c r="X56" s="13" t="str">
        <f t="shared" si="17"/>
        <v/>
      </c>
      <c r="Y56" s="9">
        <f t="shared" si="18"/>
        <v>0</v>
      </c>
    </row>
    <row r="57" spans="1:25" x14ac:dyDescent="0.25">
      <c r="A57" s="28"/>
      <c r="B57" s="29"/>
      <c r="C57" s="30"/>
      <c r="D57" s="31"/>
      <c r="E57" s="29" t="s">
        <v>16</v>
      </c>
      <c r="F57" s="13" t="b">
        <f>IF($E57=Categories!$A$1,"",IF($E57=Categories!$A$2,Categories!$B$2,IF($E57=Categories!$A$3,Categories!$B$3,IF($E57=Categories!$A$4,Categories!$B$4,IF($E57=Categories!$A$5,Categories!$B$5,IF($E57=Categories!$A$6,Categories!$B$6,IF($E57=Categories!$A$7,Categories!$B$7,IF($E57=Categories!$A$8,Categories!$B$8,IF($E57=Categories!$A$9,Categories!$B$9,IF($E57=Categories!$A$10,Categories!$B$10,IF($E57=Categories!$A$11,Categories!$B$11,IF($E57=Categories!$A$12,Categories!$B$12,IF($E57=Categories!$A$13,Categories!$B$13,IF($E57=Categories!$A$14,Categories!$B$14,IF($E57=Categories!$A$15,Categories!$B$15,IF($E57=Categories!$A$16,Categories!$B$16,IF($E57=Categories!$A$17,Categories!$B$17,IF($E57=Categories!$A$18,Categories!$B$18,IF($E57=Categories!$A$19,Categories!$B$19)))))))))))))))))))</f>
        <v>0</v>
      </c>
      <c r="G57" s="9" t="str">
        <f t="shared" si="0"/>
        <v/>
      </c>
      <c r="H57" s="1" t="str">
        <f t="shared" si="1"/>
        <v/>
      </c>
      <c r="I57" s="1" t="str">
        <f t="shared" si="2"/>
        <v/>
      </c>
      <c r="J57" s="1" t="str">
        <f t="shared" si="3"/>
        <v/>
      </c>
      <c r="K57" s="13" t="str">
        <f t="shared" si="4"/>
        <v/>
      </c>
      <c r="L57" s="9" t="str">
        <f t="shared" si="5"/>
        <v/>
      </c>
      <c r="M57" s="1" t="str">
        <f t="shared" si="6"/>
        <v/>
      </c>
      <c r="N57" s="1" t="str">
        <f t="shared" si="7"/>
        <v/>
      </c>
      <c r="O57" s="1" t="str">
        <f t="shared" si="8"/>
        <v/>
      </c>
      <c r="P57" s="1" t="str">
        <f t="shared" si="9"/>
        <v/>
      </c>
      <c r="Q57" s="1" t="str">
        <f t="shared" si="10"/>
        <v/>
      </c>
      <c r="R57" s="1" t="str">
        <f t="shared" si="11"/>
        <v/>
      </c>
      <c r="S57" s="1" t="str">
        <f t="shared" si="12"/>
        <v/>
      </c>
      <c r="T57" s="1" t="str">
        <f t="shared" si="13"/>
        <v/>
      </c>
      <c r="U57" s="1" t="str">
        <f t="shared" si="14"/>
        <v/>
      </c>
      <c r="V57" s="1" t="str">
        <f t="shared" si="15"/>
        <v/>
      </c>
      <c r="W57" s="26" t="str">
        <f t="shared" si="16"/>
        <v/>
      </c>
      <c r="X57" s="13" t="str">
        <f t="shared" si="17"/>
        <v/>
      </c>
      <c r="Y57" s="9">
        <f t="shared" si="18"/>
        <v>0</v>
      </c>
    </row>
    <row r="58" spans="1:25" x14ac:dyDescent="0.25">
      <c r="A58" s="28"/>
      <c r="B58" s="29"/>
      <c r="C58" s="30"/>
      <c r="D58" s="31"/>
      <c r="E58" s="29" t="s">
        <v>16</v>
      </c>
      <c r="F58" s="13" t="b">
        <f>IF($E58=Categories!$A$1,"",IF($E58=Categories!$A$2,Categories!$B$2,IF($E58=Categories!$A$3,Categories!$B$3,IF($E58=Categories!$A$4,Categories!$B$4,IF($E58=Categories!$A$5,Categories!$B$5,IF($E58=Categories!$A$6,Categories!$B$6,IF($E58=Categories!$A$7,Categories!$B$7,IF($E58=Categories!$A$8,Categories!$B$8,IF($E58=Categories!$A$9,Categories!$B$9,IF($E58=Categories!$A$10,Categories!$B$10,IF($E58=Categories!$A$11,Categories!$B$11,IF($E58=Categories!$A$12,Categories!$B$12,IF($E58=Categories!$A$13,Categories!$B$13,IF($E58=Categories!$A$14,Categories!$B$14,IF($E58=Categories!$A$15,Categories!$B$15,IF($E58=Categories!$A$16,Categories!$B$16,IF($E58=Categories!$A$17,Categories!$B$17,IF($E58=Categories!$A$18,Categories!$B$18,IF($E58=Categories!$A$19,Categories!$B$19)))))))))))))))))))</f>
        <v>0</v>
      </c>
      <c r="G58" s="9" t="str">
        <f t="shared" si="0"/>
        <v/>
      </c>
      <c r="H58" s="1" t="str">
        <f t="shared" si="1"/>
        <v/>
      </c>
      <c r="I58" s="1" t="str">
        <f t="shared" si="2"/>
        <v/>
      </c>
      <c r="J58" s="1" t="str">
        <f t="shared" si="3"/>
        <v/>
      </c>
      <c r="K58" s="13" t="str">
        <f t="shared" si="4"/>
        <v/>
      </c>
      <c r="L58" s="9" t="str">
        <f t="shared" si="5"/>
        <v/>
      </c>
      <c r="M58" s="1" t="str">
        <f t="shared" si="6"/>
        <v/>
      </c>
      <c r="N58" s="1" t="str">
        <f t="shared" si="7"/>
        <v/>
      </c>
      <c r="O58" s="1" t="str">
        <f t="shared" si="8"/>
        <v/>
      </c>
      <c r="P58" s="1" t="str">
        <f t="shared" si="9"/>
        <v/>
      </c>
      <c r="Q58" s="1" t="str">
        <f t="shared" si="10"/>
        <v/>
      </c>
      <c r="R58" s="1" t="str">
        <f t="shared" si="11"/>
        <v/>
      </c>
      <c r="S58" s="1" t="str">
        <f t="shared" si="12"/>
        <v/>
      </c>
      <c r="T58" s="1" t="str">
        <f t="shared" si="13"/>
        <v/>
      </c>
      <c r="U58" s="1" t="str">
        <f t="shared" si="14"/>
        <v/>
      </c>
      <c r="V58" s="1" t="str">
        <f t="shared" si="15"/>
        <v/>
      </c>
      <c r="W58" s="26" t="str">
        <f t="shared" si="16"/>
        <v/>
      </c>
      <c r="X58" s="13" t="str">
        <f t="shared" si="17"/>
        <v/>
      </c>
      <c r="Y58" s="9">
        <f t="shared" si="18"/>
        <v>0</v>
      </c>
    </row>
    <row r="59" spans="1:25" x14ac:dyDescent="0.25">
      <c r="A59" s="28"/>
      <c r="B59" s="29"/>
      <c r="C59" s="30"/>
      <c r="D59" s="31"/>
      <c r="E59" s="29" t="s">
        <v>16</v>
      </c>
      <c r="F59" s="13" t="b">
        <f>IF($E59=Categories!$A$1,"",IF($E59=Categories!$A$2,Categories!$B$2,IF($E59=Categories!$A$3,Categories!$B$3,IF($E59=Categories!$A$4,Categories!$B$4,IF($E59=Categories!$A$5,Categories!$B$5,IF($E59=Categories!$A$6,Categories!$B$6,IF($E59=Categories!$A$7,Categories!$B$7,IF($E59=Categories!$A$8,Categories!$B$8,IF($E59=Categories!$A$9,Categories!$B$9,IF($E59=Categories!$A$10,Categories!$B$10,IF($E59=Categories!$A$11,Categories!$B$11,IF($E59=Categories!$A$12,Categories!$B$12,IF($E59=Categories!$A$13,Categories!$B$13,IF($E59=Categories!$A$14,Categories!$B$14,IF($E59=Categories!$A$15,Categories!$B$15,IF($E59=Categories!$A$16,Categories!$B$16,IF($E59=Categories!$A$17,Categories!$B$17,IF($E59=Categories!$A$18,Categories!$B$18,IF($E59=Categories!$A$19,Categories!$B$19)))))))))))))))))))</f>
        <v>0</v>
      </c>
      <c r="G59" s="9" t="str">
        <f t="shared" si="0"/>
        <v/>
      </c>
      <c r="H59" s="1" t="str">
        <f t="shared" si="1"/>
        <v/>
      </c>
      <c r="I59" s="1" t="str">
        <f t="shared" si="2"/>
        <v/>
      </c>
      <c r="J59" s="1" t="str">
        <f t="shared" si="3"/>
        <v/>
      </c>
      <c r="K59" s="13" t="str">
        <f t="shared" si="4"/>
        <v/>
      </c>
      <c r="L59" s="9" t="str">
        <f t="shared" si="5"/>
        <v/>
      </c>
      <c r="M59" s="1" t="str">
        <f t="shared" si="6"/>
        <v/>
      </c>
      <c r="N59" s="1" t="str">
        <f t="shared" si="7"/>
        <v/>
      </c>
      <c r="O59" s="1" t="str">
        <f t="shared" si="8"/>
        <v/>
      </c>
      <c r="P59" s="1" t="str">
        <f t="shared" si="9"/>
        <v/>
      </c>
      <c r="Q59" s="1" t="str">
        <f t="shared" si="10"/>
        <v/>
      </c>
      <c r="R59" s="1" t="str">
        <f t="shared" si="11"/>
        <v/>
      </c>
      <c r="S59" s="1" t="str">
        <f t="shared" si="12"/>
        <v/>
      </c>
      <c r="T59" s="1" t="str">
        <f t="shared" si="13"/>
        <v/>
      </c>
      <c r="U59" s="1" t="str">
        <f t="shared" si="14"/>
        <v/>
      </c>
      <c r="V59" s="1" t="str">
        <f t="shared" si="15"/>
        <v/>
      </c>
      <c r="W59" s="26" t="str">
        <f t="shared" si="16"/>
        <v/>
      </c>
      <c r="X59" s="13" t="str">
        <f t="shared" si="17"/>
        <v/>
      </c>
      <c r="Y59" s="9">
        <f t="shared" si="18"/>
        <v>0</v>
      </c>
    </row>
    <row r="60" spans="1:25" x14ac:dyDescent="0.25">
      <c r="A60" s="28"/>
      <c r="B60" s="29"/>
      <c r="C60" s="30"/>
      <c r="D60" s="31"/>
      <c r="E60" s="29" t="s">
        <v>16</v>
      </c>
      <c r="F60" s="13" t="b">
        <f>IF($E60=Categories!$A$1,"",IF($E60=Categories!$A$2,Categories!$B$2,IF($E60=Categories!$A$3,Categories!$B$3,IF($E60=Categories!$A$4,Categories!$B$4,IF($E60=Categories!$A$5,Categories!$B$5,IF($E60=Categories!$A$6,Categories!$B$6,IF($E60=Categories!$A$7,Categories!$B$7,IF($E60=Categories!$A$8,Categories!$B$8,IF($E60=Categories!$A$9,Categories!$B$9,IF($E60=Categories!$A$10,Categories!$B$10,IF($E60=Categories!$A$11,Categories!$B$11,IF($E60=Categories!$A$12,Categories!$B$12,IF($E60=Categories!$A$13,Categories!$B$13,IF($E60=Categories!$A$14,Categories!$B$14,IF($E60=Categories!$A$15,Categories!$B$15,IF($E60=Categories!$A$16,Categories!$B$16,IF($E60=Categories!$A$17,Categories!$B$17,IF($E60=Categories!$A$18,Categories!$B$18,IF($E60=Categories!$A$19,Categories!$B$19)))))))))))))))))))</f>
        <v>0</v>
      </c>
      <c r="G60" s="9" t="str">
        <f t="shared" si="0"/>
        <v/>
      </c>
      <c r="H60" s="1" t="str">
        <f t="shared" si="1"/>
        <v/>
      </c>
      <c r="I60" s="1" t="str">
        <f t="shared" si="2"/>
        <v/>
      </c>
      <c r="J60" s="1" t="str">
        <f t="shared" si="3"/>
        <v/>
      </c>
      <c r="K60" s="13" t="str">
        <f t="shared" si="4"/>
        <v/>
      </c>
      <c r="L60" s="9" t="str">
        <f t="shared" si="5"/>
        <v/>
      </c>
      <c r="M60" s="1" t="str">
        <f t="shared" si="6"/>
        <v/>
      </c>
      <c r="N60" s="1" t="str">
        <f t="shared" si="7"/>
        <v/>
      </c>
      <c r="O60" s="1" t="str">
        <f t="shared" si="8"/>
        <v/>
      </c>
      <c r="P60" s="1" t="str">
        <f t="shared" si="9"/>
        <v/>
      </c>
      <c r="Q60" s="1" t="str">
        <f t="shared" si="10"/>
        <v/>
      </c>
      <c r="R60" s="1" t="str">
        <f t="shared" si="11"/>
        <v/>
      </c>
      <c r="S60" s="1" t="str">
        <f t="shared" si="12"/>
        <v/>
      </c>
      <c r="T60" s="1" t="str">
        <f t="shared" si="13"/>
        <v/>
      </c>
      <c r="U60" s="1" t="str">
        <f t="shared" si="14"/>
        <v/>
      </c>
      <c r="V60" s="1" t="str">
        <f t="shared" si="15"/>
        <v/>
      </c>
      <c r="W60" s="26" t="str">
        <f t="shared" si="16"/>
        <v/>
      </c>
      <c r="X60" s="13" t="str">
        <f t="shared" si="17"/>
        <v/>
      </c>
      <c r="Y60" s="9">
        <f t="shared" si="18"/>
        <v>0</v>
      </c>
    </row>
    <row r="61" spans="1:25" x14ac:dyDescent="0.25">
      <c r="A61" s="28"/>
      <c r="B61" s="29"/>
      <c r="C61" s="30"/>
      <c r="D61" s="31"/>
      <c r="E61" s="29" t="s">
        <v>16</v>
      </c>
      <c r="F61" s="13" t="b">
        <f>IF($E61=Categories!$A$1,"",IF($E61=Categories!$A$2,Categories!$B$2,IF($E61=Categories!$A$3,Categories!$B$3,IF($E61=Categories!$A$4,Categories!$B$4,IF($E61=Categories!$A$5,Categories!$B$5,IF($E61=Categories!$A$6,Categories!$B$6,IF($E61=Categories!$A$7,Categories!$B$7,IF($E61=Categories!$A$8,Categories!$B$8,IF($E61=Categories!$A$9,Categories!$B$9,IF($E61=Categories!$A$10,Categories!$B$10,IF($E61=Categories!$A$11,Categories!$B$11,IF($E61=Categories!$A$12,Categories!$B$12,IF($E61=Categories!$A$13,Categories!$B$13,IF($E61=Categories!$A$14,Categories!$B$14,IF($E61=Categories!$A$15,Categories!$B$15,IF($E61=Categories!$A$16,Categories!$B$16,IF($E61=Categories!$A$17,Categories!$B$17,IF($E61=Categories!$A$18,Categories!$B$18,IF($E61=Categories!$A$19,Categories!$B$19)))))))))))))))))))</f>
        <v>0</v>
      </c>
      <c r="G61" s="9" t="str">
        <f t="shared" si="0"/>
        <v/>
      </c>
      <c r="H61" s="1" t="str">
        <f t="shared" si="1"/>
        <v/>
      </c>
      <c r="I61" s="1" t="str">
        <f t="shared" si="2"/>
        <v/>
      </c>
      <c r="J61" s="1" t="str">
        <f t="shared" si="3"/>
        <v/>
      </c>
      <c r="K61" s="13" t="str">
        <f t="shared" si="4"/>
        <v/>
      </c>
      <c r="L61" s="9" t="str">
        <f t="shared" si="5"/>
        <v/>
      </c>
      <c r="M61" s="1" t="str">
        <f t="shared" si="6"/>
        <v/>
      </c>
      <c r="N61" s="1" t="str">
        <f t="shared" si="7"/>
        <v/>
      </c>
      <c r="O61" s="1" t="str">
        <f t="shared" si="8"/>
        <v/>
      </c>
      <c r="P61" s="1" t="str">
        <f t="shared" si="9"/>
        <v/>
      </c>
      <c r="Q61" s="1" t="str">
        <f t="shared" si="10"/>
        <v/>
      </c>
      <c r="R61" s="1" t="str">
        <f t="shared" si="11"/>
        <v/>
      </c>
      <c r="S61" s="1" t="str">
        <f t="shared" si="12"/>
        <v/>
      </c>
      <c r="T61" s="1" t="str">
        <f t="shared" si="13"/>
        <v/>
      </c>
      <c r="U61" s="1" t="str">
        <f t="shared" si="14"/>
        <v/>
      </c>
      <c r="V61" s="1" t="str">
        <f t="shared" si="15"/>
        <v/>
      </c>
      <c r="W61" s="26" t="str">
        <f t="shared" si="16"/>
        <v/>
      </c>
      <c r="X61" s="13" t="str">
        <f t="shared" si="17"/>
        <v/>
      </c>
      <c r="Y61" s="9">
        <f t="shared" si="18"/>
        <v>0</v>
      </c>
    </row>
    <row r="62" spans="1:25" x14ac:dyDescent="0.25">
      <c r="A62" s="28"/>
      <c r="B62" s="29"/>
      <c r="C62" s="30"/>
      <c r="D62" s="31"/>
      <c r="E62" s="29" t="s">
        <v>16</v>
      </c>
      <c r="F62" s="13" t="b">
        <f>IF($E62=Categories!$A$1,"",IF($E62=Categories!$A$2,Categories!$B$2,IF($E62=Categories!$A$3,Categories!$B$3,IF($E62=Categories!$A$4,Categories!$B$4,IF($E62=Categories!$A$5,Categories!$B$5,IF($E62=Categories!$A$6,Categories!$B$6,IF($E62=Categories!$A$7,Categories!$B$7,IF($E62=Categories!$A$8,Categories!$B$8,IF($E62=Categories!$A$9,Categories!$B$9,IF($E62=Categories!$A$10,Categories!$B$10,IF($E62=Categories!$A$11,Categories!$B$11,IF($E62=Categories!$A$12,Categories!$B$12,IF($E62=Categories!$A$13,Categories!$B$13,IF($E62=Categories!$A$14,Categories!$B$14,IF($E62=Categories!$A$15,Categories!$B$15,IF($E62=Categories!$A$16,Categories!$B$16,IF($E62=Categories!$A$17,Categories!$B$17,IF($E62=Categories!$A$18,Categories!$B$18,IF($E62=Categories!$A$19,Categories!$B$19)))))))))))))))))))</f>
        <v>0</v>
      </c>
      <c r="G62" s="9" t="str">
        <f t="shared" si="0"/>
        <v/>
      </c>
      <c r="H62" s="1" t="str">
        <f t="shared" si="1"/>
        <v/>
      </c>
      <c r="I62" s="1" t="str">
        <f t="shared" si="2"/>
        <v/>
      </c>
      <c r="J62" s="1" t="str">
        <f t="shared" si="3"/>
        <v/>
      </c>
      <c r="K62" s="13" t="str">
        <f t="shared" si="4"/>
        <v/>
      </c>
      <c r="L62" s="9" t="str">
        <f t="shared" si="5"/>
        <v/>
      </c>
      <c r="M62" s="1" t="str">
        <f t="shared" si="6"/>
        <v/>
      </c>
      <c r="N62" s="1" t="str">
        <f t="shared" si="7"/>
        <v/>
      </c>
      <c r="O62" s="1" t="str">
        <f t="shared" si="8"/>
        <v/>
      </c>
      <c r="P62" s="1" t="str">
        <f t="shared" si="9"/>
        <v/>
      </c>
      <c r="Q62" s="1" t="str">
        <f t="shared" si="10"/>
        <v/>
      </c>
      <c r="R62" s="1" t="str">
        <f t="shared" si="11"/>
        <v/>
      </c>
      <c r="S62" s="1" t="str">
        <f t="shared" si="12"/>
        <v/>
      </c>
      <c r="T62" s="1" t="str">
        <f t="shared" si="13"/>
        <v/>
      </c>
      <c r="U62" s="1" t="str">
        <f t="shared" si="14"/>
        <v/>
      </c>
      <c r="V62" s="1" t="str">
        <f t="shared" si="15"/>
        <v/>
      </c>
      <c r="W62" s="26" t="str">
        <f t="shared" si="16"/>
        <v/>
      </c>
      <c r="X62" s="13" t="str">
        <f t="shared" si="17"/>
        <v/>
      </c>
      <c r="Y62" s="9">
        <f t="shared" si="18"/>
        <v>0</v>
      </c>
    </row>
    <row r="63" spans="1:25" x14ac:dyDescent="0.25">
      <c r="A63" s="28"/>
      <c r="B63" s="29"/>
      <c r="C63" s="30"/>
      <c r="D63" s="31"/>
      <c r="E63" s="29" t="s">
        <v>16</v>
      </c>
      <c r="F63" s="13" t="b">
        <f>IF($E63=Categories!$A$1,"",IF($E63=Categories!$A$2,Categories!$B$2,IF($E63=Categories!$A$3,Categories!$B$3,IF($E63=Categories!$A$4,Categories!$B$4,IF($E63=Categories!$A$5,Categories!$B$5,IF($E63=Categories!$A$6,Categories!$B$6,IF($E63=Categories!$A$7,Categories!$B$7,IF($E63=Categories!$A$8,Categories!$B$8,IF($E63=Categories!$A$9,Categories!$B$9,IF($E63=Categories!$A$10,Categories!$B$10,IF($E63=Categories!$A$11,Categories!$B$11,IF($E63=Categories!$A$12,Categories!$B$12,IF($E63=Categories!$A$13,Categories!$B$13,IF($E63=Categories!$A$14,Categories!$B$14,IF($E63=Categories!$A$15,Categories!$B$15,IF($E63=Categories!$A$16,Categories!$B$16,IF($E63=Categories!$A$17,Categories!$B$17,IF($E63=Categories!$A$18,Categories!$B$18,IF($E63=Categories!$A$19,Categories!$B$19)))))))))))))))))))</f>
        <v>0</v>
      </c>
      <c r="G63" s="9" t="str">
        <f t="shared" si="0"/>
        <v/>
      </c>
      <c r="H63" s="1" t="str">
        <f t="shared" si="1"/>
        <v/>
      </c>
      <c r="I63" s="1" t="str">
        <f t="shared" si="2"/>
        <v/>
      </c>
      <c r="J63" s="1" t="str">
        <f t="shared" si="3"/>
        <v/>
      </c>
      <c r="K63" s="13" t="str">
        <f t="shared" si="4"/>
        <v/>
      </c>
      <c r="L63" s="9" t="str">
        <f t="shared" si="5"/>
        <v/>
      </c>
      <c r="M63" s="1" t="str">
        <f t="shared" si="6"/>
        <v/>
      </c>
      <c r="N63" s="1" t="str">
        <f t="shared" si="7"/>
        <v/>
      </c>
      <c r="O63" s="1" t="str">
        <f t="shared" si="8"/>
        <v/>
      </c>
      <c r="P63" s="1" t="str">
        <f t="shared" si="9"/>
        <v/>
      </c>
      <c r="Q63" s="1" t="str">
        <f t="shared" si="10"/>
        <v/>
      </c>
      <c r="R63" s="1" t="str">
        <f t="shared" si="11"/>
        <v/>
      </c>
      <c r="S63" s="1" t="str">
        <f t="shared" si="12"/>
        <v/>
      </c>
      <c r="T63" s="1" t="str">
        <f t="shared" si="13"/>
        <v/>
      </c>
      <c r="U63" s="1" t="str">
        <f t="shared" si="14"/>
        <v/>
      </c>
      <c r="V63" s="1" t="str">
        <f t="shared" si="15"/>
        <v/>
      </c>
      <c r="W63" s="26" t="str">
        <f t="shared" si="16"/>
        <v/>
      </c>
      <c r="X63" s="13" t="str">
        <f t="shared" si="17"/>
        <v/>
      </c>
      <c r="Y63" s="9">
        <f t="shared" si="18"/>
        <v>0</v>
      </c>
    </row>
    <row r="64" spans="1:25" x14ac:dyDescent="0.25">
      <c r="A64" s="28"/>
      <c r="B64" s="29"/>
      <c r="C64" s="30"/>
      <c r="D64" s="31"/>
      <c r="E64" s="29" t="s">
        <v>16</v>
      </c>
      <c r="F64" s="13" t="b">
        <f>IF($E64=Categories!$A$1,"",IF($E64=Categories!$A$2,Categories!$B$2,IF($E64=Categories!$A$3,Categories!$B$3,IF($E64=Categories!$A$4,Categories!$B$4,IF($E64=Categories!$A$5,Categories!$B$5,IF($E64=Categories!$A$6,Categories!$B$6,IF($E64=Categories!$A$7,Categories!$B$7,IF($E64=Categories!$A$8,Categories!$B$8,IF($E64=Categories!$A$9,Categories!$B$9,IF($E64=Categories!$A$10,Categories!$B$10,IF($E64=Categories!$A$11,Categories!$B$11,IF($E64=Categories!$A$12,Categories!$B$12,IF($E64=Categories!$A$13,Categories!$B$13,IF($E64=Categories!$A$14,Categories!$B$14,IF($E64=Categories!$A$15,Categories!$B$15,IF($E64=Categories!$A$16,Categories!$B$16,IF($E64=Categories!$A$17,Categories!$B$17,IF($E64=Categories!$A$18,Categories!$B$18,IF($E64=Categories!$A$19,Categories!$B$19)))))))))))))))))))</f>
        <v>0</v>
      </c>
      <c r="G64" s="9" t="str">
        <f t="shared" si="0"/>
        <v/>
      </c>
      <c r="H64" s="1" t="str">
        <f t="shared" si="1"/>
        <v/>
      </c>
      <c r="I64" s="1" t="str">
        <f t="shared" si="2"/>
        <v/>
      </c>
      <c r="J64" s="1" t="str">
        <f t="shared" si="3"/>
        <v/>
      </c>
      <c r="K64" s="13" t="str">
        <f t="shared" si="4"/>
        <v/>
      </c>
      <c r="L64" s="9" t="str">
        <f t="shared" si="5"/>
        <v/>
      </c>
      <c r="M64" s="1" t="str">
        <f t="shared" si="6"/>
        <v/>
      </c>
      <c r="N64" s="1" t="str">
        <f t="shared" si="7"/>
        <v/>
      </c>
      <c r="O64" s="1" t="str">
        <f t="shared" si="8"/>
        <v/>
      </c>
      <c r="P64" s="1" t="str">
        <f t="shared" si="9"/>
        <v/>
      </c>
      <c r="Q64" s="1" t="str">
        <f t="shared" si="10"/>
        <v/>
      </c>
      <c r="R64" s="1" t="str">
        <f t="shared" si="11"/>
        <v/>
      </c>
      <c r="S64" s="1" t="str">
        <f t="shared" si="12"/>
        <v/>
      </c>
      <c r="T64" s="1" t="str">
        <f t="shared" si="13"/>
        <v/>
      </c>
      <c r="U64" s="1" t="str">
        <f t="shared" si="14"/>
        <v/>
      </c>
      <c r="V64" s="1" t="str">
        <f t="shared" si="15"/>
        <v/>
      </c>
      <c r="W64" s="26" t="str">
        <f t="shared" si="16"/>
        <v/>
      </c>
      <c r="X64" s="13" t="str">
        <f t="shared" si="17"/>
        <v/>
      </c>
      <c r="Y64" s="9">
        <f t="shared" si="18"/>
        <v>0</v>
      </c>
    </row>
    <row r="65" spans="1:25" x14ac:dyDescent="0.25">
      <c r="A65" s="28"/>
      <c r="B65" s="29"/>
      <c r="C65" s="30"/>
      <c r="D65" s="31"/>
      <c r="E65" s="29" t="s">
        <v>16</v>
      </c>
      <c r="F65" s="13" t="b">
        <f>IF($E65=Categories!$A$1,"",IF($E65=Categories!$A$2,Categories!$B$2,IF($E65=Categories!$A$3,Categories!$B$3,IF($E65=Categories!$A$4,Categories!$B$4,IF($E65=Categories!$A$5,Categories!$B$5,IF($E65=Categories!$A$6,Categories!$B$6,IF($E65=Categories!$A$7,Categories!$B$7,IF($E65=Categories!$A$8,Categories!$B$8,IF($E65=Categories!$A$9,Categories!$B$9,IF($E65=Categories!$A$10,Categories!$B$10,IF($E65=Categories!$A$11,Categories!$B$11,IF($E65=Categories!$A$12,Categories!$B$12,IF($E65=Categories!$A$13,Categories!$B$13,IF($E65=Categories!$A$14,Categories!$B$14,IF($E65=Categories!$A$15,Categories!$B$15,IF($E65=Categories!$A$16,Categories!$B$16,IF($E65=Categories!$A$17,Categories!$B$17,IF($E65=Categories!$A$18,Categories!$B$18,IF($E65=Categories!$A$19,Categories!$B$19)))))))))))))))))))</f>
        <v>0</v>
      </c>
      <c r="G65" s="9" t="str">
        <f t="shared" si="0"/>
        <v/>
      </c>
      <c r="H65" s="1" t="str">
        <f t="shared" si="1"/>
        <v/>
      </c>
      <c r="I65" s="1" t="str">
        <f t="shared" si="2"/>
        <v/>
      </c>
      <c r="J65" s="1" t="str">
        <f t="shared" si="3"/>
        <v/>
      </c>
      <c r="K65" s="13" t="str">
        <f t="shared" si="4"/>
        <v/>
      </c>
      <c r="L65" s="9" t="str">
        <f t="shared" si="5"/>
        <v/>
      </c>
      <c r="M65" s="1" t="str">
        <f t="shared" si="6"/>
        <v/>
      </c>
      <c r="N65" s="1" t="str">
        <f t="shared" si="7"/>
        <v/>
      </c>
      <c r="O65" s="1" t="str">
        <f t="shared" si="8"/>
        <v/>
      </c>
      <c r="P65" s="1" t="str">
        <f t="shared" si="9"/>
        <v/>
      </c>
      <c r="Q65" s="1" t="str">
        <f t="shared" si="10"/>
        <v/>
      </c>
      <c r="R65" s="1" t="str">
        <f t="shared" si="11"/>
        <v/>
      </c>
      <c r="S65" s="1" t="str">
        <f t="shared" si="12"/>
        <v/>
      </c>
      <c r="T65" s="1" t="str">
        <f t="shared" si="13"/>
        <v/>
      </c>
      <c r="U65" s="1" t="str">
        <f t="shared" si="14"/>
        <v/>
      </c>
      <c r="V65" s="1" t="str">
        <f t="shared" si="15"/>
        <v/>
      </c>
      <c r="W65" s="26" t="str">
        <f t="shared" si="16"/>
        <v/>
      </c>
      <c r="X65" s="13" t="str">
        <f t="shared" si="17"/>
        <v/>
      </c>
      <c r="Y65" s="9">
        <f t="shared" si="18"/>
        <v>0</v>
      </c>
    </row>
    <row r="66" spans="1:25" x14ac:dyDescent="0.25">
      <c r="A66" s="28"/>
      <c r="B66" s="29"/>
      <c r="C66" s="30"/>
      <c r="D66" s="31"/>
      <c r="E66" s="29" t="s">
        <v>16</v>
      </c>
      <c r="F66" s="13" t="b">
        <f>IF($E66=Categories!$A$1,"",IF($E66=Categories!$A$2,Categories!$B$2,IF($E66=Categories!$A$3,Categories!$B$3,IF($E66=Categories!$A$4,Categories!$B$4,IF($E66=Categories!$A$5,Categories!$B$5,IF($E66=Categories!$A$6,Categories!$B$6,IF($E66=Categories!$A$7,Categories!$B$7,IF($E66=Categories!$A$8,Categories!$B$8,IF($E66=Categories!$A$9,Categories!$B$9,IF($E66=Categories!$A$10,Categories!$B$10,IF($E66=Categories!$A$11,Categories!$B$11,IF($E66=Categories!$A$12,Categories!$B$12,IF($E66=Categories!$A$13,Categories!$B$13,IF($E66=Categories!$A$14,Categories!$B$14,IF($E66=Categories!$A$15,Categories!$B$15,IF($E66=Categories!$A$16,Categories!$B$16,IF($E66=Categories!$A$17,Categories!$B$17,IF($E66=Categories!$A$18,Categories!$B$18,IF($E66=Categories!$A$19,Categories!$B$19)))))))))))))))))))</f>
        <v>0</v>
      </c>
      <c r="G66" s="9" t="str">
        <f t="shared" si="0"/>
        <v/>
      </c>
      <c r="H66" s="1" t="str">
        <f t="shared" si="1"/>
        <v/>
      </c>
      <c r="I66" s="1" t="str">
        <f t="shared" si="2"/>
        <v/>
      </c>
      <c r="J66" s="1" t="str">
        <f t="shared" si="3"/>
        <v/>
      </c>
      <c r="K66" s="13" t="str">
        <f t="shared" si="4"/>
        <v/>
      </c>
      <c r="L66" s="9" t="str">
        <f t="shared" si="5"/>
        <v/>
      </c>
      <c r="M66" s="1" t="str">
        <f t="shared" si="6"/>
        <v/>
      </c>
      <c r="N66" s="1" t="str">
        <f t="shared" si="7"/>
        <v/>
      </c>
      <c r="O66" s="1" t="str">
        <f t="shared" si="8"/>
        <v/>
      </c>
      <c r="P66" s="1" t="str">
        <f t="shared" si="9"/>
        <v/>
      </c>
      <c r="Q66" s="1" t="str">
        <f t="shared" si="10"/>
        <v/>
      </c>
      <c r="R66" s="1" t="str">
        <f t="shared" si="11"/>
        <v/>
      </c>
      <c r="S66" s="1" t="str">
        <f t="shared" si="12"/>
        <v/>
      </c>
      <c r="T66" s="1" t="str">
        <f t="shared" si="13"/>
        <v/>
      </c>
      <c r="U66" s="1" t="str">
        <f t="shared" si="14"/>
        <v/>
      </c>
      <c r="V66" s="1" t="str">
        <f t="shared" si="15"/>
        <v/>
      </c>
      <c r="W66" s="26" t="str">
        <f t="shared" si="16"/>
        <v/>
      </c>
      <c r="X66" s="13" t="str">
        <f t="shared" si="17"/>
        <v/>
      </c>
      <c r="Y66" s="9">
        <f t="shared" si="18"/>
        <v>0</v>
      </c>
    </row>
    <row r="67" spans="1:25" x14ac:dyDescent="0.25">
      <c r="A67" s="28"/>
      <c r="B67" s="29"/>
      <c r="C67" s="30"/>
      <c r="D67" s="31"/>
      <c r="E67" s="29" t="s">
        <v>16</v>
      </c>
      <c r="F67" s="13" t="b">
        <f>IF($E67=Categories!$A$1,"",IF($E67=Categories!$A$2,Categories!$B$2,IF($E67=Categories!$A$3,Categories!$B$3,IF($E67=Categories!$A$4,Categories!$B$4,IF($E67=Categories!$A$5,Categories!$B$5,IF($E67=Categories!$A$6,Categories!$B$6,IF($E67=Categories!$A$7,Categories!$B$7,IF($E67=Categories!$A$8,Categories!$B$8,IF($E67=Categories!$A$9,Categories!$B$9,IF($E67=Categories!$A$10,Categories!$B$10,IF($E67=Categories!$A$11,Categories!$B$11,IF($E67=Categories!$A$12,Categories!$B$12,IF($E67=Categories!$A$13,Categories!$B$13,IF($E67=Categories!$A$14,Categories!$B$14,IF($E67=Categories!$A$15,Categories!$B$15,IF($E67=Categories!$A$16,Categories!$B$16,IF($E67=Categories!$A$17,Categories!$B$17,IF($E67=Categories!$A$18,Categories!$B$18,IF($E67=Categories!$A$19,Categories!$B$19)))))))))))))))))))</f>
        <v>0</v>
      </c>
      <c r="G67" s="9" t="str">
        <f t="shared" si="0"/>
        <v/>
      </c>
      <c r="H67" s="1" t="str">
        <f t="shared" si="1"/>
        <v/>
      </c>
      <c r="I67" s="1" t="str">
        <f t="shared" si="2"/>
        <v/>
      </c>
      <c r="J67" s="1" t="str">
        <f t="shared" si="3"/>
        <v/>
      </c>
      <c r="K67" s="13" t="str">
        <f t="shared" si="4"/>
        <v/>
      </c>
      <c r="L67" s="9" t="str">
        <f t="shared" si="5"/>
        <v/>
      </c>
      <c r="M67" s="1" t="str">
        <f t="shared" si="6"/>
        <v/>
      </c>
      <c r="N67" s="1" t="str">
        <f t="shared" si="7"/>
        <v/>
      </c>
      <c r="O67" s="1" t="str">
        <f t="shared" si="8"/>
        <v/>
      </c>
      <c r="P67" s="1" t="str">
        <f t="shared" si="9"/>
        <v/>
      </c>
      <c r="Q67" s="1" t="str">
        <f t="shared" si="10"/>
        <v/>
      </c>
      <c r="R67" s="1" t="str">
        <f t="shared" si="11"/>
        <v/>
      </c>
      <c r="S67" s="1" t="str">
        <f t="shared" si="12"/>
        <v/>
      </c>
      <c r="T67" s="1" t="str">
        <f t="shared" si="13"/>
        <v/>
      </c>
      <c r="U67" s="1" t="str">
        <f t="shared" si="14"/>
        <v/>
      </c>
      <c r="V67" s="1" t="str">
        <f t="shared" si="15"/>
        <v/>
      </c>
      <c r="W67" s="26" t="str">
        <f t="shared" si="16"/>
        <v/>
      </c>
      <c r="X67" s="13" t="str">
        <f t="shared" si="17"/>
        <v/>
      </c>
      <c r="Y67" s="9">
        <f t="shared" si="18"/>
        <v>0</v>
      </c>
    </row>
    <row r="68" spans="1:25" x14ac:dyDescent="0.25">
      <c r="A68" s="28"/>
      <c r="B68" s="29"/>
      <c r="C68" s="30"/>
      <c r="D68" s="31"/>
      <c r="E68" s="29" t="s">
        <v>16</v>
      </c>
      <c r="F68" s="13" t="b">
        <f>IF($E68=Categories!$A$1,"",IF($E68=Categories!$A$2,Categories!$B$2,IF($E68=Categories!$A$3,Categories!$B$3,IF($E68=Categories!$A$4,Categories!$B$4,IF($E68=Categories!$A$5,Categories!$B$5,IF($E68=Categories!$A$6,Categories!$B$6,IF($E68=Categories!$A$7,Categories!$B$7,IF($E68=Categories!$A$8,Categories!$B$8,IF($E68=Categories!$A$9,Categories!$B$9,IF($E68=Categories!$A$10,Categories!$B$10,IF($E68=Categories!$A$11,Categories!$B$11,IF($E68=Categories!$A$12,Categories!$B$12,IF($E68=Categories!$A$13,Categories!$B$13,IF($E68=Categories!$A$14,Categories!$B$14,IF($E68=Categories!$A$15,Categories!$B$15,IF($E68=Categories!$A$16,Categories!$B$16,IF($E68=Categories!$A$17,Categories!$B$17,IF($E68=Categories!$A$18,Categories!$B$18,IF($E68=Categories!$A$19,Categories!$B$19)))))))))))))))))))</f>
        <v>0</v>
      </c>
      <c r="G68" s="9" t="str">
        <f t="shared" si="0"/>
        <v/>
      </c>
      <c r="H68" s="1" t="str">
        <f t="shared" si="1"/>
        <v/>
      </c>
      <c r="I68" s="1" t="str">
        <f t="shared" si="2"/>
        <v/>
      </c>
      <c r="J68" s="1" t="str">
        <f t="shared" si="3"/>
        <v/>
      </c>
      <c r="K68" s="13" t="str">
        <f t="shared" si="4"/>
        <v/>
      </c>
      <c r="L68" s="9" t="str">
        <f t="shared" si="5"/>
        <v/>
      </c>
      <c r="M68" s="1" t="str">
        <f t="shared" si="6"/>
        <v/>
      </c>
      <c r="N68" s="1" t="str">
        <f t="shared" si="7"/>
        <v/>
      </c>
      <c r="O68" s="1" t="str">
        <f t="shared" si="8"/>
        <v/>
      </c>
      <c r="P68" s="1" t="str">
        <f t="shared" si="9"/>
        <v/>
      </c>
      <c r="Q68" s="1" t="str">
        <f t="shared" si="10"/>
        <v/>
      </c>
      <c r="R68" s="1" t="str">
        <f t="shared" si="11"/>
        <v/>
      </c>
      <c r="S68" s="1" t="str">
        <f t="shared" si="12"/>
        <v/>
      </c>
      <c r="T68" s="1" t="str">
        <f t="shared" si="13"/>
        <v/>
      </c>
      <c r="U68" s="1" t="str">
        <f t="shared" si="14"/>
        <v/>
      </c>
      <c r="V68" s="1" t="str">
        <f t="shared" si="15"/>
        <v/>
      </c>
      <c r="W68" s="26" t="str">
        <f t="shared" si="16"/>
        <v/>
      </c>
      <c r="X68" s="13" t="str">
        <f t="shared" si="17"/>
        <v/>
      </c>
      <c r="Y68" s="9">
        <f t="shared" si="18"/>
        <v>0</v>
      </c>
    </row>
    <row r="69" spans="1:25" x14ac:dyDescent="0.25">
      <c r="A69" s="28"/>
      <c r="B69" s="29"/>
      <c r="C69" s="30"/>
      <c r="D69" s="31"/>
      <c r="E69" s="29" t="s">
        <v>16</v>
      </c>
      <c r="F69" s="13" t="b">
        <f>IF($E69=Categories!$A$1,"",IF($E69=Categories!$A$2,Categories!$B$2,IF($E69=Categories!$A$3,Categories!$B$3,IF($E69=Categories!$A$4,Categories!$B$4,IF($E69=Categories!$A$5,Categories!$B$5,IF($E69=Categories!$A$6,Categories!$B$6,IF($E69=Categories!$A$7,Categories!$B$7,IF($E69=Categories!$A$8,Categories!$B$8,IF($E69=Categories!$A$9,Categories!$B$9,IF($E69=Categories!$A$10,Categories!$B$10,IF($E69=Categories!$A$11,Categories!$B$11,IF($E69=Categories!$A$12,Categories!$B$12,IF($E69=Categories!$A$13,Categories!$B$13,IF($E69=Categories!$A$14,Categories!$B$14,IF($E69=Categories!$A$15,Categories!$B$15,IF($E69=Categories!$A$16,Categories!$B$16,IF($E69=Categories!$A$17,Categories!$B$17,IF($E69=Categories!$A$18,Categories!$B$18,IF($E69=Categories!$A$19,Categories!$B$19)))))))))))))))))))</f>
        <v>0</v>
      </c>
      <c r="G69" s="9" t="str">
        <f t="shared" si="0"/>
        <v/>
      </c>
      <c r="H69" s="1" t="str">
        <f t="shared" si="1"/>
        <v/>
      </c>
      <c r="I69" s="1" t="str">
        <f t="shared" si="2"/>
        <v/>
      </c>
      <c r="J69" s="1" t="str">
        <f t="shared" si="3"/>
        <v/>
      </c>
      <c r="K69" s="13" t="str">
        <f t="shared" si="4"/>
        <v/>
      </c>
      <c r="L69" s="9" t="str">
        <f t="shared" si="5"/>
        <v/>
      </c>
      <c r="M69" s="1" t="str">
        <f t="shared" si="6"/>
        <v/>
      </c>
      <c r="N69" s="1" t="str">
        <f t="shared" si="7"/>
        <v/>
      </c>
      <c r="O69" s="1" t="str">
        <f t="shared" si="8"/>
        <v/>
      </c>
      <c r="P69" s="1" t="str">
        <f t="shared" si="9"/>
        <v/>
      </c>
      <c r="Q69" s="1" t="str">
        <f t="shared" si="10"/>
        <v/>
      </c>
      <c r="R69" s="1" t="str">
        <f t="shared" si="11"/>
        <v/>
      </c>
      <c r="S69" s="1" t="str">
        <f t="shared" si="12"/>
        <v/>
      </c>
      <c r="T69" s="1" t="str">
        <f t="shared" si="13"/>
        <v/>
      </c>
      <c r="U69" s="1" t="str">
        <f t="shared" si="14"/>
        <v/>
      </c>
      <c r="V69" s="1" t="str">
        <f t="shared" si="15"/>
        <v/>
      </c>
      <c r="W69" s="26" t="str">
        <f t="shared" si="16"/>
        <v/>
      </c>
      <c r="X69" s="13" t="str">
        <f t="shared" si="17"/>
        <v/>
      </c>
      <c r="Y69" s="9">
        <f t="shared" si="18"/>
        <v>0</v>
      </c>
    </row>
    <row r="70" spans="1:25" x14ac:dyDescent="0.25">
      <c r="A70" s="28"/>
      <c r="B70" s="29"/>
      <c r="C70" s="30"/>
      <c r="D70" s="31"/>
      <c r="E70" s="29" t="s">
        <v>16</v>
      </c>
      <c r="F70" s="13" t="b">
        <f>IF($E70=Categories!$A$1,"",IF($E70=Categories!$A$2,Categories!$B$2,IF($E70=Categories!$A$3,Categories!$B$3,IF($E70=Categories!$A$4,Categories!$B$4,IF($E70=Categories!$A$5,Categories!$B$5,IF($E70=Categories!$A$6,Categories!$B$6,IF($E70=Categories!$A$7,Categories!$B$7,IF($E70=Categories!$A$8,Categories!$B$8,IF($E70=Categories!$A$9,Categories!$B$9,IF($E70=Categories!$A$10,Categories!$B$10,IF($E70=Categories!$A$11,Categories!$B$11,IF($E70=Categories!$A$12,Categories!$B$12,IF($E70=Categories!$A$13,Categories!$B$13,IF($E70=Categories!$A$14,Categories!$B$14,IF($E70=Categories!$A$15,Categories!$B$15,IF($E70=Categories!$A$16,Categories!$B$16,IF($E70=Categories!$A$17,Categories!$B$17,IF($E70=Categories!$A$18,Categories!$B$18,IF($E70=Categories!$A$19,Categories!$B$19)))))))))))))))))))</f>
        <v>0</v>
      </c>
      <c r="G70" s="9" t="str">
        <f t="shared" si="0"/>
        <v/>
      </c>
      <c r="H70" s="1" t="str">
        <f t="shared" si="1"/>
        <v/>
      </c>
      <c r="I70" s="1" t="str">
        <f t="shared" si="2"/>
        <v/>
      </c>
      <c r="J70" s="1" t="str">
        <f t="shared" si="3"/>
        <v/>
      </c>
      <c r="K70" s="13" t="str">
        <f t="shared" si="4"/>
        <v/>
      </c>
      <c r="L70" s="9" t="str">
        <f t="shared" si="5"/>
        <v/>
      </c>
      <c r="M70" s="1" t="str">
        <f t="shared" si="6"/>
        <v/>
      </c>
      <c r="N70" s="1" t="str">
        <f t="shared" si="7"/>
        <v/>
      </c>
      <c r="O70" s="1" t="str">
        <f t="shared" si="8"/>
        <v/>
      </c>
      <c r="P70" s="1" t="str">
        <f t="shared" si="9"/>
        <v/>
      </c>
      <c r="Q70" s="1" t="str">
        <f t="shared" si="10"/>
        <v/>
      </c>
      <c r="R70" s="1" t="str">
        <f t="shared" si="11"/>
        <v/>
      </c>
      <c r="S70" s="1" t="str">
        <f t="shared" si="12"/>
        <v/>
      </c>
      <c r="T70" s="1" t="str">
        <f t="shared" si="13"/>
        <v/>
      </c>
      <c r="U70" s="1" t="str">
        <f t="shared" si="14"/>
        <v/>
      </c>
      <c r="V70" s="1" t="str">
        <f t="shared" si="15"/>
        <v/>
      </c>
      <c r="W70" s="26" t="str">
        <f t="shared" si="16"/>
        <v/>
      </c>
      <c r="X70" s="13" t="str">
        <f t="shared" si="17"/>
        <v/>
      </c>
      <c r="Y70" s="9">
        <f t="shared" si="18"/>
        <v>0</v>
      </c>
    </row>
    <row r="71" spans="1:25" x14ac:dyDescent="0.25">
      <c r="A71" s="28"/>
      <c r="B71" s="29"/>
      <c r="C71" s="30"/>
      <c r="D71" s="31"/>
      <c r="E71" s="29" t="s">
        <v>16</v>
      </c>
      <c r="F71" s="13" t="b">
        <f>IF($E71=Categories!$A$1,"",IF($E71=Categories!$A$2,Categories!$B$2,IF($E71=Categories!$A$3,Categories!$B$3,IF($E71=Categories!$A$4,Categories!$B$4,IF($E71=Categories!$A$5,Categories!$B$5,IF($E71=Categories!$A$6,Categories!$B$6,IF($E71=Categories!$A$7,Categories!$B$7,IF($E71=Categories!$A$8,Categories!$B$8,IF($E71=Categories!$A$9,Categories!$B$9,IF($E71=Categories!$A$10,Categories!$B$10,IF($E71=Categories!$A$11,Categories!$B$11,IF($E71=Categories!$A$12,Categories!$B$12,IF($E71=Categories!$A$13,Categories!$B$13,IF($E71=Categories!$A$14,Categories!$B$14,IF($E71=Categories!$A$15,Categories!$B$15,IF($E71=Categories!$A$16,Categories!$B$16,IF($E71=Categories!$A$17,Categories!$B$17,IF($E71=Categories!$A$18,Categories!$B$18,IF($E71=Categories!$A$19,Categories!$B$19)))))))))))))))))))</f>
        <v>0</v>
      </c>
      <c r="G71" s="9" t="str">
        <f t="shared" ref="G71:G95" si="19">IF($F71="Inc1",$D71,"")</f>
        <v/>
      </c>
      <c r="H71" s="1" t="str">
        <f t="shared" ref="H71:H95" si="20">IF($F71="Inc2",$D71,"")</f>
        <v/>
      </c>
      <c r="I71" s="1" t="str">
        <f t="shared" ref="I71:I95" si="21">IF($F71="Int",$D71,"")</f>
        <v/>
      </c>
      <c r="J71" s="1" t="str">
        <f t="shared" ref="J71:J95" si="22">IF($F71="Inc4",$D71,"")</f>
        <v/>
      </c>
      <c r="K71" s="13" t="str">
        <f t="shared" ref="K71:K95" si="23">IF($F71="Inc5",$D71,"")</f>
        <v/>
      </c>
      <c r="L71" s="9" t="str">
        <f t="shared" ref="L71:L95" si="24">IF($F71="ExpA",$D71,"")</f>
        <v/>
      </c>
      <c r="M71" s="1" t="str">
        <f t="shared" ref="M71:M95" si="25">IF($F71="ExpB",$D71,"")</f>
        <v/>
      </c>
      <c r="N71" s="1" t="str">
        <f t="shared" ref="N71:N95" si="26">IF($F71="ExpC",$D71,"")</f>
        <v/>
      </c>
      <c r="O71" s="1" t="str">
        <f t="shared" ref="O71:O95" si="27">IF($F71="ExpD",$D71,"")</f>
        <v/>
      </c>
      <c r="P71" s="1" t="str">
        <f t="shared" ref="P71:P95" si="28">IF($F71="ExpE",$D71,"")</f>
        <v/>
      </c>
      <c r="Q71" s="1" t="str">
        <f t="shared" ref="Q71:Q95" si="29">IF($F71="ExpF",$D71,"")</f>
        <v/>
      </c>
      <c r="R71" s="1" t="str">
        <f t="shared" ref="R71:R95" si="30">IF($F71="ExpG",$D71,"")</f>
        <v/>
      </c>
      <c r="S71" s="1" t="str">
        <f t="shared" ref="S71:S95" si="31">IF($F71="ExpH",$D71,"")</f>
        <v/>
      </c>
      <c r="T71" s="1" t="str">
        <f t="shared" ref="T71:T95" si="32">IF($F71="ExpI",$D71,"")</f>
        <v/>
      </c>
      <c r="U71" s="1" t="str">
        <f t="shared" ref="U71:U95" si="33">IF($F71="ExpJ",$D71,"")</f>
        <v/>
      </c>
      <c r="V71" s="1" t="str">
        <f t="shared" ref="V71:V95" si="34">IF($F71="ExpK",$D71,"")</f>
        <v/>
      </c>
      <c r="W71" s="26" t="str">
        <f t="shared" ref="W71:W95" si="35">IF($F71="ExpL",$D71,"")</f>
        <v/>
      </c>
      <c r="X71" s="13" t="str">
        <f t="shared" ref="X71:X95" si="36">IF($F71="Expm",$D71,"")</f>
        <v/>
      </c>
      <c r="Y71" s="9">
        <f t="shared" si="18"/>
        <v>0</v>
      </c>
    </row>
    <row r="72" spans="1:25" x14ac:dyDescent="0.25">
      <c r="A72" s="28"/>
      <c r="B72" s="29"/>
      <c r="C72" s="30"/>
      <c r="D72" s="31"/>
      <c r="E72" s="29" t="s">
        <v>16</v>
      </c>
      <c r="F72" s="13" t="b">
        <f>IF($E72=Categories!$A$1,"",IF($E72=Categories!$A$2,Categories!$B$2,IF($E72=Categories!$A$3,Categories!$B$3,IF($E72=Categories!$A$4,Categories!$B$4,IF($E72=Categories!$A$5,Categories!$B$5,IF($E72=Categories!$A$6,Categories!$B$6,IF($E72=Categories!$A$7,Categories!$B$7,IF($E72=Categories!$A$8,Categories!$B$8,IF($E72=Categories!$A$9,Categories!$B$9,IF($E72=Categories!$A$10,Categories!$B$10,IF($E72=Categories!$A$11,Categories!$B$11,IF($E72=Categories!$A$12,Categories!$B$12,IF($E72=Categories!$A$13,Categories!$B$13,IF($E72=Categories!$A$14,Categories!$B$14,IF($E72=Categories!$A$15,Categories!$B$15,IF($E72=Categories!$A$16,Categories!$B$16,IF($E72=Categories!$A$17,Categories!$B$17,IF($E72=Categories!$A$18,Categories!$B$18,IF($E72=Categories!$A$19,Categories!$B$19)))))))))))))))))))</f>
        <v>0</v>
      </c>
      <c r="G72" s="9" t="str">
        <f t="shared" si="19"/>
        <v/>
      </c>
      <c r="H72" s="1" t="str">
        <f t="shared" si="20"/>
        <v/>
      </c>
      <c r="I72" s="1" t="str">
        <f t="shared" si="21"/>
        <v/>
      </c>
      <c r="J72" s="1" t="str">
        <f t="shared" si="22"/>
        <v/>
      </c>
      <c r="K72" s="13" t="str">
        <f t="shared" si="23"/>
        <v/>
      </c>
      <c r="L72" s="9" t="str">
        <f t="shared" si="24"/>
        <v/>
      </c>
      <c r="M72" s="1" t="str">
        <f t="shared" si="25"/>
        <v/>
      </c>
      <c r="N72" s="1" t="str">
        <f t="shared" si="26"/>
        <v/>
      </c>
      <c r="O72" s="1" t="str">
        <f t="shared" si="27"/>
        <v/>
      </c>
      <c r="P72" s="1" t="str">
        <f t="shared" si="28"/>
        <v/>
      </c>
      <c r="Q72" s="1" t="str">
        <f t="shared" si="29"/>
        <v/>
      </c>
      <c r="R72" s="1" t="str">
        <f t="shared" si="30"/>
        <v/>
      </c>
      <c r="S72" s="1" t="str">
        <f t="shared" si="31"/>
        <v/>
      </c>
      <c r="T72" s="1" t="str">
        <f t="shared" si="32"/>
        <v/>
      </c>
      <c r="U72" s="1" t="str">
        <f t="shared" si="33"/>
        <v/>
      </c>
      <c r="V72" s="1" t="str">
        <f t="shared" si="34"/>
        <v/>
      </c>
      <c r="W72" s="26" t="str">
        <f t="shared" si="35"/>
        <v/>
      </c>
      <c r="X72" s="13" t="str">
        <f t="shared" si="36"/>
        <v/>
      </c>
      <c r="Y72" s="9">
        <f t="shared" ref="Y72:Y95" si="37">Y71+SUM(G72:K72)-SUM(L72:X72)</f>
        <v>0</v>
      </c>
    </row>
    <row r="73" spans="1:25" x14ac:dyDescent="0.25">
      <c r="A73" s="28"/>
      <c r="B73" s="29"/>
      <c r="C73" s="30"/>
      <c r="D73" s="31"/>
      <c r="E73" s="29" t="s">
        <v>16</v>
      </c>
      <c r="F73" s="13" t="b">
        <f>IF($E73=Categories!$A$1,"",IF($E73=Categories!$A$2,Categories!$B$2,IF($E73=Categories!$A$3,Categories!$B$3,IF($E73=Categories!$A$4,Categories!$B$4,IF($E73=Categories!$A$5,Categories!$B$5,IF($E73=Categories!$A$6,Categories!$B$6,IF($E73=Categories!$A$7,Categories!$B$7,IF($E73=Categories!$A$8,Categories!$B$8,IF($E73=Categories!$A$9,Categories!$B$9,IF($E73=Categories!$A$10,Categories!$B$10,IF($E73=Categories!$A$11,Categories!$B$11,IF($E73=Categories!$A$12,Categories!$B$12,IF($E73=Categories!$A$13,Categories!$B$13,IF($E73=Categories!$A$14,Categories!$B$14,IF($E73=Categories!$A$15,Categories!$B$15,IF($E73=Categories!$A$16,Categories!$B$16,IF($E73=Categories!$A$17,Categories!$B$17,IF($E73=Categories!$A$18,Categories!$B$18,IF($E73=Categories!$A$19,Categories!$B$19)))))))))))))))))))</f>
        <v>0</v>
      </c>
      <c r="G73" s="9" t="str">
        <f t="shared" si="19"/>
        <v/>
      </c>
      <c r="H73" s="1" t="str">
        <f t="shared" si="20"/>
        <v/>
      </c>
      <c r="I73" s="1" t="str">
        <f t="shared" si="21"/>
        <v/>
      </c>
      <c r="J73" s="1" t="str">
        <f t="shared" si="22"/>
        <v/>
      </c>
      <c r="K73" s="13" t="str">
        <f t="shared" si="23"/>
        <v/>
      </c>
      <c r="L73" s="9" t="str">
        <f t="shared" si="24"/>
        <v/>
      </c>
      <c r="M73" s="1" t="str">
        <f t="shared" si="25"/>
        <v/>
      </c>
      <c r="N73" s="1" t="str">
        <f t="shared" si="26"/>
        <v/>
      </c>
      <c r="O73" s="1" t="str">
        <f t="shared" si="27"/>
        <v/>
      </c>
      <c r="P73" s="1" t="str">
        <f t="shared" si="28"/>
        <v/>
      </c>
      <c r="Q73" s="1" t="str">
        <f t="shared" si="29"/>
        <v/>
      </c>
      <c r="R73" s="1" t="str">
        <f t="shared" si="30"/>
        <v/>
      </c>
      <c r="S73" s="1" t="str">
        <f t="shared" si="31"/>
        <v/>
      </c>
      <c r="T73" s="1" t="str">
        <f t="shared" si="32"/>
        <v/>
      </c>
      <c r="U73" s="1" t="str">
        <f t="shared" si="33"/>
        <v/>
      </c>
      <c r="V73" s="1" t="str">
        <f t="shared" si="34"/>
        <v/>
      </c>
      <c r="W73" s="26" t="str">
        <f t="shared" si="35"/>
        <v/>
      </c>
      <c r="X73" s="13" t="str">
        <f t="shared" si="36"/>
        <v/>
      </c>
      <c r="Y73" s="9">
        <f t="shared" si="37"/>
        <v>0</v>
      </c>
    </row>
    <row r="74" spans="1:25" x14ac:dyDescent="0.25">
      <c r="A74" s="28"/>
      <c r="B74" s="29"/>
      <c r="C74" s="30"/>
      <c r="D74" s="31"/>
      <c r="E74" s="29" t="s">
        <v>16</v>
      </c>
      <c r="F74" s="13" t="b">
        <f>IF($E74=Categories!$A$1,"",IF($E74=Categories!$A$2,Categories!$B$2,IF($E74=Categories!$A$3,Categories!$B$3,IF($E74=Categories!$A$4,Categories!$B$4,IF($E74=Categories!$A$5,Categories!$B$5,IF($E74=Categories!$A$6,Categories!$B$6,IF($E74=Categories!$A$7,Categories!$B$7,IF($E74=Categories!$A$8,Categories!$B$8,IF($E74=Categories!$A$9,Categories!$B$9,IF($E74=Categories!$A$10,Categories!$B$10,IF($E74=Categories!$A$11,Categories!$B$11,IF($E74=Categories!$A$12,Categories!$B$12,IF($E74=Categories!$A$13,Categories!$B$13,IF($E74=Categories!$A$14,Categories!$B$14,IF($E74=Categories!$A$15,Categories!$B$15,IF($E74=Categories!$A$16,Categories!$B$16,IF($E74=Categories!$A$17,Categories!$B$17,IF($E74=Categories!$A$18,Categories!$B$18,IF($E74=Categories!$A$19,Categories!$B$19)))))))))))))))))))</f>
        <v>0</v>
      </c>
      <c r="G74" s="9" t="str">
        <f t="shared" si="19"/>
        <v/>
      </c>
      <c r="H74" s="1" t="str">
        <f t="shared" si="20"/>
        <v/>
      </c>
      <c r="I74" s="1" t="str">
        <f t="shared" si="21"/>
        <v/>
      </c>
      <c r="J74" s="1" t="str">
        <f t="shared" si="22"/>
        <v/>
      </c>
      <c r="K74" s="13" t="str">
        <f t="shared" si="23"/>
        <v/>
      </c>
      <c r="L74" s="9" t="str">
        <f t="shared" si="24"/>
        <v/>
      </c>
      <c r="M74" s="1" t="str">
        <f t="shared" si="25"/>
        <v/>
      </c>
      <c r="N74" s="1" t="str">
        <f t="shared" si="26"/>
        <v/>
      </c>
      <c r="O74" s="1" t="str">
        <f t="shared" si="27"/>
        <v/>
      </c>
      <c r="P74" s="1" t="str">
        <f t="shared" si="28"/>
        <v/>
      </c>
      <c r="Q74" s="1" t="str">
        <f t="shared" si="29"/>
        <v/>
      </c>
      <c r="R74" s="1" t="str">
        <f t="shared" si="30"/>
        <v/>
      </c>
      <c r="S74" s="1" t="str">
        <f t="shared" si="31"/>
        <v/>
      </c>
      <c r="T74" s="1" t="str">
        <f t="shared" si="32"/>
        <v/>
      </c>
      <c r="U74" s="1" t="str">
        <f t="shared" si="33"/>
        <v/>
      </c>
      <c r="V74" s="1" t="str">
        <f t="shared" si="34"/>
        <v/>
      </c>
      <c r="W74" s="26" t="str">
        <f t="shared" si="35"/>
        <v/>
      </c>
      <c r="X74" s="13" t="str">
        <f t="shared" si="36"/>
        <v/>
      </c>
      <c r="Y74" s="9">
        <f t="shared" si="37"/>
        <v>0</v>
      </c>
    </row>
    <row r="75" spans="1:25" x14ac:dyDescent="0.25">
      <c r="A75" s="28"/>
      <c r="B75" s="29"/>
      <c r="C75" s="30"/>
      <c r="D75" s="31"/>
      <c r="E75" s="29" t="s">
        <v>16</v>
      </c>
      <c r="F75" s="13" t="b">
        <f>IF($E75=Categories!$A$1,"",IF($E75=Categories!$A$2,Categories!$B$2,IF($E75=Categories!$A$3,Categories!$B$3,IF($E75=Categories!$A$4,Categories!$B$4,IF($E75=Categories!$A$5,Categories!$B$5,IF($E75=Categories!$A$6,Categories!$B$6,IF($E75=Categories!$A$7,Categories!$B$7,IF($E75=Categories!$A$8,Categories!$B$8,IF($E75=Categories!$A$9,Categories!$B$9,IF($E75=Categories!$A$10,Categories!$B$10,IF($E75=Categories!$A$11,Categories!$B$11,IF($E75=Categories!$A$12,Categories!$B$12,IF($E75=Categories!$A$13,Categories!$B$13,IF($E75=Categories!$A$14,Categories!$B$14,IF($E75=Categories!$A$15,Categories!$B$15,IF($E75=Categories!$A$16,Categories!$B$16,IF($E75=Categories!$A$17,Categories!$B$17,IF($E75=Categories!$A$18,Categories!$B$18,IF($E75=Categories!$A$19,Categories!$B$19)))))))))))))))))))</f>
        <v>0</v>
      </c>
      <c r="G75" s="9" t="str">
        <f t="shared" si="19"/>
        <v/>
      </c>
      <c r="H75" s="1" t="str">
        <f t="shared" si="20"/>
        <v/>
      </c>
      <c r="I75" s="1" t="str">
        <f t="shared" si="21"/>
        <v/>
      </c>
      <c r="J75" s="1" t="str">
        <f t="shared" si="22"/>
        <v/>
      </c>
      <c r="K75" s="13" t="str">
        <f t="shared" si="23"/>
        <v/>
      </c>
      <c r="L75" s="9" t="str">
        <f t="shared" si="24"/>
        <v/>
      </c>
      <c r="M75" s="1" t="str">
        <f t="shared" si="25"/>
        <v/>
      </c>
      <c r="N75" s="1" t="str">
        <f t="shared" si="26"/>
        <v/>
      </c>
      <c r="O75" s="1" t="str">
        <f t="shared" si="27"/>
        <v/>
      </c>
      <c r="P75" s="1" t="str">
        <f t="shared" si="28"/>
        <v/>
      </c>
      <c r="Q75" s="1" t="str">
        <f t="shared" si="29"/>
        <v/>
      </c>
      <c r="R75" s="1" t="str">
        <f t="shared" si="30"/>
        <v/>
      </c>
      <c r="S75" s="1" t="str">
        <f t="shared" si="31"/>
        <v/>
      </c>
      <c r="T75" s="1" t="str">
        <f t="shared" si="32"/>
        <v/>
      </c>
      <c r="U75" s="1" t="str">
        <f t="shared" si="33"/>
        <v/>
      </c>
      <c r="V75" s="1" t="str">
        <f t="shared" si="34"/>
        <v/>
      </c>
      <c r="W75" s="26" t="str">
        <f t="shared" si="35"/>
        <v/>
      </c>
      <c r="X75" s="13" t="str">
        <f t="shared" si="36"/>
        <v/>
      </c>
      <c r="Y75" s="9">
        <f t="shared" si="37"/>
        <v>0</v>
      </c>
    </row>
    <row r="76" spans="1:25" x14ac:dyDescent="0.25">
      <c r="A76" s="28"/>
      <c r="B76" s="29"/>
      <c r="C76" s="30"/>
      <c r="D76" s="31"/>
      <c r="E76" s="29" t="s">
        <v>16</v>
      </c>
      <c r="F76" s="13" t="b">
        <f>IF($E76=Categories!$A$1,"",IF($E76=Categories!$A$2,Categories!$B$2,IF($E76=Categories!$A$3,Categories!$B$3,IF($E76=Categories!$A$4,Categories!$B$4,IF($E76=Categories!$A$5,Categories!$B$5,IF($E76=Categories!$A$6,Categories!$B$6,IF($E76=Categories!$A$7,Categories!$B$7,IF($E76=Categories!$A$8,Categories!$B$8,IF($E76=Categories!$A$9,Categories!$B$9,IF($E76=Categories!$A$10,Categories!$B$10,IF($E76=Categories!$A$11,Categories!$B$11,IF($E76=Categories!$A$12,Categories!$B$12,IF($E76=Categories!$A$13,Categories!$B$13,IF($E76=Categories!$A$14,Categories!$B$14,IF($E76=Categories!$A$15,Categories!$B$15,IF($E76=Categories!$A$16,Categories!$B$16,IF($E76=Categories!$A$17,Categories!$B$17,IF($E76=Categories!$A$18,Categories!$B$18,IF($E76=Categories!$A$19,Categories!$B$19)))))))))))))))))))</f>
        <v>0</v>
      </c>
      <c r="G76" s="9" t="str">
        <f t="shared" si="19"/>
        <v/>
      </c>
      <c r="H76" s="1" t="str">
        <f t="shared" si="20"/>
        <v/>
      </c>
      <c r="I76" s="1" t="str">
        <f t="shared" si="21"/>
        <v/>
      </c>
      <c r="J76" s="1" t="str">
        <f t="shared" si="22"/>
        <v/>
      </c>
      <c r="K76" s="13" t="str">
        <f t="shared" si="23"/>
        <v/>
      </c>
      <c r="L76" s="9" t="str">
        <f t="shared" si="24"/>
        <v/>
      </c>
      <c r="M76" s="1" t="str">
        <f t="shared" si="25"/>
        <v/>
      </c>
      <c r="N76" s="1" t="str">
        <f t="shared" si="26"/>
        <v/>
      </c>
      <c r="O76" s="1" t="str">
        <f t="shared" si="27"/>
        <v/>
      </c>
      <c r="P76" s="1" t="str">
        <f t="shared" si="28"/>
        <v/>
      </c>
      <c r="Q76" s="1" t="str">
        <f t="shared" si="29"/>
        <v/>
      </c>
      <c r="R76" s="1" t="str">
        <f t="shared" si="30"/>
        <v/>
      </c>
      <c r="S76" s="1" t="str">
        <f t="shared" si="31"/>
        <v/>
      </c>
      <c r="T76" s="1" t="str">
        <f t="shared" si="32"/>
        <v/>
      </c>
      <c r="U76" s="1" t="str">
        <f t="shared" si="33"/>
        <v/>
      </c>
      <c r="V76" s="1" t="str">
        <f t="shared" si="34"/>
        <v/>
      </c>
      <c r="W76" s="26" t="str">
        <f t="shared" si="35"/>
        <v/>
      </c>
      <c r="X76" s="13" t="str">
        <f t="shared" si="36"/>
        <v/>
      </c>
      <c r="Y76" s="9">
        <f t="shared" si="37"/>
        <v>0</v>
      </c>
    </row>
    <row r="77" spans="1:25" x14ac:dyDescent="0.25">
      <c r="A77" s="28"/>
      <c r="B77" s="29"/>
      <c r="C77" s="30"/>
      <c r="D77" s="31"/>
      <c r="E77" s="29" t="s">
        <v>16</v>
      </c>
      <c r="F77" s="13" t="b">
        <f>IF($E77=Categories!$A$1,"",IF($E77=Categories!$A$2,Categories!$B$2,IF($E77=Categories!$A$3,Categories!$B$3,IF($E77=Categories!$A$4,Categories!$B$4,IF($E77=Categories!$A$5,Categories!$B$5,IF($E77=Categories!$A$6,Categories!$B$6,IF($E77=Categories!$A$7,Categories!$B$7,IF($E77=Categories!$A$8,Categories!$B$8,IF($E77=Categories!$A$9,Categories!$B$9,IF($E77=Categories!$A$10,Categories!$B$10,IF($E77=Categories!$A$11,Categories!$B$11,IF($E77=Categories!$A$12,Categories!$B$12,IF($E77=Categories!$A$13,Categories!$B$13,IF($E77=Categories!$A$14,Categories!$B$14,IF($E77=Categories!$A$15,Categories!$B$15,IF($E77=Categories!$A$16,Categories!$B$16,IF($E77=Categories!$A$17,Categories!$B$17,IF($E77=Categories!$A$18,Categories!$B$18,IF($E77=Categories!$A$19,Categories!$B$19)))))))))))))))))))</f>
        <v>0</v>
      </c>
      <c r="G77" s="9" t="str">
        <f t="shared" si="19"/>
        <v/>
      </c>
      <c r="H77" s="1" t="str">
        <f t="shared" si="20"/>
        <v/>
      </c>
      <c r="I77" s="1" t="str">
        <f t="shared" si="21"/>
        <v/>
      </c>
      <c r="J77" s="1" t="str">
        <f t="shared" si="22"/>
        <v/>
      </c>
      <c r="K77" s="13" t="str">
        <f t="shared" si="23"/>
        <v/>
      </c>
      <c r="L77" s="9" t="str">
        <f t="shared" si="24"/>
        <v/>
      </c>
      <c r="M77" s="1" t="str">
        <f t="shared" si="25"/>
        <v/>
      </c>
      <c r="N77" s="1" t="str">
        <f t="shared" si="26"/>
        <v/>
      </c>
      <c r="O77" s="1" t="str">
        <f t="shared" si="27"/>
        <v/>
      </c>
      <c r="P77" s="1" t="str">
        <f t="shared" si="28"/>
        <v/>
      </c>
      <c r="Q77" s="1" t="str">
        <f t="shared" si="29"/>
        <v/>
      </c>
      <c r="R77" s="1" t="str">
        <f t="shared" si="30"/>
        <v/>
      </c>
      <c r="S77" s="1" t="str">
        <f t="shared" si="31"/>
        <v/>
      </c>
      <c r="T77" s="1" t="str">
        <f t="shared" si="32"/>
        <v/>
      </c>
      <c r="U77" s="1" t="str">
        <f t="shared" si="33"/>
        <v/>
      </c>
      <c r="V77" s="1" t="str">
        <f t="shared" si="34"/>
        <v/>
      </c>
      <c r="W77" s="26" t="str">
        <f t="shared" si="35"/>
        <v/>
      </c>
      <c r="X77" s="13" t="str">
        <f t="shared" si="36"/>
        <v/>
      </c>
      <c r="Y77" s="9">
        <f t="shared" si="37"/>
        <v>0</v>
      </c>
    </row>
    <row r="78" spans="1:25" x14ac:dyDescent="0.25">
      <c r="A78" s="28"/>
      <c r="B78" s="29"/>
      <c r="C78" s="30"/>
      <c r="D78" s="31"/>
      <c r="E78" s="29" t="s">
        <v>16</v>
      </c>
      <c r="F78" s="13" t="b">
        <f>IF($E78=Categories!$A$1,"",IF($E78=Categories!$A$2,Categories!$B$2,IF($E78=Categories!$A$3,Categories!$B$3,IF($E78=Categories!$A$4,Categories!$B$4,IF($E78=Categories!$A$5,Categories!$B$5,IF($E78=Categories!$A$6,Categories!$B$6,IF($E78=Categories!$A$7,Categories!$B$7,IF($E78=Categories!$A$8,Categories!$B$8,IF($E78=Categories!$A$9,Categories!$B$9,IF($E78=Categories!$A$10,Categories!$B$10,IF($E78=Categories!$A$11,Categories!$B$11,IF($E78=Categories!$A$12,Categories!$B$12,IF($E78=Categories!$A$13,Categories!$B$13,IF($E78=Categories!$A$14,Categories!$B$14,IF($E78=Categories!$A$15,Categories!$B$15,IF($E78=Categories!$A$16,Categories!$B$16,IF($E78=Categories!$A$17,Categories!$B$17,IF($E78=Categories!$A$18,Categories!$B$18,IF($E78=Categories!$A$19,Categories!$B$19)))))))))))))))))))</f>
        <v>0</v>
      </c>
      <c r="G78" s="9" t="str">
        <f t="shared" si="19"/>
        <v/>
      </c>
      <c r="H78" s="1" t="str">
        <f t="shared" si="20"/>
        <v/>
      </c>
      <c r="I78" s="1" t="str">
        <f t="shared" si="21"/>
        <v/>
      </c>
      <c r="J78" s="1" t="str">
        <f t="shared" si="22"/>
        <v/>
      </c>
      <c r="K78" s="13" t="str">
        <f t="shared" si="23"/>
        <v/>
      </c>
      <c r="L78" s="9" t="str">
        <f t="shared" si="24"/>
        <v/>
      </c>
      <c r="M78" s="1" t="str">
        <f t="shared" si="25"/>
        <v/>
      </c>
      <c r="N78" s="1" t="str">
        <f t="shared" si="26"/>
        <v/>
      </c>
      <c r="O78" s="1" t="str">
        <f t="shared" si="27"/>
        <v/>
      </c>
      <c r="P78" s="1" t="str">
        <f t="shared" si="28"/>
        <v/>
      </c>
      <c r="Q78" s="1" t="str">
        <f t="shared" si="29"/>
        <v/>
      </c>
      <c r="R78" s="1" t="str">
        <f t="shared" si="30"/>
        <v/>
      </c>
      <c r="S78" s="1" t="str">
        <f t="shared" si="31"/>
        <v/>
      </c>
      <c r="T78" s="1" t="str">
        <f t="shared" si="32"/>
        <v/>
      </c>
      <c r="U78" s="1" t="str">
        <f t="shared" si="33"/>
        <v/>
      </c>
      <c r="V78" s="1" t="str">
        <f t="shared" si="34"/>
        <v/>
      </c>
      <c r="W78" s="26" t="str">
        <f t="shared" si="35"/>
        <v/>
      </c>
      <c r="X78" s="13" t="str">
        <f t="shared" si="36"/>
        <v/>
      </c>
      <c r="Y78" s="9">
        <f t="shared" si="37"/>
        <v>0</v>
      </c>
    </row>
    <row r="79" spans="1:25" x14ac:dyDescent="0.25">
      <c r="A79" s="28"/>
      <c r="B79" s="29"/>
      <c r="C79" s="30"/>
      <c r="D79" s="31"/>
      <c r="E79" s="29" t="s">
        <v>16</v>
      </c>
      <c r="F79" s="13" t="b">
        <f>IF($E79=Categories!$A$1,"",IF($E79=Categories!$A$2,Categories!$B$2,IF($E79=Categories!$A$3,Categories!$B$3,IF($E79=Categories!$A$4,Categories!$B$4,IF($E79=Categories!$A$5,Categories!$B$5,IF($E79=Categories!$A$6,Categories!$B$6,IF($E79=Categories!$A$7,Categories!$B$7,IF($E79=Categories!$A$8,Categories!$B$8,IF($E79=Categories!$A$9,Categories!$B$9,IF($E79=Categories!$A$10,Categories!$B$10,IF($E79=Categories!$A$11,Categories!$B$11,IF($E79=Categories!$A$12,Categories!$B$12,IF($E79=Categories!$A$13,Categories!$B$13,IF($E79=Categories!$A$14,Categories!$B$14,IF($E79=Categories!$A$15,Categories!$B$15,IF($E79=Categories!$A$16,Categories!$B$16,IF($E79=Categories!$A$17,Categories!$B$17,IF($E79=Categories!$A$18,Categories!$B$18,IF($E79=Categories!$A$19,Categories!$B$19)))))))))))))))))))</f>
        <v>0</v>
      </c>
      <c r="G79" s="9" t="str">
        <f t="shared" si="19"/>
        <v/>
      </c>
      <c r="H79" s="1" t="str">
        <f t="shared" si="20"/>
        <v/>
      </c>
      <c r="I79" s="1" t="str">
        <f t="shared" si="21"/>
        <v/>
      </c>
      <c r="J79" s="1" t="str">
        <f t="shared" si="22"/>
        <v/>
      </c>
      <c r="K79" s="13" t="str">
        <f t="shared" si="23"/>
        <v/>
      </c>
      <c r="L79" s="9" t="str">
        <f t="shared" si="24"/>
        <v/>
      </c>
      <c r="M79" s="1" t="str">
        <f t="shared" si="25"/>
        <v/>
      </c>
      <c r="N79" s="1" t="str">
        <f t="shared" si="26"/>
        <v/>
      </c>
      <c r="O79" s="1" t="str">
        <f t="shared" si="27"/>
        <v/>
      </c>
      <c r="P79" s="1" t="str">
        <f t="shared" si="28"/>
        <v/>
      </c>
      <c r="Q79" s="1" t="str">
        <f t="shared" si="29"/>
        <v/>
      </c>
      <c r="R79" s="1" t="str">
        <f t="shared" si="30"/>
        <v/>
      </c>
      <c r="S79" s="1" t="str">
        <f t="shared" si="31"/>
        <v/>
      </c>
      <c r="T79" s="1" t="str">
        <f t="shared" si="32"/>
        <v/>
      </c>
      <c r="U79" s="1" t="str">
        <f t="shared" si="33"/>
        <v/>
      </c>
      <c r="V79" s="1" t="str">
        <f t="shared" si="34"/>
        <v/>
      </c>
      <c r="W79" s="26" t="str">
        <f t="shared" si="35"/>
        <v/>
      </c>
      <c r="X79" s="13" t="str">
        <f t="shared" si="36"/>
        <v/>
      </c>
      <c r="Y79" s="9">
        <f t="shared" si="37"/>
        <v>0</v>
      </c>
    </row>
    <row r="80" spans="1:25" x14ac:dyDescent="0.25">
      <c r="A80" s="28"/>
      <c r="B80" s="29"/>
      <c r="C80" s="30"/>
      <c r="D80" s="31"/>
      <c r="E80" s="29" t="s">
        <v>16</v>
      </c>
      <c r="F80" s="13" t="b">
        <f>IF($E80=Categories!$A$1,"",IF($E80=Categories!$A$2,Categories!$B$2,IF($E80=Categories!$A$3,Categories!$B$3,IF($E80=Categories!$A$4,Categories!$B$4,IF($E80=Categories!$A$5,Categories!$B$5,IF($E80=Categories!$A$6,Categories!$B$6,IF($E80=Categories!$A$7,Categories!$B$7,IF($E80=Categories!$A$8,Categories!$B$8,IF($E80=Categories!$A$9,Categories!$B$9,IF($E80=Categories!$A$10,Categories!$B$10,IF($E80=Categories!$A$11,Categories!$B$11,IF($E80=Categories!$A$12,Categories!$B$12,IF($E80=Categories!$A$13,Categories!$B$13,IF($E80=Categories!$A$14,Categories!$B$14,IF($E80=Categories!$A$15,Categories!$B$15,IF($E80=Categories!$A$16,Categories!$B$16,IF($E80=Categories!$A$17,Categories!$B$17,IF($E80=Categories!$A$18,Categories!$B$18,IF($E80=Categories!$A$19,Categories!$B$19)))))))))))))))))))</f>
        <v>0</v>
      </c>
      <c r="G80" s="9" t="str">
        <f t="shared" si="19"/>
        <v/>
      </c>
      <c r="H80" s="1" t="str">
        <f t="shared" si="20"/>
        <v/>
      </c>
      <c r="I80" s="1" t="str">
        <f t="shared" si="21"/>
        <v/>
      </c>
      <c r="J80" s="1" t="str">
        <f t="shared" si="22"/>
        <v/>
      </c>
      <c r="K80" s="13" t="str">
        <f t="shared" si="23"/>
        <v/>
      </c>
      <c r="L80" s="9" t="str">
        <f t="shared" si="24"/>
        <v/>
      </c>
      <c r="M80" s="1" t="str">
        <f t="shared" si="25"/>
        <v/>
      </c>
      <c r="N80" s="1" t="str">
        <f t="shared" si="26"/>
        <v/>
      </c>
      <c r="O80" s="1" t="str">
        <f t="shared" si="27"/>
        <v/>
      </c>
      <c r="P80" s="1" t="str">
        <f t="shared" si="28"/>
        <v/>
      </c>
      <c r="Q80" s="1" t="str">
        <f t="shared" si="29"/>
        <v/>
      </c>
      <c r="R80" s="1" t="str">
        <f t="shared" si="30"/>
        <v/>
      </c>
      <c r="S80" s="1" t="str">
        <f t="shared" si="31"/>
        <v/>
      </c>
      <c r="T80" s="1" t="str">
        <f t="shared" si="32"/>
        <v/>
      </c>
      <c r="U80" s="1" t="str">
        <f t="shared" si="33"/>
        <v/>
      </c>
      <c r="V80" s="1" t="str">
        <f t="shared" si="34"/>
        <v/>
      </c>
      <c r="W80" s="26" t="str">
        <f t="shared" si="35"/>
        <v/>
      </c>
      <c r="X80" s="13" t="str">
        <f t="shared" si="36"/>
        <v/>
      </c>
      <c r="Y80" s="9">
        <f t="shared" si="37"/>
        <v>0</v>
      </c>
    </row>
    <row r="81" spans="1:25" x14ac:dyDescent="0.25">
      <c r="A81" s="28"/>
      <c r="B81" s="29"/>
      <c r="C81" s="30"/>
      <c r="D81" s="31"/>
      <c r="E81" s="29" t="s">
        <v>16</v>
      </c>
      <c r="F81" s="13" t="b">
        <f>IF($E81=Categories!$A$1,"",IF($E81=Categories!$A$2,Categories!$B$2,IF($E81=Categories!$A$3,Categories!$B$3,IF($E81=Categories!$A$4,Categories!$B$4,IF($E81=Categories!$A$5,Categories!$B$5,IF($E81=Categories!$A$6,Categories!$B$6,IF($E81=Categories!$A$7,Categories!$B$7,IF($E81=Categories!$A$8,Categories!$B$8,IF($E81=Categories!$A$9,Categories!$B$9,IF($E81=Categories!$A$10,Categories!$B$10,IF($E81=Categories!$A$11,Categories!$B$11,IF($E81=Categories!$A$12,Categories!$B$12,IF($E81=Categories!$A$13,Categories!$B$13,IF($E81=Categories!$A$14,Categories!$B$14,IF($E81=Categories!$A$15,Categories!$B$15,IF($E81=Categories!$A$16,Categories!$B$16,IF($E81=Categories!$A$17,Categories!$B$17,IF($E81=Categories!$A$18,Categories!$B$18,IF($E81=Categories!$A$19,Categories!$B$19)))))))))))))))))))</f>
        <v>0</v>
      </c>
      <c r="G81" s="9" t="str">
        <f t="shared" si="19"/>
        <v/>
      </c>
      <c r="H81" s="1" t="str">
        <f t="shared" si="20"/>
        <v/>
      </c>
      <c r="I81" s="1" t="str">
        <f t="shared" si="21"/>
        <v/>
      </c>
      <c r="J81" s="1" t="str">
        <f t="shared" si="22"/>
        <v/>
      </c>
      <c r="K81" s="13" t="str">
        <f t="shared" si="23"/>
        <v/>
      </c>
      <c r="L81" s="9" t="str">
        <f t="shared" si="24"/>
        <v/>
      </c>
      <c r="M81" s="1" t="str">
        <f t="shared" si="25"/>
        <v/>
      </c>
      <c r="N81" s="1" t="str">
        <f t="shared" si="26"/>
        <v/>
      </c>
      <c r="O81" s="1" t="str">
        <f t="shared" si="27"/>
        <v/>
      </c>
      <c r="P81" s="1" t="str">
        <f t="shared" si="28"/>
        <v/>
      </c>
      <c r="Q81" s="1" t="str">
        <f t="shared" si="29"/>
        <v/>
      </c>
      <c r="R81" s="1" t="str">
        <f t="shared" si="30"/>
        <v/>
      </c>
      <c r="S81" s="1" t="str">
        <f t="shared" si="31"/>
        <v/>
      </c>
      <c r="T81" s="1" t="str">
        <f t="shared" si="32"/>
        <v/>
      </c>
      <c r="U81" s="1" t="str">
        <f t="shared" si="33"/>
        <v/>
      </c>
      <c r="V81" s="1" t="str">
        <f t="shared" si="34"/>
        <v/>
      </c>
      <c r="W81" s="26" t="str">
        <f t="shared" si="35"/>
        <v/>
      </c>
      <c r="X81" s="13" t="str">
        <f t="shared" si="36"/>
        <v/>
      </c>
      <c r="Y81" s="9">
        <f t="shared" si="37"/>
        <v>0</v>
      </c>
    </row>
    <row r="82" spans="1:25" x14ac:dyDescent="0.25">
      <c r="A82" s="28"/>
      <c r="B82" s="29"/>
      <c r="C82" s="30"/>
      <c r="D82" s="31"/>
      <c r="E82" s="29" t="s">
        <v>16</v>
      </c>
      <c r="F82" s="13" t="b">
        <f>IF($E82=Categories!$A$1,"",IF($E82=Categories!$A$2,Categories!$B$2,IF($E82=Categories!$A$3,Categories!$B$3,IF($E82=Categories!$A$4,Categories!$B$4,IF($E82=Categories!$A$5,Categories!$B$5,IF($E82=Categories!$A$6,Categories!$B$6,IF($E82=Categories!$A$7,Categories!$B$7,IF($E82=Categories!$A$8,Categories!$B$8,IF($E82=Categories!$A$9,Categories!$B$9,IF($E82=Categories!$A$10,Categories!$B$10,IF($E82=Categories!$A$11,Categories!$B$11,IF($E82=Categories!$A$12,Categories!$B$12,IF($E82=Categories!$A$13,Categories!$B$13,IF($E82=Categories!$A$14,Categories!$B$14,IF($E82=Categories!$A$15,Categories!$B$15,IF($E82=Categories!$A$16,Categories!$B$16,IF($E82=Categories!$A$17,Categories!$B$17,IF($E82=Categories!$A$18,Categories!$B$18,IF($E82=Categories!$A$19,Categories!$B$19)))))))))))))))))))</f>
        <v>0</v>
      </c>
      <c r="G82" s="9" t="str">
        <f t="shared" si="19"/>
        <v/>
      </c>
      <c r="H82" s="1" t="str">
        <f t="shared" si="20"/>
        <v/>
      </c>
      <c r="I82" s="1" t="str">
        <f t="shared" si="21"/>
        <v/>
      </c>
      <c r="J82" s="1" t="str">
        <f t="shared" si="22"/>
        <v/>
      </c>
      <c r="K82" s="13" t="str">
        <f t="shared" si="23"/>
        <v/>
      </c>
      <c r="L82" s="9" t="str">
        <f t="shared" si="24"/>
        <v/>
      </c>
      <c r="M82" s="1" t="str">
        <f t="shared" si="25"/>
        <v/>
      </c>
      <c r="N82" s="1" t="str">
        <f t="shared" si="26"/>
        <v/>
      </c>
      <c r="O82" s="1" t="str">
        <f t="shared" si="27"/>
        <v/>
      </c>
      <c r="P82" s="1" t="str">
        <f t="shared" si="28"/>
        <v/>
      </c>
      <c r="Q82" s="1" t="str">
        <f t="shared" si="29"/>
        <v/>
      </c>
      <c r="R82" s="1" t="str">
        <f t="shared" si="30"/>
        <v/>
      </c>
      <c r="S82" s="1" t="str">
        <f t="shared" si="31"/>
        <v/>
      </c>
      <c r="T82" s="1" t="str">
        <f t="shared" si="32"/>
        <v/>
      </c>
      <c r="U82" s="1" t="str">
        <f t="shared" si="33"/>
        <v/>
      </c>
      <c r="V82" s="1" t="str">
        <f t="shared" si="34"/>
        <v/>
      </c>
      <c r="W82" s="26" t="str">
        <f t="shared" si="35"/>
        <v/>
      </c>
      <c r="X82" s="13" t="str">
        <f t="shared" si="36"/>
        <v/>
      </c>
      <c r="Y82" s="9">
        <f t="shared" si="37"/>
        <v>0</v>
      </c>
    </row>
    <row r="83" spans="1:25" x14ac:dyDescent="0.25">
      <c r="A83" s="28"/>
      <c r="B83" s="29"/>
      <c r="C83" s="30"/>
      <c r="D83" s="31"/>
      <c r="E83" s="29" t="s">
        <v>16</v>
      </c>
      <c r="F83" s="13" t="b">
        <f>IF($E83=Categories!$A$1,"",IF($E83=Categories!$A$2,Categories!$B$2,IF($E83=Categories!$A$3,Categories!$B$3,IF($E83=Categories!$A$4,Categories!$B$4,IF($E83=Categories!$A$5,Categories!$B$5,IF($E83=Categories!$A$6,Categories!$B$6,IF($E83=Categories!$A$7,Categories!$B$7,IF($E83=Categories!$A$8,Categories!$B$8,IF($E83=Categories!$A$9,Categories!$B$9,IF($E83=Categories!$A$10,Categories!$B$10,IF($E83=Categories!$A$11,Categories!$B$11,IF($E83=Categories!$A$12,Categories!$B$12,IF($E83=Categories!$A$13,Categories!$B$13,IF($E83=Categories!$A$14,Categories!$B$14,IF($E83=Categories!$A$15,Categories!$B$15,IF($E83=Categories!$A$16,Categories!$B$16,IF($E83=Categories!$A$17,Categories!$B$17,IF($E83=Categories!$A$18,Categories!$B$18,IF($E83=Categories!$A$19,Categories!$B$19)))))))))))))))))))</f>
        <v>0</v>
      </c>
      <c r="G83" s="9" t="str">
        <f t="shared" si="19"/>
        <v/>
      </c>
      <c r="H83" s="1" t="str">
        <f t="shared" si="20"/>
        <v/>
      </c>
      <c r="I83" s="1" t="str">
        <f t="shared" si="21"/>
        <v/>
      </c>
      <c r="J83" s="1" t="str">
        <f t="shared" si="22"/>
        <v/>
      </c>
      <c r="K83" s="13" t="str">
        <f t="shared" si="23"/>
        <v/>
      </c>
      <c r="L83" s="9" t="str">
        <f t="shared" si="24"/>
        <v/>
      </c>
      <c r="M83" s="1" t="str">
        <f t="shared" si="25"/>
        <v/>
      </c>
      <c r="N83" s="1" t="str">
        <f t="shared" si="26"/>
        <v/>
      </c>
      <c r="O83" s="1" t="str">
        <f t="shared" si="27"/>
        <v/>
      </c>
      <c r="P83" s="1" t="str">
        <f t="shared" si="28"/>
        <v/>
      </c>
      <c r="Q83" s="1" t="str">
        <f t="shared" si="29"/>
        <v/>
      </c>
      <c r="R83" s="1" t="str">
        <f t="shared" si="30"/>
        <v/>
      </c>
      <c r="S83" s="1" t="str">
        <f t="shared" si="31"/>
        <v/>
      </c>
      <c r="T83" s="1" t="str">
        <f t="shared" si="32"/>
        <v/>
      </c>
      <c r="U83" s="1" t="str">
        <f t="shared" si="33"/>
        <v/>
      </c>
      <c r="V83" s="1" t="str">
        <f t="shared" si="34"/>
        <v/>
      </c>
      <c r="W83" s="26" t="str">
        <f t="shared" si="35"/>
        <v/>
      </c>
      <c r="X83" s="13" t="str">
        <f t="shared" si="36"/>
        <v/>
      </c>
      <c r="Y83" s="9">
        <f t="shared" si="37"/>
        <v>0</v>
      </c>
    </row>
    <row r="84" spans="1:25" x14ac:dyDescent="0.25">
      <c r="A84" s="28"/>
      <c r="B84" s="29"/>
      <c r="C84" s="30"/>
      <c r="D84" s="31"/>
      <c r="E84" s="29" t="s">
        <v>16</v>
      </c>
      <c r="F84" s="13" t="b">
        <f>IF($E84=Categories!$A$1,"",IF($E84=Categories!$A$2,Categories!$B$2,IF($E84=Categories!$A$3,Categories!$B$3,IF($E84=Categories!$A$4,Categories!$B$4,IF($E84=Categories!$A$5,Categories!$B$5,IF($E84=Categories!$A$6,Categories!$B$6,IF($E84=Categories!$A$7,Categories!$B$7,IF($E84=Categories!$A$8,Categories!$B$8,IF($E84=Categories!$A$9,Categories!$B$9,IF($E84=Categories!$A$10,Categories!$B$10,IF($E84=Categories!$A$11,Categories!$B$11,IF($E84=Categories!$A$12,Categories!$B$12,IF($E84=Categories!$A$13,Categories!$B$13,IF($E84=Categories!$A$14,Categories!$B$14,IF($E84=Categories!$A$15,Categories!$B$15,IF($E84=Categories!$A$16,Categories!$B$16,IF($E84=Categories!$A$17,Categories!$B$17,IF($E84=Categories!$A$18,Categories!$B$18,IF($E84=Categories!$A$19,Categories!$B$19)))))))))))))))))))</f>
        <v>0</v>
      </c>
      <c r="G84" s="9" t="str">
        <f t="shared" si="19"/>
        <v/>
      </c>
      <c r="H84" s="1" t="str">
        <f t="shared" si="20"/>
        <v/>
      </c>
      <c r="I84" s="1" t="str">
        <f t="shared" si="21"/>
        <v/>
      </c>
      <c r="J84" s="1" t="str">
        <f t="shared" si="22"/>
        <v/>
      </c>
      <c r="K84" s="13" t="str">
        <f t="shared" si="23"/>
        <v/>
      </c>
      <c r="L84" s="9" t="str">
        <f t="shared" si="24"/>
        <v/>
      </c>
      <c r="M84" s="1" t="str">
        <f t="shared" si="25"/>
        <v/>
      </c>
      <c r="N84" s="1" t="str">
        <f t="shared" si="26"/>
        <v/>
      </c>
      <c r="O84" s="1" t="str">
        <f t="shared" si="27"/>
        <v/>
      </c>
      <c r="P84" s="1" t="str">
        <f t="shared" si="28"/>
        <v/>
      </c>
      <c r="Q84" s="1" t="str">
        <f t="shared" si="29"/>
        <v/>
      </c>
      <c r="R84" s="1" t="str">
        <f t="shared" si="30"/>
        <v/>
      </c>
      <c r="S84" s="1" t="str">
        <f t="shared" si="31"/>
        <v/>
      </c>
      <c r="T84" s="1" t="str">
        <f t="shared" si="32"/>
        <v/>
      </c>
      <c r="U84" s="1" t="str">
        <f t="shared" si="33"/>
        <v/>
      </c>
      <c r="V84" s="1" t="str">
        <f t="shared" si="34"/>
        <v/>
      </c>
      <c r="W84" s="26" t="str">
        <f t="shared" si="35"/>
        <v/>
      </c>
      <c r="X84" s="13" t="str">
        <f t="shared" si="36"/>
        <v/>
      </c>
      <c r="Y84" s="9">
        <f t="shared" si="37"/>
        <v>0</v>
      </c>
    </row>
    <row r="85" spans="1:25" x14ac:dyDescent="0.25">
      <c r="A85" s="28"/>
      <c r="B85" s="29"/>
      <c r="C85" s="30"/>
      <c r="D85" s="31"/>
      <c r="E85" s="29" t="s">
        <v>16</v>
      </c>
      <c r="F85" s="13" t="b">
        <f>IF($E85=Categories!$A$1,"",IF($E85=Categories!$A$2,Categories!$B$2,IF($E85=Categories!$A$3,Categories!$B$3,IF($E85=Categories!$A$4,Categories!$B$4,IF($E85=Categories!$A$5,Categories!$B$5,IF($E85=Categories!$A$6,Categories!$B$6,IF($E85=Categories!$A$7,Categories!$B$7,IF($E85=Categories!$A$8,Categories!$B$8,IF($E85=Categories!$A$9,Categories!$B$9,IF($E85=Categories!$A$10,Categories!$B$10,IF($E85=Categories!$A$11,Categories!$B$11,IF($E85=Categories!$A$12,Categories!$B$12,IF($E85=Categories!$A$13,Categories!$B$13,IF($E85=Categories!$A$14,Categories!$B$14,IF($E85=Categories!$A$15,Categories!$B$15,IF($E85=Categories!$A$16,Categories!$B$16,IF($E85=Categories!$A$17,Categories!$B$17,IF($E85=Categories!$A$18,Categories!$B$18,IF($E85=Categories!$A$19,Categories!$B$19)))))))))))))))))))</f>
        <v>0</v>
      </c>
      <c r="G85" s="9" t="str">
        <f t="shared" si="19"/>
        <v/>
      </c>
      <c r="H85" s="1" t="str">
        <f t="shared" si="20"/>
        <v/>
      </c>
      <c r="I85" s="1" t="str">
        <f t="shared" si="21"/>
        <v/>
      </c>
      <c r="J85" s="1" t="str">
        <f t="shared" si="22"/>
        <v/>
      </c>
      <c r="K85" s="13" t="str">
        <f t="shared" si="23"/>
        <v/>
      </c>
      <c r="L85" s="9" t="str">
        <f t="shared" si="24"/>
        <v/>
      </c>
      <c r="M85" s="1" t="str">
        <f t="shared" si="25"/>
        <v/>
      </c>
      <c r="N85" s="1" t="str">
        <f t="shared" si="26"/>
        <v/>
      </c>
      <c r="O85" s="1" t="str">
        <f t="shared" si="27"/>
        <v/>
      </c>
      <c r="P85" s="1" t="str">
        <f t="shared" si="28"/>
        <v/>
      </c>
      <c r="Q85" s="1" t="str">
        <f t="shared" si="29"/>
        <v/>
      </c>
      <c r="R85" s="1" t="str">
        <f t="shared" si="30"/>
        <v/>
      </c>
      <c r="S85" s="1" t="str">
        <f t="shared" si="31"/>
        <v/>
      </c>
      <c r="T85" s="1" t="str">
        <f t="shared" si="32"/>
        <v/>
      </c>
      <c r="U85" s="1" t="str">
        <f t="shared" si="33"/>
        <v/>
      </c>
      <c r="V85" s="1" t="str">
        <f t="shared" si="34"/>
        <v/>
      </c>
      <c r="W85" s="26" t="str">
        <f t="shared" si="35"/>
        <v/>
      </c>
      <c r="X85" s="13" t="str">
        <f t="shared" si="36"/>
        <v/>
      </c>
      <c r="Y85" s="9">
        <f t="shared" si="37"/>
        <v>0</v>
      </c>
    </row>
    <row r="86" spans="1:25" x14ac:dyDescent="0.25">
      <c r="A86" s="28"/>
      <c r="B86" s="29"/>
      <c r="C86" s="30"/>
      <c r="D86" s="31"/>
      <c r="E86" s="29" t="s">
        <v>16</v>
      </c>
      <c r="F86" s="13" t="b">
        <f>IF($E86=Categories!$A$1,"",IF($E86=Categories!$A$2,Categories!$B$2,IF($E86=Categories!$A$3,Categories!$B$3,IF($E86=Categories!$A$4,Categories!$B$4,IF($E86=Categories!$A$5,Categories!$B$5,IF($E86=Categories!$A$6,Categories!$B$6,IF($E86=Categories!$A$7,Categories!$B$7,IF($E86=Categories!$A$8,Categories!$B$8,IF($E86=Categories!$A$9,Categories!$B$9,IF($E86=Categories!$A$10,Categories!$B$10,IF($E86=Categories!$A$11,Categories!$B$11,IF($E86=Categories!$A$12,Categories!$B$12,IF($E86=Categories!$A$13,Categories!$B$13,IF($E86=Categories!$A$14,Categories!$B$14,IF($E86=Categories!$A$15,Categories!$B$15,IF($E86=Categories!$A$16,Categories!$B$16,IF($E86=Categories!$A$17,Categories!$B$17,IF($E86=Categories!$A$18,Categories!$B$18,IF($E86=Categories!$A$19,Categories!$B$19)))))))))))))))))))</f>
        <v>0</v>
      </c>
      <c r="G86" s="9" t="str">
        <f t="shared" si="19"/>
        <v/>
      </c>
      <c r="H86" s="1" t="str">
        <f t="shared" si="20"/>
        <v/>
      </c>
      <c r="I86" s="1" t="str">
        <f t="shared" si="21"/>
        <v/>
      </c>
      <c r="J86" s="1" t="str">
        <f t="shared" si="22"/>
        <v/>
      </c>
      <c r="K86" s="13" t="str">
        <f t="shared" si="23"/>
        <v/>
      </c>
      <c r="L86" s="9" t="str">
        <f t="shared" si="24"/>
        <v/>
      </c>
      <c r="M86" s="1" t="str">
        <f t="shared" si="25"/>
        <v/>
      </c>
      <c r="N86" s="1" t="str">
        <f t="shared" si="26"/>
        <v/>
      </c>
      <c r="O86" s="1" t="str">
        <f t="shared" si="27"/>
        <v/>
      </c>
      <c r="P86" s="1" t="str">
        <f t="shared" si="28"/>
        <v/>
      </c>
      <c r="Q86" s="1" t="str">
        <f t="shared" si="29"/>
        <v/>
      </c>
      <c r="R86" s="1" t="str">
        <f t="shared" si="30"/>
        <v/>
      </c>
      <c r="S86" s="1" t="str">
        <f t="shared" si="31"/>
        <v/>
      </c>
      <c r="T86" s="1" t="str">
        <f t="shared" si="32"/>
        <v/>
      </c>
      <c r="U86" s="1" t="str">
        <f t="shared" si="33"/>
        <v/>
      </c>
      <c r="V86" s="1" t="str">
        <f t="shared" si="34"/>
        <v/>
      </c>
      <c r="W86" s="26" t="str">
        <f t="shared" si="35"/>
        <v/>
      </c>
      <c r="X86" s="13" t="str">
        <f t="shared" si="36"/>
        <v/>
      </c>
      <c r="Y86" s="9">
        <f t="shared" si="37"/>
        <v>0</v>
      </c>
    </row>
    <row r="87" spans="1:25" x14ac:dyDescent="0.25">
      <c r="A87" s="28"/>
      <c r="B87" s="29"/>
      <c r="C87" s="30"/>
      <c r="D87" s="31"/>
      <c r="E87" s="29" t="s">
        <v>16</v>
      </c>
      <c r="F87" s="13" t="b">
        <f>IF($E87=Categories!$A$1,"",IF($E87=Categories!$A$2,Categories!$B$2,IF($E87=Categories!$A$3,Categories!$B$3,IF($E87=Categories!$A$4,Categories!$B$4,IF($E87=Categories!$A$5,Categories!$B$5,IF($E87=Categories!$A$6,Categories!$B$6,IF($E87=Categories!$A$7,Categories!$B$7,IF($E87=Categories!$A$8,Categories!$B$8,IF($E87=Categories!$A$9,Categories!$B$9,IF($E87=Categories!$A$10,Categories!$B$10,IF($E87=Categories!$A$11,Categories!$B$11,IF($E87=Categories!$A$12,Categories!$B$12,IF($E87=Categories!$A$13,Categories!$B$13,IF($E87=Categories!$A$14,Categories!$B$14,IF($E87=Categories!$A$15,Categories!$B$15,IF($E87=Categories!$A$16,Categories!$B$16,IF($E87=Categories!$A$17,Categories!$B$17,IF($E87=Categories!$A$18,Categories!$B$18,IF($E87=Categories!$A$19,Categories!$B$19)))))))))))))))))))</f>
        <v>0</v>
      </c>
      <c r="G87" s="9" t="str">
        <f t="shared" si="19"/>
        <v/>
      </c>
      <c r="H87" s="1" t="str">
        <f t="shared" si="20"/>
        <v/>
      </c>
      <c r="I87" s="1" t="str">
        <f t="shared" si="21"/>
        <v/>
      </c>
      <c r="J87" s="1" t="str">
        <f t="shared" si="22"/>
        <v/>
      </c>
      <c r="K87" s="13" t="str">
        <f t="shared" si="23"/>
        <v/>
      </c>
      <c r="L87" s="9" t="str">
        <f t="shared" si="24"/>
        <v/>
      </c>
      <c r="M87" s="1" t="str">
        <f t="shared" si="25"/>
        <v/>
      </c>
      <c r="N87" s="1" t="str">
        <f t="shared" si="26"/>
        <v/>
      </c>
      <c r="O87" s="1" t="str">
        <f t="shared" si="27"/>
        <v/>
      </c>
      <c r="P87" s="1" t="str">
        <f t="shared" si="28"/>
        <v/>
      </c>
      <c r="Q87" s="1" t="str">
        <f t="shared" si="29"/>
        <v/>
      </c>
      <c r="R87" s="1" t="str">
        <f t="shared" si="30"/>
        <v/>
      </c>
      <c r="S87" s="1" t="str">
        <f t="shared" si="31"/>
        <v/>
      </c>
      <c r="T87" s="1" t="str">
        <f t="shared" si="32"/>
        <v/>
      </c>
      <c r="U87" s="1" t="str">
        <f t="shared" si="33"/>
        <v/>
      </c>
      <c r="V87" s="1" t="str">
        <f t="shared" si="34"/>
        <v/>
      </c>
      <c r="W87" s="26" t="str">
        <f t="shared" si="35"/>
        <v/>
      </c>
      <c r="X87" s="13" t="str">
        <f t="shared" si="36"/>
        <v/>
      </c>
      <c r="Y87" s="9">
        <f t="shared" si="37"/>
        <v>0</v>
      </c>
    </row>
    <row r="88" spans="1:25" x14ac:dyDescent="0.25">
      <c r="A88" s="28"/>
      <c r="B88" s="29"/>
      <c r="C88" s="30"/>
      <c r="D88" s="31"/>
      <c r="E88" s="29" t="s">
        <v>16</v>
      </c>
      <c r="F88" s="13" t="b">
        <f>IF($E88=Categories!$A$1,"",IF($E88=Categories!$A$2,Categories!$B$2,IF($E88=Categories!$A$3,Categories!$B$3,IF($E88=Categories!$A$4,Categories!$B$4,IF($E88=Categories!$A$5,Categories!$B$5,IF($E88=Categories!$A$6,Categories!$B$6,IF($E88=Categories!$A$7,Categories!$B$7,IF($E88=Categories!$A$8,Categories!$B$8,IF($E88=Categories!$A$9,Categories!$B$9,IF($E88=Categories!$A$10,Categories!$B$10,IF($E88=Categories!$A$11,Categories!$B$11,IF($E88=Categories!$A$12,Categories!$B$12,IF($E88=Categories!$A$13,Categories!$B$13,IF($E88=Categories!$A$14,Categories!$B$14,IF($E88=Categories!$A$15,Categories!$B$15,IF($E88=Categories!$A$16,Categories!$B$16,IF($E88=Categories!$A$17,Categories!$B$17,IF($E88=Categories!$A$18,Categories!$B$18,IF($E88=Categories!$A$19,Categories!$B$19)))))))))))))))))))</f>
        <v>0</v>
      </c>
      <c r="G88" s="9" t="str">
        <f t="shared" si="19"/>
        <v/>
      </c>
      <c r="H88" s="1" t="str">
        <f t="shared" si="20"/>
        <v/>
      </c>
      <c r="I88" s="1" t="str">
        <f t="shared" si="21"/>
        <v/>
      </c>
      <c r="J88" s="1" t="str">
        <f t="shared" si="22"/>
        <v/>
      </c>
      <c r="K88" s="13" t="str">
        <f t="shared" si="23"/>
        <v/>
      </c>
      <c r="L88" s="9" t="str">
        <f t="shared" si="24"/>
        <v/>
      </c>
      <c r="M88" s="1" t="str">
        <f t="shared" si="25"/>
        <v/>
      </c>
      <c r="N88" s="1" t="str">
        <f t="shared" si="26"/>
        <v/>
      </c>
      <c r="O88" s="1" t="str">
        <f t="shared" si="27"/>
        <v/>
      </c>
      <c r="P88" s="1" t="str">
        <f t="shared" si="28"/>
        <v/>
      </c>
      <c r="Q88" s="1" t="str">
        <f t="shared" si="29"/>
        <v/>
      </c>
      <c r="R88" s="1" t="str">
        <f t="shared" si="30"/>
        <v/>
      </c>
      <c r="S88" s="1" t="str">
        <f t="shared" si="31"/>
        <v/>
      </c>
      <c r="T88" s="1" t="str">
        <f t="shared" si="32"/>
        <v/>
      </c>
      <c r="U88" s="1" t="str">
        <f t="shared" si="33"/>
        <v/>
      </c>
      <c r="V88" s="1" t="str">
        <f t="shared" si="34"/>
        <v/>
      </c>
      <c r="W88" s="26" t="str">
        <f t="shared" si="35"/>
        <v/>
      </c>
      <c r="X88" s="13" t="str">
        <f t="shared" si="36"/>
        <v/>
      </c>
      <c r="Y88" s="9">
        <f t="shared" si="37"/>
        <v>0</v>
      </c>
    </row>
    <row r="89" spans="1:25" x14ac:dyDescent="0.25">
      <c r="A89" s="28"/>
      <c r="B89" s="29"/>
      <c r="C89" s="30"/>
      <c r="D89" s="31"/>
      <c r="E89" s="29" t="s">
        <v>16</v>
      </c>
      <c r="F89" s="13" t="b">
        <f>IF($E89=Categories!$A$1,"",IF($E89=Categories!$A$2,Categories!$B$2,IF($E89=Categories!$A$3,Categories!$B$3,IF($E89=Categories!$A$4,Categories!$B$4,IF($E89=Categories!$A$5,Categories!$B$5,IF($E89=Categories!$A$6,Categories!$B$6,IF($E89=Categories!$A$7,Categories!$B$7,IF($E89=Categories!$A$8,Categories!$B$8,IF($E89=Categories!$A$9,Categories!$B$9,IF($E89=Categories!$A$10,Categories!$B$10,IF($E89=Categories!$A$11,Categories!$B$11,IF($E89=Categories!$A$12,Categories!$B$12,IF($E89=Categories!$A$13,Categories!$B$13,IF($E89=Categories!$A$14,Categories!$B$14,IF($E89=Categories!$A$15,Categories!$B$15,IF($E89=Categories!$A$16,Categories!$B$16,IF($E89=Categories!$A$17,Categories!$B$17,IF($E89=Categories!$A$18,Categories!$B$18,IF($E89=Categories!$A$19,Categories!$B$19)))))))))))))))))))</f>
        <v>0</v>
      </c>
      <c r="G89" s="9" t="str">
        <f t="shared" si="19"/>
        <v/>
      </c>
      <c r="H89" s="1" t="str">
        <f t="shared" si="20"/>
        <v/>
      </c>
      <c r="I89" s="1" t="str">
        <f t="shared" si="21"/>
        <v/>
      </c>
      <c r="J89" s="1" t="str">
        <f t="shared" si="22"/>
        <v/>
      </c>
      <c r="K89" s="13" t="str">
        <f t="shared" si="23"/>
        <v/>
      </c>
      <c r="L89" s="9" t="str">
        <f t="shared" si="24"/>
        <v/>
      </c>
      <c r="M89" s="1" t="str">
        <f t="shared" si="25"/>
        <v/>
      </c>
      <c r="N89" s="1" t="str">
        <f t="shared" si="26"/>
        <v/>
      </c>
      <c r="O89" s="1" t="str">
        <f t="shared" si="27"/>
        <v/>
      </c>
      <c r="P89" s="1" t="str">
        <f t="shared" si="28"/>
        <v/>
      </c>
      <c r="Q89" s="1" t="str">
        <f t="shared" si="29"/>
        <v/>
      </c>
      <c r="R89" s="1" t="str">
        <f t="shared" si="30"/>
        <v/>
      </c>
      <c r="S89" s="1" t="str">
        <f t="shared" si="31"/>
        <v/>
      </c>
      <c r="T89" s="1" t="str">
        <f t="shared" si="32"/>
        <v/>
      </c>
      <c r="U89" s="1" t="str">
        <f t="shared" si="33"/>
        <v/>
      </c>
      <c r="V89" s="1" t="str">
        <f t="shared" si="34"/>
        <v/>
      </c>
      <c r="W89" s="26" t="str">
        <f t="shared" si="35"/>
        <v/>
      </c>
      <c r="X89" s="13" t="str">
        <f t="shared" si="36"/>
        <v/>
      </c>
      <c r="Y89" s="9">
        <f t="shared" si="37"/>
        <v>0</v>
      </c>
    </row>
    <row r="90" spans="1:25" x14ac:dyDescent="0.25">
      <c r="A90" s="28"/>
      <c r="B90" s="29"/>
      <c r="C90" s="30"/>
      <c r="D90" s="31"/>
      <c r="E90" s="29" t="s">
        <v>16</v>
      </c>
      <c r="F90" s="13" t="b">
        <f>IF($E90=Categories!$A$1,"",IF($E90=Categories!$A$2,Categories!$B$2,IF($E90=Categories!$A$3,Categories!$B$3,IF($E90=Categories!$A$4,Categories!$B$4,IF($E90=Categories!$A$5,Categories!$B$5,IF($E90=Categories!$A$6,Categories!$B$6,IF($E90=Categories!$A$7,Categories!$B$7,IF($E90=Categories!$A$8,Categories!$B$8,IF($E90=Categories!$A$9,Categories!$B$9,IF($E90=Categories!$A$10,Categories!$B$10,IF($E90=Categories!$A$11,Categories!$B$11,IF($E90=Categories!$A$12,Categories!$B$12,IF($E90=Categories!$A$13,Categories!$B$13,IF($E90=Categories!$A$14,Categories!$B$14,IF($E90=Categories!$A$15,Categories!$B$15,IF($E90=Categories!$A$16,Categories!$B$16,IF($E90=Categories!$A$17,Categories!$B$17,IF($E90=Categories!$A$18,Categories!$B$18,IF($E90=Categories!$A$19,Categories!$B$19)))))))))))))))))))</f>
        <v>0</v>
      </c>
      <c r="G90" s="9" t="str">
        <f t="shared" si="19"/>
        <v/>
      </c>
      <c r="H90" s="1" t="str">
        <f t="shared" si="20"/>
        <v/>
      </c>
      <c r="I90" s="1" t="str">
        <f t="shared" si="21"/>
        <v/>
      </c>
      <c r="J90" s="1" t="str">
        <f t="shared" si="22"/>
        <v/>
      </c>
      <c r="K90" s="13" t="str">
        <f t="shared" si="23"/>
        <v/>
      </c>
      <c r="L90" s="9" t="str">
        <f t="shared" si="24"/>
        <v/>
      </c>
      <c r="M90" s="1" t="str">
        <f t="shared" si="25"/>
        <v/>
      </c>
      <c r="N90" s="1" t="str">
        <f t="shared" si="26"/>
        <v/>
      </c>
      <c r="O90" s="1" t="str">
        <f t="shared" si="27"/>
        <v/>
      </c>
      <c r="P90" s="1" t="str">
        <f t="shared" si="28"/>
        <v/>
      </c>
      <c r="Q90" s="1" t="str">
        <f t="shared" si="29"/>
        <v/>
      </c>
      <c r="R90" s="1" t="str">
        <f t="shared" si="30"/>
        <v/>
      </c>
      <c r="S90" s="1" t="str">
        <f t="shared" si="31"/>
        <v/>
      </c>
      <c r="T90" s="1" t="str">
        <f t="shared" si="32"/>
        <v/>
      </c>
      <c r="U90" s="1" t="str">
        <f t="shared" si="33"/>
        <v/>
      </c>
      <c r="V90" s="1" t="str">
        <f t="shared" si="34"/>
        <v/>
      </c>
      <c r="W90" s="26" t="str">
        <f t="shared" si="35"/>
        <v/>
      </c>
      <c r="X90" s="13" t="str">
        <f t="shared" si="36"/>
        <v/>
      </c>
      <c r="Y90" s="9">
        <f t="shared" si="37"/>
        <v>0</v>
      </c>
    </row>
    <row r="91" spans="1:25" x14ac:dyDescent="0.25">
      <c r="A91" s="28"/>
      <c r="B91" s="29"/>
      <c r="C91" s="30"/>
      <c r="D91" s="31"/>
      <c r="E91" s="29" t="s">
        <v>16</v>
      </c>
      <c r="F91" s="13" t="b">
        <f>IF($E91=Categories!$A$1,"",IF($E91=Categories!$A$2,Categories!$B$2,IF($E91=Categories!$A$3,Categories!$B$3,IF($E91=Categories!$A$4,Categories!$B$4,IF($E91=Categories!$A$5,Categories!$B$5,IF($E91=Categories!$A$6,Categories!$B$6,IF($E91=Categories!$A$7,Categories!$B$7,IF($E91=Categories!$A$8,Categories!$B$8,IF($E91=Categories!$A$9,Categories!$B$9,IF($E91=Categories!$A$10,Categories!$B$10,IF($E91=Categories!$A$11,Categories!$B$11,IF($E91=Categories!$A$12,Categories!$B$12,IF($E91=Categories!$A$13,Categories!$B$13,IF($E91=Categories!$A$14,Categories!$B$14,IF($E91=Categories!$A$15,Categories!$B$15,IF($E91=Categories!$A$16,Categories!$B$16,IF($E91=Categories!$A$17,Categories!$B$17,IF($E91=Categories!$A$18,Categories!$B$18,IF($E91=Categories!$A$19,Categories!$B$19)))))))))))))))))))</f>
        <v>0</v>
      </c>
      <c r="G91" s="9" t="str">
        <f t="shared" si="19"/>
        <v/>
      </c>
      <c r="H91" s="1" t="str">
        <f t="shared" si="20"/>
        <v/>
      </c>
      <c r="I91" s="1" t="str">
        <f t="shared" si="21"/>
        <v/>
      </c>
      <c r="J91" s="1" t="str">
        <f t="shared" si="22"/>
        <v/>
      </c>
      <c r="K91" s="13" t="str">
        <f t="shared" si="23"/>
        <v/>
      </c>
      <c r="L91" s="9" t="str">
        <f t="shared" si="24"/>
        <v/>
      </c>
      <c r="M91" s="1" t="str">
        <f t="shared" si="25"/>
        <v/>
      </c>
      <c r="N91" s="1" t="str">
        <f t="shared" si="26"/>
        <v/>
      </c>
      <c r="O91" s="1" t="str">
        <f t="shared" si="27"/>
        <v/>
      </c>
      <c r="P91" s="1" t="str">
        <f t="shared" si="28"/>
        <v/>
      </c>
      <c r="Q91" s="1" t="str">
        <f t="shared" si="29"/>
        <v/>
      </c>
      <c r="R91" s="1" t="str">
        <f t="shared" si="30"/>
        <v/>
      </c>
      <c r="S91" s="1" t="str">
        <f t="shared" si="31"/>
        <v/>
      </c>
      <c r="T91" s="1" t="str">
        <f t="shared" si="32"/>
        <v/>
      </c>
      <c r="U91" s="1" t="str">
        <f t="shared" si="33"/>
        <v/>
      </c>
      <c r="V91" s="1" t="str">
        <f t="shared" si="34"/>
        <v/>
      </c>
      <c r="W91" s="26" t="str">
        <f t="shared" si="35"/>
        <v/>
      </c>
      <c r="X91" s="13" t="str">
        <f t="shared" si="36"/>
        <v/>
      </c>
      <c r="Y91" s="9">
        <f t="shared" si="37"/>
        <v>0</v>
      </c>
    </row>
    <row r="92" spans="1:25" x14ac:dyDescent="0.25">
      <c r="A92" s="28"/>
      <c r="B92" s="29"/>
      <c r="C92" s="30"/>
      <c r="D92" s="31"/>
      <c r="E92" s="29" t="s">
        <v>16</v>
      </c>
      <c r="F92" s="13" t="b">
        <f>IF($E92=Categories!$A$1,"",IF($E92=Categories!$A$2,Categories!$B$2,IF($E92=Categories!$A$3,Categories!$B$3,IF($E92=Categories!$A$4,Categories!$B$4,IF($E92=Categories!$A$5,Categories!$B$5,IF($E92=Categories!$A$6,Categories!$B$6,IF($E92=Categories!$A$7,Categories!$B$7,IF($E92=Categories!$A$8,Categories!$B$8,IF($E92=Categories!$A$9,Categories!$B$9,IF($E92=Categories!$A$10,Categories!$B$10,IF($E92=Categories!$A$11,Categories!$B$11,IF($E92=Categories!$A$12,Categories!$B$12,IF($E92=Categories!$A$13,Categories!$B$13,IF($E92=Categories!$A$14,Categories!$B$14,IF($E92=Categories!$A$15,Categories!$B$15,IF($E92=Categories!$A$16,Categories!$B$16,IF($E92=Categories!$A$17,Categories!$B$17,IF($E92=Categories!$A$18,Categories!$B$18,IF($E92=Categories!$A$19,Categories!$B$19)))))))))))))))))))</f>
        <v>0</v>
      </c>
      <c r="G92" s="9" t="str">
        <f t="shared" si="19"/>
        <v/>
      </c>
      <c r="H92" s="1" t="str">
        <f t="shared" si="20"/>
        <v/>
      </c>
      <c r="I92" s="1" t="str">
        <f t="shared" si="21"/>
        <v/>
      </c>
      <c r="J92" s="1" t="str">
        <f t="shared" si="22"/>
        <v/>
      </c>
      <c r="K92" s="13" t="str">
        <f t="shared" si="23"/>
        <v/>
      </c>
      <c r="L92" s="9" t="str">
        <f t="shared" si="24"/>
        <v/>
      </c>
      <c r="M92" s="1" t="str">
        <f t="shared" si="25"/>
        <v/>
      </c>
      <c r="N92" s="1" t="str">
        <f t="shared" si="26"/>
        <v/>
      </c>
      <c r="O92" s="1" t="str">
        <f t="shared" si="27"/>
        <v/>
      </c>
      <c r="P92" s="1" t="str">
        <f t="shared" si="28"/>
        <v/>
      </c>
      <c r="Q92" s="1" t="str">
        <f t="shared" si="29"/>
        <v/>
      </c>
      <c r="R92" s="1" t="str">
        <f t="shared" si="30"/>
        <v/>
      </c>
      <c r="S92" s="1" t="str">
        <f t="shared" si="31"/>
        <v/>
      </c>
      <c r="T92" s="1" t="str">
        <f t="shared" si="32"/>
        <v/>
      </c>
      <c r="U92" s="1" t="str">
        <f t="shared" si="33"/>
        <v/>
      </c>
      <c r="V92" s="1" t="str">
        <f t="shared" si="34"/>
        <v/>
      </c>
      <c r="W92" s="26" t="str">
        <f t="shared" si="35"/>
        <v/>
      </c>
      <c r="X92" s="13" t="str">
        <f t="shared" si="36"/>
        <v/>
      </c>
      <c r="Y92" s="9">
        <f t="shared" si="37"/>
        <v>0</v>
      </c>
    </row>
    <row r="93" spans="1:25" x14ac:dyDescent="0.25">
      <c r="A93" s="28"/>
      <c r="B93" s="29"/>
      <c r="C93" s="30"/>
      <c r="D93" s="31"/>
      <c r="E93" s="29" t="s">
        <v>16</v>
      </c>
      <c r="F93" s="13" t="b">
        <f>IF($E93=Categories!$A$1,"",IF($E93=Categories!$A$2,Categories!$B$2,IF($E93=Categories!$A$3,Categories!$B$3,IF($E93=Categories!$A$4,Categories!$B$4,IF($E93=Categories!$A$5,Categories!$B$5,IF($E93=Categories!$A$6,Categories!$B$6,IF($E93=Categories!$A$7,Categories!$B$7,IF($E93=Categories!$A$8,Categories!$B$8,IF($E93=Categories!$A$9,Categories!$B$9,IF($E93=Categories!$A$10,Categories!$B$10,IF($E93=Categories!$A$11,Categories!$B$11,IF($E93=Categories!$A$12,Categories!$B$12,IF($E93=Categories!$A$13,Categories!$B$13,IF($E93=Categories!$A$14,Categories!$B$14,IF($E93=Categories!$A$15,Categories!$B$15,IF($E93=Categories!$A$16,Categories!$B$16,IF($E93=Categories!$A$17,Categories!$B$17,IF($E93=Categories!$A$18,Categories!$B$18,IF($E93=Categories!$A$19,Categories!$B$19)))))))))))))))))))</f>
        <v>0</v>
      </c>
      <c r="G93" s="9" t="str">
        <f t="shared" si="19"/>
        <v/>
      </c>
      <c r="H93" s="1" t="str">
        <f t="shared" si="20"/>
        <v/>
      </c>
      <c r="I93" s="1" t="str">
        <f t="shared" si="21"/>
        <v/>
      </c>
      <c r="J93" s="1" t="str">
        <f t="shared" si="22"/>
        <v/>
      </c>
      <c r="K93" s="13" t="str">
        <f t="shared" si="23"/>
        <v/>
      </c>
      <c r="L93" s="9" t="str">
        <f t="shared" si="24"/>
        <v/>
      </c>
      <c r="M93" s="1" t="str">
        <f t="shared" si="25"/>
        <v/>
      </c>
      <c r="N93" s="1" t="str">
        <f t="shared" si="26"/>
        <v/>
      </c>
      <c r="O93" s="1" t="str">
        <f t="shared" si="27"/>
        <v/>
      </c>
      <c r="P93" s="1" t="str">
        <f t="shared" si="28"/>
        <v/>
      </c>
      <c r="Q93" s="1" t="str">
        <f t="shared" si="29"/>
        <v/>
      </c>
      <c r="R93" s="1" t="str">
        <f t="shared" si="30"/>
        <v/>
      </c>
      <c r="S93" s="1" t="str">
        <f t="shared" si="31"/>
        <v/>
      </c>
      <c r="T93" s="1" t="str">
        <f t="shared" si="32"/>
        <v/>
      </c>
      <c r="U93" s="1" t="str">
        <f t="shared" si="33"/>
        <v/>
      </c>
      <c r="V93" s="1" t="str">
        <f t="shared" si="34"/>
        <v/>
      </c>
      <c r="W93" s="26" t="str">
        <f t="shared" si="35"/>
        <v/>
      </c>
      <c r="X93" s="13" t="str">
        <f t="shared" si="36"/>
        <v/>
      </c>
      <c r="Y93" s="9">
        <f t="shared" si="37"/>
        <v>0</v>
      </c>
    </row>
    <row r="94" spans="1:25" x14ac:dyDescent="0.25">
      <c r="A94" s="28"/>
      <c r="B94" s="29"/>
      <c r="C94" s="30"/>
      <c r="D94" s="31"/>
      <c r="E94" s="29" t="s">
        <v>16</v>
      </c>
      <c r="F94" s="13" t="b">
        <f>IF($E94=Categories!$A$1,"",IF($E94=Categories!$A$2,Categories!$B$2,IF($E94=Categories!$A$3,Categories!$B$3,IF($E94=Categories!$A$4,Categories!$B$4,IF($E94=Categories!$A$5,Categories!$B$5,IF($E94=Categories!$A$6,Categories!$B$6,IF($E94=Categories!$A$7,Categories!$B$7,IF($E94=Categories!$A$8,Categories!$B$8,IF($E94=Categories!$A$9,Categories!$B$9,IF($E94=Categories!$A$10,Categories!$B$10,IF($E94=Categories!$A$11,Categories!$B$11,IF($E94=Categories!$A$12,Categories!$B$12,IF($E94=Categories!$A$13,Categories!$B$13,IF($E94=Categories!$A$14,Categories!$B$14,IF($E94=Categories!$A$15,Categories!$B$15,IF($E94=Categories!$A$16,Categories!$B$16,IF($E94=Categories!$A$17,Categories!$B$17,IF($E94=Categories!$A$18,Categories!$B$18,IF($E94=Categories!$A$19,Categories!$B$19)))))))))))))))))))</f>
        <v>0</v>
      </c>
      <c r="G94" s="9" t="str">
        <f t="shared" si="19"/>
        <v/>
      </c>
      <c r="H94" s="1" t="str">
        <f t="shared" si="20"/>
        <v/>
      </c>
      <c r="I94" s="1" t="str">
        <f t="shared" si="21"/>
        <v/>
      </c>
      <c r="J94" s="1" t="str">
        <f t="shared" si="22"/>
        <v/>
      </c>
      <c r="K94" s="13" t="str">
        <f t="shared" si="23"/>
        <v/>
      </c>
      <c r="L94" s="9" t="str">
        <f t="shared" si="24"/>
        <v/>
      </c>
      <c r="M94" s="1" t="str">
        <f t="shared" si="25"/>
        <v/>
      </c>
      <c r="N94" s="1" t="str">
        <f t="shared" si="26"/>
        <v/>
      </c>
      <c r="O94" s="1" t="str">
        <f t="shared" si="27"/>
        <v/>
      </c>
      <c r="P94" s="1" t="str">
        <f t="shared" si="28"/>
        <v/>
      </c>
      <c r="Q94" s="1" t="str">
        <f t="shared" si="29"/>
        <v/>
      </c>
      <c r="R94" s="1" t="str">
        <f t="shared" si="30"/>
        <v/>
      </c>
      <c r="S94" s="1" t="str">
        <f t="shared" si="31"/>
        <v/>
      </c>
      <c r="T94" s="1" t="str">
        <f t="shared" si="32"/>
        <v/>
      </c>
      <c r="U94" s="1" t="str">
        <f t="shared" si="33"/>
        <v/>
      </c>
      <c r="V94" s="1" t="str">
        <f t="shared" si="34"/>
        <v/>
      </c>
      <c r="W94" s="26" t="str">
        <f t="shared" si="35"/>
        <v/>
      </c>
      <c r="X94" s="13" t="str">
        <f t="shared" si="36"/>
        <v/>
      </c>
      <c r="Y94" s="9">
        <f t="shared" si="37"/>
        <v>0</v>
      </c>
    </row>
    <row r="95" spans="1:25" x14ac:dyDescent="0.25">
      <c r="A95" s="28"/>
      <c r="B95" s="29"/>
      <c r="C95" s="30"/>
      <c r="D95" s="31"/>
      <c r="E95" s="29" t="s">
        <v>16</v>
      </c>
      <c r="F95" s="13" t="b">
        <f>IF($E95=Categories!$A$1,"",IF($E95=Categories!$A$2,Categories!$B$2,IF($E95=Categories!$A$3,Categories!$B$3,IF($E95=Categories!$A$4,Categories!$B$4,IF($E95=Categories!$A$5,Categories!$B$5,IF($E95=Categories!$A$6,Categories!$B$6,IF($E95=Categories!$A$7,Categories!$B$7,IF($E95=Categories!$A$8,Categories!$B$8,IF($E95=Categories!$A$9,Categories!$B$9,IF($E95=Categories!$A$10,Categories!$B$10,IF($E95=Categories!$A$11,Categories!$B$11,IF($E95=Categories!$A$12,Categories!$B$12,IF($E95=Categories!$A$13,Categories!$B$13,IF($E95=Categories!$A$14,Categories!$B$14,IF($E95=Categories!$A$15,Categories!$B$15,IF($E95=Categories!$A$16,Categories!$B$16,IF($E95=Categories!$A$17,Categories!$B$17,IF($E95=Categories!$A$18,Categories!$B$18,IF($E95=Categories!$A$19,Categories!$B$19)))))))))))))))))))</f>
        <v>0</v>
      </c>
      <c r="G95" s="9" t="str">
        <f t="shared" si="19"/>
        <v/>
      </c>
      <c r="H95" s="1" t="str">
        <f t="shared" si="20"/>
        <v/>
      </c>
      <c r="I95" s="1" t="str">
        <f t="shared" si="21"/>
        <v/>
      </c>
      <c r="J95" s="1" t="str">
        <f t="shared" si="22"/>
        <v/>
      </c>
      <c r="K95" s="13" t="str">
        <f t="shared" si="23"/>
        <v/>
      </c>
      <c r="L95" s="9" t="str">
        <f t="shared" si="24"/>
        <v/>
      </c>
      <c r="M95" s="1" t="str">
        <f t="shared" si="25"/>
        <v/>
      </c>
      <c r="N95" s="1" t="str">
        <f t="shared" si="26"/>
        <v/>
      </c>
      <c r="O95" s="1" t="str">
        <f t="shared" si="27"/>
        <v/>
      </c>
      <c r="P95" s="1" t="str">
        <f t="shared" si="28"/>
        <v/>
      </c>
      <c r="Q95" s="1" t="str">
        <f t="shared" si="29"/>
        <v/>
      </c>
      <c r="R95" s="1" t="str">
        <f t="shared" si="30"/>
        <v/>
      </c>
      <c r="S95" s="1" t="str">
        <f t="shared" si="31"/>
        <v/>
      </c>
      <c r="T95" s="1" t="str">
        <f t="shared" si="32"/>
        <v/>
      </c>
      <c r="U95" s="1" t="str">
        <f t="shared" si="33"/>
        <v/>
      </c>
      <c r="V95" s="1" t="str">
        <f t="shared" si="34"/>
        <v/>
      </c>
      <c r="W95" s="26" t="str">
        <f t="shared" si="35"/>
        <v/>
      </c>
      <c r="X95" s="13" t="str">
        <f t="shared" si="36"/>
        <v/>
      </c>
      <c r="Y95" s="9">
        <f t="shared" si="37"/>
        <v>0</v>
      </c>
    </row>
    <row r="96" spans="1:25" x14ac:dyDescent="0.25">
      <c r="A96" s="11"/>
      <c r="B96" s="16" t="s">
        <v>30</v>
      </c>
      <c r="C96" s="11"/>
      <c r="D96" s="11"/>
      <c r="E96" s="11"/>
      <c r="F96" s="21"/>
      <c r="G96" s="18">
        <f>SUM(G6:G95)</f>
        <v>0</v>
      </c>
      <c r="H96" s="18">
        <f t="shared" ref="H96:X96" si="38">SUM(H6:H95)</f>
        <v>0</v>
      </c>
      <c r="I96" s="18">
        <f t="shared" si="38"/>
        <v>0</v>
      </c>
      <c r="J96" s="18">
        <f t="shared" si="38"/>
        <v>0</v>
      </c>
      <c r="K96" s="19">
        <f t="shared" si="38"/>
        <v>0</v>
      </c>
      <c r="L96" s="20">
        <f t="shared" si="38"/>
        <v>0</v>
      </c>
      <c r="M96" s="18">
        <f t="shared" si="38"/>
        <v>0</v>
      </c>
      <c r="N96" s="18">
        <f t="shared" si="38"/>
        <v>0</v>
      </c>
      <c r="O96" s="18">
        <f t="shared" si="38"/>
        <v>0</v>
      </c>
      <c r="P96" s="18">
        <f t="shared" si="38"/>
        <v>0</v>
      </c>
      <c r="Q96" s="18">
        <f t="shared" si="38"/>
        <v>0</v>
      </c>
      <c r="R96" s="18">
        <f t="shared" si="38"/>
        <v>0</v>
      </c>
      <c r="S96" s="18">
        <f t="shared" si="38"/>
        <v>0</v>
      </c>
      <c r="T96" s="18">
        <f t="shared" si="38"/>
        <v>0</v>
      </c>
      <c r="U96" s="18">
        <f t="shared" si="38"/>
        <v>0</v>
      </c>
      <c r="V96" s="18">
        <f t="shared" si="38"/>
        <v>0</v>
      </c>
      <c r="W96" s="18">
        <f t="shared" si="38"/>
        <v>0</v>
      </c>
      <c r="X96" s="18">
        <f t="shared" si="38"/>
        <v>0</v>
      </c>
      <c r="Y96" s="18"/>
    </row>
  </sheetData>
  <mergeCells count="1">
    <mergeCell ref="A4:E4"/>
  </mergeCells>
  <printOptions gridLines="1"/>
  <pageMargins left="0.23622047244094491" right="0.23622047244094491" top="0.74803149606299213" bottom="0.74803149606299213" header="0.31496062992125984" footer="0.31496062992125984"/>
  <pageSetup paperSize="9" scale="50" fitToHeight="2" orientation="landscape" r:id="rId1"/>
  <extLst>
    <ext xmlns:x14="http://schemas.microsoft.com/office/spreadsheetml/2009/9/main" uri="{CCE6A557-97BC-4b89-ADB6-D9C93CAAB3DF}">
      <x14:dataValidations xmlns:xm="http://schemas.microsoft.com/office/excel/2006/main" count="1">
        <x14:dataValidation type="list" allowBlank="1" showErrorMessage="1" xr:uid="{00000000-0002-0000-0D00-000000000000}">
          <x14:formula1>
            <xm:f>Categories!$A$1:$A$19</xm:f>
          </x14:formula1>
          <xm:sqref>E6:E95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Y96"/>
  <sheetViews>
    <sheetView zoomScaleNormal="100" workbookViewId="0">
      <pane xSplit="6" ySplit="5" topLeftCell="G6" activePane="bottomRight" state="frozen"/>
      <selection activeCell="B78" sqref="B78"/>
      <selection pane="topRight" activeCell="B78" sqref="B78"/>
      <selection pane="bottomLeft" activeCell="B78" sqref="B78"/>
      <selection pane="bottomRight" activeCell="B78" sqref="B78"/>
    </sheetView>
  </sheetViews>
  <sheetFormatPr defaultRowHeight="15" x14ac:dyDescent="0.25"/>
  <cols>
    <col min="1" max="1" width="10.7109375" bestFit="1" customWidth="1"/>
    <col min="2" max="2" width="13.7109375" customWidth="1"/>
    <col min="3" max="3" width="12" customWidth="1"/>
    <col min="5" max="5" width="15.28515625" customWidth="1"/>
    <col min="6" max="6" width="12.7109375" hidden="1" customWidth="1"/>
    <col min="7" max="25" width="11.7109375" customWidth="1"/>
  </cols>
  <sheetData>
    <row r="1" spans="1:25" ht="23.25" x14ac:dyDescent="0.35">
      <c r="A1" s="3" t="s">
        <v>40</v>
      </c>
      <c r="D1" s="8" t="str">
        <f>Instructions!C3</f>
        <v>Lucy's Tailored Tails</v>
      </c>
      <c r="Y1" s="9"/>
    </row>
    <row r="2" spans="1:25" ht="15" customHeight="1" x14ac:dyDescent="0.35">
      <c r="A2" s="3"/>
      <c r="D2" s="8"/>
      <c r="Y2" s="9"/>
    </row>
    <row r="3" spans="1:25" x14ac:dyDescent="0.25">
      <c r="R3" t="s">
        <v>0</v>
      </c>
      <c r="Y3" s="9">
        <f>IF(Instructions!C7="January",Instructions!C6,Dec!Y95)</f>
        <v>0</v>
      </c>
    </row>
    <row r="4" spans="1:25" x14ac:dyDescent="0.25">
      <c r="A4" s="39" t="s">
        <v>111</v>
      </c>
      <c r="B4" s="40"/>
      <c r="C4" s="40"/>
      <c r="D4" s="40"/>
      <c r="E4" s="41"/>
      <c r="F4" s="12"/>
      <c r="G4" s="17" t="s">
        <v>31</v>
      </c>
      <c r="H4" s="11"/>
      <c r="I4" s="11"/>
      <c r="J4" s="11"/>
      <c r="K4" s="12"/>
      <c r="L4" s="17" t="s">
        <v>33</v>
      </c>
      <c r="M4" s="11"/>
      <c r="N4" s="11"/>
      <c r="O4" s="11"/>
      <c r="P4" s="11"/>
      <c r="Q4" s="11"/>
      <c r="R4" s="11"/>
      <c r="S4" s="11"/>
      <c r="T4" s="11"/>
      <c r="U4" s="11"/>
      <c r="V4" s="11"/>
      <c r="W4" s="21"/>
      <c r="X4" s="12"/>
      <c r="Y4" s="10"/>
    </row>
    <row r="5" spans="1:25" ht="30" x14ac:dyDescent="0.25">
      <c r="A5" s="34" t="s">
        <v>1</v>
      </c>
      <c r="B5" s="35" t="s">
        <v>39</v>
      </c>
      <c r="C5" s="34" t="s">
        <v>2</v>
      </c>
      <c r="D5" s="34" t="s">
        <v>3</v>
      </c>
      <c r="E5" s="34" t="s">
        <v>105</v>
      </c>
      <c r="F5" s="12"/>
      <c r="G5" s="10" t="str">
        <f>Categories!A2</f>
        <v>Shop Sales</v>
      </c>
      <c r="H5" s="11" t="str">
        <f>Categories!A3</f>
        <v>Income 2</v>
      </c>
      <c r="I5" s="11" t="str">
        <f>Categories!A4</f>
        <v>Income 3</v>
      </c>
      <c r="J5" s="11" t="str">
        <f>Categories!A5</f>
        <v>Income 4</v>
      </c>
      <c r="K5" s="12" t="str">
        <f>Categories!A6</f>
        <v>Income 5</v>
      </c>
      <c r="L5" s="10" t="str">
        <f>Categories!A7</f>
        <v>Website Fees</v>
      </c>
      <c r="M5" s="11" t="str">
        <f>Categories!A8</f>
        <v>Exp 2</v>
      </c>
      <c r="N5" s="11" t="str">
        <f>Categories!A9</f>
        <v>Exp 3</v>
      </c>
      <c r="O5" s="11" t="str">
        <f>Categories!A10</f>
        <v>Exp 4</v>
      </c>
      <c r="P5" s="11" t="str">
        <f>Categories!A11</f>
        <v>Exp 5</v>
      </c>
      <c r="Q5" s="11" t="str">
        <f>Categories!A12</f>
        <v>Exp 6</v>
      </c>
      <c r="R5" s="11" t="str">
        <f>Categories!A13</f>
        <v>Exp 7</v>
      </c>
      <c r="S5" s="11" t="str">
        <f>Categories!A14</f>
        <v>Exp 8</v>
      </c>
      <c r="T5" s="11" t="str">
        <f>Categories!A15</f>
        <v>Exp 9</v>
      </c>
      <c r="U5" s="11" t="str">
        <f>Categories!A16</f>
        <v>Exp 10</v>
      </c>
      <c r="V5" s="11" t="str">
        <f>Categories!A17</f>
        <v>Exp 11</v>
      </c>
      <c r="W5" s="21" t="str">
        <f>Categories!A18</f>
        <v>Exp 12</v>
      </c>
      <c r="X5" s="12" t="str">
        <f>Categories!A19</f>
        <v>Exp 13</v>
      </c>
      <c r="Y5" s="10" t="s">
        <v>4</v>
      </c>
    </row>
    <row r="6" spans="1:25" x14ac:dyDescent="0.25">
      <c r="A6" s="28"/>
      <c r="B6" s="29"/>
      <c r="C6" s="30"/>
      <c r="D6" s="31"/>
      <c r="E6" s="29" t="s">
        <v>16</v>
      </c>
      <c r="F6" s="13" t="b">
        <f>IF($E6=Categories!$A$1,"",IF($E6=Categories!$A$2,Categories!$B$2,IF($E6=Categories!$A$3,Categories!$B$3,IF($E6=Categories!$A$4,Categories!$B$4,IF($E6=Categories!$A$5,Categories!$B$5,IF($E6=Categories!$A$6,Categories!$B$6,IF($E6=Categories!$A$7,Categories!$B$7,IF($E6=Categories!$A$8,Categories!$B$8,IF($E6=Categories!$A$9,Categories!$B$9,IF($E6=Categories!$A$10,Categories!$B$10,IF($E6=Categories!$A$11,Categories!$B$11,IF($E6=Categories!$A$12,Categories!$B$12,IF($E6=Categories!$A$13,Categories!$B$13,IF($E6=Categories!$A$14,Categories!$B$14,IF($E6=Categories!$A$15,Categories!$B$15,IF($E6=Categories!$A$16,Categories!$B$16,IF($E6=Categories!$A$17,Categories!$B$17,IF($E6=Categories!$A$18,Categories!$B$18,IF($E6=Categories!$A$19,Categories!$B$19)))))))))))))))))))</f>
        <v>0</v>
      </c>
      <c r="G6" s="9" t="str">
        <f>IF($F6="Inc1",$D6,"")</f>
        <v/>
      </c>
      <c r="H6" s="1" t="str">
        <f>IF($F6="Inc2",$D6,"")</f>
        <v/>
      </c>
      <c r="I6" s="1" t="str">
        <f>IF($F6="Int",$D6,"")</f>
        <v/>
      </c>
      <c r="J6" s="1" t="str">
        <f>IF($F6="Inc4",$D6,"")</f>
        <v/>
      </c>
      <c r="K6" s="13" t="str">
        <f>IF($F6="Inc5",$D6,"")</f>
        <v/>
      </c>
      <c r="L6" s="9" t="str">
        <f>IF($F6="ExpA",$D6,"")</f>
        <v/>
      </c>
      <c r="M6" s="1" t="str">
        <f>IF($F6="ExpB",$D6,"")</f>
        <v/>
      </c>
      <c r="N6" s="1" t="str">
        <f>IF($F6="ExpC",$D6,"")</f>
        <v/>
      </c>
      <c r="O6" s="1" t="str">
        <f>IF($F6="ExpD",$D6,"")</f>
        <v/>
      </c>
      <c r="P6" s="1" t="str">
        <f>IF($F6="ExpE",$D6,"")</f>
        <v/>
      </c>
      <c r="Q6" s="1" t="str">
        <f>IF($F6="ExpF",$D6,"")</f>
        <v/>
      </c>
      <c r="R6" s="1" t="str">
        <f>IF($F6="ExpG",$D6,"")</f>
        <v/>
      </c>
      <c r="S6" s="1" t="str">
        <f>IF($F6="ExpH",$D6,"")</f>
        <v/>
      </c>
      <c r="T6" s="1" t="str">
        <f>IF($F6="ExpI",$D6,"")</f>
        <v/>
      </c>
      <c r="U6" s="1" t="str">
        <f>IF($F6="ExpJ",$D6,"")</f>
        <v/>
      </c>
      <c r="V6" s="1" t="str">
        <f>IF($F6="ExpK",$D6,"")</f>
        <v/>
      </c>
      <c r="W6" s="26" t="str">
        <f>IF($F6="ExpL",$D6,"")</f>
        <v/>
      </c>
      <c r="X6" s="13" t="str">
        <f>IF($F6="Expm",$D6,"")</f>
        <v/>
      </c>
      <c r="Y6" s="9">
        <f>$Y$3+SUM(G6:K6)-SUM(L6:X6)</f>
        <v>0</v>
      </c>
    </row>
    <row r="7" spans="1:25" x14ac:dyDescent="0.25">
      <c r="A7" s="28"/>
      <c r="B7" s="29"/>
      <c r="C7" s="30"/>
      <c r="D7" s="31"/>
      <c r="E7" s="29" t="s">
        <v>16</v>
      </c>
      <c r="F7" s="13" t="b">
        <f>IF($E7=Categories!$A$1,"",IF($E7=Categories!$A$2,Categories!$B$2,IF($E7=Categories!$A$3,Categories!$B$3,IF($E7=Categories!$A$4,Categories!$B$4,IF($E7=Categories!$A$5,Categories!$B$5,IF($E7=Categories!$A$6,Categories!$B$6,IF($E7=Categories!$A$7,Categories!$B$7,IF($E7=Categories!$A$8,Categories!$B$8,IF($E7=Categories!$A$9,Categories!$B$9,IF($E7=Categories!$A$10,Categories!$B$10,IF($E7=Categories!$A$11,Categories!$B$11,IF($E7=Categories!$A$12,Categories!$B$12,IF($E7=Categories!$A$13,Categories!$B$13,IF($E7=Categories!$A$14,Categories!$B$14,IF($E7=Categories!$A$15,Categories!$B$15,IF($E7=Categories!$A$16,Categories!$B$16,IF($E7=Categories!$A$17,Categories!$B$17,IF($E7=Categories!$A$18,Categories!$B$18,IF($E7=Categories!$A$19,Categories!$B$19)))))))))))))))))))</f>
        <v>0</v>
      </c>
      <c r="G7" s="9" t="str">
        <f t="shared" ref="G7:G70" si="0">IF($F7="Inc1",$D7,"")</f>
        <v/>
      </c>
      <c r="H7" s="1" t="str">
        <f t="shared" ref="H7:H70" si="1">IF($F7="Inc2",$D7,"")</f>
        <v/>
      </c>
      <c r="I7" s="1" t="str">
        <f t="shared" ref="I7:I70" si="2">IF($F7="Int",$D7,"")</f>
        <v/>
      </c>
      <c r="J7" s="1" t="str">
        <f t="shared" ref="J7:J70" si="3">IF($F7="Inc4",$D7,"")</f>
        <v/>
      </c>
      <c r="K7" s="13" t="str">
        <f t="shared" ref="K7:K70" si="4">IF($F7="Inc5",$D7,"")</f>
        <v/>
      </c>
      <c r="L7" s="9" t="str">
        <f t="shared" ref="L7:L46" si="5">IF($F7="ExpA",$D7,"")</f>
        <v/>
      </c>
      <c r="M7" s="1" t="str">
        <f t="shared" ref="M7:M70" si="6">IF($F7="ExpB",$D7,"")</f>
        <v/>
      </c>
      <c r="N7" s="1" t="str">
        <f t="shared" ref="N7:N70" si="7">IF($F7="ExpC",$D7,"")</f>
        <v/>
      </c>
      <c r="O7" s="1" t="str">
        <f t="shared" ref="O7:O70" si="8">IF($F7="ExpD",$D7,"")</f>
        <v/>
      </c>
      <c r="P7" s="1" t="str">
        <f t="shared" ref="P7:P70" si="9">IF($F7="ExpE",$D7,"")</f>
        <v/>
      </c>
      <c r="Q7" s="1" t="str">
        <f t="shared" ref="Q7:Q70" si="10">IF($F7="ExpF",$D7,"")</f>
        <v/>
      </c>
      <c r="R7" s="1" t="str">
        <f t="shared" ref="R7:R70" si="11">IF($F7="ExpG",$D7,"")</f>
        <v/>
      </c>
      <c r="S7" s="1" t="str">
        <f t="shared" ref="S7:S70" si="12">IF($F7="ExpH",$D7,"")</f>
        <v/>
      </c>
      <c r="T7" s="1" t="str">
        <f t="shared" ref="T7:T70" si="13">IF($F7="ExpI",$D7,"")</f>
        <v/>
      </c>
      <c r="U7" s="1" t="str">
        <f t="shared" ref="U7:U70" si="14">IF($F7="ExpJ",$D7,"")</f>
        <v/>
      </c>
      <c r="V7" s="1" t="str">
        <f t="shared" ref="V7:V70" si="15">IF($F7="ExpK",$D7,"")</f>
        <v/>
      </c>
      <c r="W7" s="26" t="str">
        <f t="shared" ref="W7:W70" si="16">IF($F7="ExpL",$D7,"")</f>
        <v/>
      </c>
      <c r="X7" s="13" t="str">
        <f t="shared" ref="X7:X70" si="17">IF($F7="Expm",$D7,"")</f>
        <v/>
      </c>
      <c r="Y7" s="9">
        <f>Y6+SUM(G7:K7)-SUM(L7:X7)</f>
        <v>0</v>
      </c>
    </row>
    <row r="8" spans="1:25" x14ac:dyDescent="0.25">
      <c r="A8" s="28"/>
      <c r="B8" s="29"/>
      <c r="C8" s="30"/>
      <c r="D8" s="31"/>
      <c r="E8" s="29" t="s">
        <v>16</v>
      </c>
      <c r="F8" s="13" t="b">
        <f>IF($E8=Categories!$A$1,"",IF($E8=Categories!$A$2,Categories!$B$2,IF($E8=Categories!$A$3,Categories!$B$3,IF($E8=Categories!$A$4,Categories!$B$4,IF($E8=Categories!$A$5,Categories!$B$5,IF($E8=Categories!$A$6,Categories!$B$6,IF($E8=Categories!$A$7,Categories!$B$7,IF($E8=Categories!$A$8,Categories!$B$8,IF($E8=Categories!$A$9,Categories!$B$9,IF($E8=Categories!$A$10,Categories!$B$10,IF($E8=Categories!$A$11,Categories!$B$11,IF($E8=Categories!$A$12,Categories!$B$12,IF($E8=Categories!$A$13,Categories!$B$13,IF($E8=Categories!$A$14,Categories!$B$14,IF($E8=Categories!$A$15,Categories!$B$15,IF($E8=Categories!$A$16,Categories!$B$16,IF($E8=Categories!$A$17,Categories!$B$17,IF($E8=Categories!$A$18,Categories!$B$18,IF($E8=Categories!$A$19,Categories!$B$19)))))))))))))))))))</f>
        <v>0</v>
      </c>
      <c r="G8" s="9" t="str">
        <f t="shared" si="0"/>
        <v/>
      </c>
      <c r="H8" s="1" t="str">
        <f t="shared" si="1"/>
        <v/>
      </c>
      <c r="I8" s="1" t="str">
        <f t="shared" si="2"/>
        <v/>
      </c>
      <c r="J8" s="1" t="str">
        <f t="shared" si="3"/>
        <v/>
      </c>
      <c r="K8" s="13" t="str">
        <f t="shared" si="4"/>
        <v/>
      </c>
      <c r="L8" s="9" t="str">
        <f t="shared" si="5"/>
        <v/>
      </c>
      <c r="M8" s="1" t="str">
        <f t="shared" si="6"/>
        <v/>
      </c>
      <c r="N8" s="1" t="str">
        <f t="shared" si="7"/>
        <v/>
      </c>
      <c r="O8" s="1" t="str">
        <f t="shared" si="8"/>
        <v/>
      </c>
      <c r="P8" s="1" t="str">
        <f t="shared" si="9"/>
        <v/>
      </c>
      <c r="Q8" s="1" t="str">
        <f t="shared" si="10"/>
        <v/>
      </c>
      <c r="R8" s="1" t="str">
        <f t="shared" si="11"/>
        <v/>
      </c>
      <c r="S8" s="1" t="str">
        <f t="shared" si="12"/>
        <v/>
      </c>
      <c r="T8" s="1" t="str">
        <f t="shared" si="13"/>
        <v/>
      </c>
      <c r="U8" s="1" t="str">
        <f t="shared" si="14"/>
        <v/>
      </c>
      <c r="V8" s="1" t="str">
        <f t="shared" si="15"/>
        <v/>
      </c>
      <c r="W8" s="26" t="str">
        <f t="shared" si="16"/>
        <v/>
      </c>
      <c r="X8" s="13" t="str">
        <f t="shared" si="17"/>
        <v/>
      </c>
      <c r="Y8" s="9">
        <f t="shared" ref="Y8:Y71" si="18">Y7+SUM(G8:K8)-SUM(L8:X8)</f>
        <v>0</v>
      </c>
    </row>
    <row r="9" spans="1:25" x14ac:dyDescent="0.25">
      <c r="A9" s="28"/>
      <c r="B9" s="29"/>
      <c r="C9" s="30"/>
      <c r="D9" s="31"/>
      <c r="E9" s="29" t="s">
        <v>16</v>
      </c>
      <c r="F9" s="13" t="b">
        <f>IF($E9=Categories!$A$1,"",IF($E9=Categories!$A$2,Categories!$B$2,IF($E9=Categories!$A$3,Categories!$B$3,IF($E9=Categories!$A$4,Categories!$B$4,IF($E9=Categories!$A$5,Categories!$B$5,IF($E9=Categories!$A$6,Categories!$B$6,IF($E9=Categories!$A$7,Categories!$B$7,IF($E9=Categories!$A$8,Categories!$B$8,IF($E9=Categories!$A$9,Categories!$B$9,IF($E9=Categories!$A$10,Categories!$B$10,IF($E9=Categories!$A$11,Categories!$B$11,IF($E9=Categories!$A$12,Categories!$B$12,IF($E9=Categories!$A$13,Categories!$B$13,IF($E9=Categories!$A$14,Categories!$B$14,IF($E9=Categories!$A$15,Categories!$B$15,IF($E9=Categories!$A$16,Categories!$B$16,IF($E9=Categories!$A$17,Categories!$B$17,IF($E9=Categories!$A$18,Categories!$B$18,IF($E9=Categories!$A$19,Categories!$B$19)))))))))))))))))))</f>
        <v>0</v>
      </c>
      <c r="G9" s="9" t="str">
        <f t="shared" si="0"/>
        <v/>
      </c>
      <c r="H9" s="1" t="str">
        <f t="shared" si="1"/>
        <v/>
      </c>
      <c r="I9" s="1" t="str">
        <f t="shared" si="2"/>
        <v/>
      </c>
      <c r="J9" s="1" t="str">
        <f t="shared" si="3"/>
        <v/>
      </c>
      <c r="K9" s="13" t="str">
        <f t="shared" si="4"/>
        <v/>
      </c>
      <c r="L9" s="9" t="str">
        <f t="shared" si="5"/>
        <v/>
      </c>
      <c r="M9" s="1" t="str">
        <f t="shared" si="6"/>
        <v/>
      </c>
      <c r="N9" s="1" t="str">
        <f t="shared" si="7"/>
        <v/>
      </c>
      <c r="O9" s="1" t="str">
        <f t="shared" si="8"/>
        <v/>
      </c>
      <c r="P9" s="1" t="str">
        <f t="shared" si="9"/>
        <v/>
      </c>
      <c r="Q9" s="1" t="str">
        <f t="shared" si="10"/>
        <v/>
      </c>
      <c r="R9" s="1" t="str">
        <f t="shared" si="11"/>
        <v/>
      </c>
      <c r="S9" s="1" t="str">
        <f t="shared" si="12"/>
        <v/>
      </c>
      <c r="T9" s="1" t="str">
        <f t="shared" si="13"/>
        <v/>
      </c>
      <c r="U9" s="1" t="str">
        <f t="shared" si="14"/>
        <v/>
      </c>
      <c r="V9" s="1" t="str">
        <f t="shared" si="15"/>
        <v/>
      </c>
      <c r="W9" s="26" t="str">
        <f t="shared" si="16"/>
        <v/>
      </c>
      <c r="X9" s="13" t="str">
        <f t="shared" si="17"/>
        <v/>
      </c>
      <c r="Y9" s="9">
        <f t="shared" si="18"/>
        <v>0</v>
      </c>
    </row>
    <row r="10" spans="1:25" x14ac:dyDescent="0.25">
      <c r="A10" s="28"/>
      <c r="B10" s="29"/>
      <c r="C10" s="30"/>
      <c r="D10" s="31"/>
      <c r="E10" s="29" t="s">
        <v>16</v>
      </c>
      <c r="F10" s="13" t="b">
        <f>IF($E10=Categories!$A$1,"",IF($E10=Categories!$A$2,Categories!$B$2,IF($E10=Categories!$A$3,Categories!$B$3,IF($E10=Categories!$A$4,Categories!$B$4,IF($E10=Categories!$A$5,Categories!$B$5,IF($E10=Categories!$A$6,Categories!$B$6,IF($E10=Categories!$A$7,Categories!$B$7,IF($E10=Categories!$A$8,Categories!$B$8,IF($E10=Categories!$A$9,Categories!$B$9,IF($E10=Categories!$A$10,Categories!$B$10,IF($E10=Categories!$A$11,Categories!$B$11,IF($E10=Categories!$A$12,Categories!$B$12,IF($E10=Categories!$A$13,Categories!$B$13,IF($E10=Categories!$A$14,Categories!$B$14,IF($E10=Categories!$A$15,Categories!$B$15,IF($E10=Categories!$A$16,Categories!$B$16,IF($E10=Categories!$A$17,Categories!$B$17,IF($E10=Categories!$A$18,Categories!$B$18,IF($E10=Categories!$A$19,Categories!$B$19)))))))))))))))))))</f>
        <v>0</v>
      </c>
      <c r="G10" s="9" t="str">
        <f t="shared" si="0"/>
        <v/>
      </c>
      <c r="H10" s="1" t="str">
        <f t="shared" si="1"/>
        <v/>
      </c>
      <c r="I10" s="1" t="str">
        <f t="shared" si="2"/>
        <v/>
      </c>
      <c r="J10" s="1" t="str">
        <f t="shared" si="3"/>
        <v/>
      </c>
      <c r="K10" s="13" t="str">
        <f t="shared" si="4"/>
        <v/>
      </c>
      <c r="L10" s="9" t="str">
        <f t="shared" si="5"/>
        <v/>
      </c>
      <c r="M10" s="1" t="str">
        <f t="shared" si="6"/>
        <v/>
      </c>
      <c r="N10" s="1" t="str">
        <f t="shared" si="7"/>
        <v/>
      </c>
      <c r="O10" s="1" t="str">
        <f t="shared" si="8"/>
        <v/>
      </c>
      <c r="P10" s="1" t="str">
        <f t="shared" si="9"/>
        <v/>
      </c>
      <c r="Q10" s="1" t="str">
        <f t="shared" si="10"/>
        <v/>
      </c>
      <c r="R10" s="1" t="str">
        <f t="shared" si="11"/>
        <v/>
      </c>
      <c r="S10" s="1" t="str">
        <f t="shared" si="12"/>
        <v/>
      </c>
      <c r="T10" s="1" t="str">
        <f t="shared" si="13"/>
        <v/>
      </c>
      <c r="U10" s="1" t="str">
        <f t="shared" si="14"/>
        <v/>
      </c>
      <c r="V10" s="1" t="str">
        <f t="shared" si="15"/>
        <v/>
      </c>
      <c r="W10" s="26" t="str">
        <f t="shared" si="16"/>
        <v/>
      </c>
      <c r="X10" s="13" t="str">
        <f t="shared" si="17"/>
        <v/>
      </c>
      <c r="Y10" s="9">
        <f t="shared" si="18"/>
        <v>0</v>
      </c>
    </row>
    <row r="11" spans="1:25" x14ac:dyDescent="0.25">
      <c r="A11" s="28"/>
      <c r="B11" s="29"/>
      <c r="C11" s="30"/>
      <c r="D11" s="31"/>
      <c r="E11" s="29" t="s">
        <v>16</v>
      </c>
      <c r="F11" s="13" t="b">
        <f>IF($E11=Categories!$A$1,"",IF($E11=Categories!$A$2,Categories!$B$2,IF($E11=Categories!$A$3,Categories!$B$3,IF($E11=Categories!$A$4,Categories!$B$4,IF($E11=Categories!$A$5,Categories!$B$5,IF($E11=Categories!$A$6,Categories!$B$6,IF($E11=Categories!$A$7,Categories!$B$7,IF($E11=Categories!$A$8,Categories!$B$8,IF($E11=Categories!$A$9,Categories!$B$9,IF($E11=Categories!$A$10,Categories!$B$10,IF($E11=Categories!$A$11,Categories!$B$11,IF($E11=Categories!$A$12,Categories!$B$12,IF($E11=Categories!$A$13,Categories!$B$13,IF($E11=Categories!$A$14,Categories!$B$14,IF($E11=Categories!$A$15,Categories!$B$15,IF($E11=Categories!$A$16,Categories!$B$16,IF($E11=Categories!$A$17,Categories!$B$17,IF($E11=Categories!$A$18,Categories!$B$18,IF($E11=Categories!$A$19,Categories!$B$19)))))))))))))))))))</f>
        <v>0</v>
      </c>
      <c r="G11" s="9" t="str">
        <f t="shared" si="0"/>
        <v/>
      </c>
      <c r="H11" s="1" t="str">
        <f t="shared" si="1"/>
        <v/>
      </c>
      <c r="I11" s="1" t="str">
        <f t="shared" si="2"/>
        <v/>
      </c>
      <c r="J11" s="1" t="str">
        <f t="shared" si="3"/>
        <v/>
      </c>
      <c r="K11" s="13" t="str">
        <f t="shared" si="4"/>
        <v/>
      </c>
      <c r="L11" s="9" t="str">
        <f t="shared" si="5"/>
        <v/>
      </c>
      <c r="M11" s="1" t="str">
        <f t="shared" si="6"/>
        <v/>
      </c>
      <c r="N11" s="1" t="str">
        <f t="shared" si="7"/>
        <v/>
      </c>
      <c r="O11" s="1" t="str">
        <f t="shared" si="8"/>
        <v/>
      </c>
      <c r="P11" s="1" t="str">
        <f t="shared" si="9"/>
        <v/>
      </c>
      <c r="Q11" s="1" t="str">
        <f t="shared" si="10"/>
        <v/>
      </c>
      <c r="R11" s="1" t="str">
        <f t="shared" si="11"/>
        <v/>
      </c>
      <c r="S11" s="1" t="str">
        <f t="shared" si="12"/>
        <v/>
      </c>
      <c r="T11" s="1" t="str">
        <f t="shared" si="13"/>
        <v/>
      </c>
      <c r="U11" s="1" t="str">
        <f t="shared" si="14"/>
        <v/>
      </c>
      <c r="V11" s="1" t="str">
        <f t="shared" si="15"/>
        <v/>
      </c>
      <c r="W11" s="26" t="str">
        <f t="shared" si="16"/>
        <v/>
      </c>
      <c r="X11" s="13" t="str">
        <f t="shared" si="17"/>
        <v/>
      </c>
      <c r="Y11" s="9">
        <f t="shared" si="18"/>
        <v>0</v>
      </c>
    </row>
    <row r="12" spans="1:25" x14ac:dyDescent="0.25">
      <c r="A12" s="28"/>
      <c r="B12" s="29"/>
      <c r="C12" s="30"/>
      <c r="D12" s="31"/>
      <c r="E12" s="29" t="s">
        <v>16</v>
      </c>
      <c r="F12" s="13" t="b">
        <f>IF($E12=Categories!$A$1,"",IF($E12=Categories!$A$2,Categories!$B$2,IF($E12=Categories!$A$3,Categories!$B$3,IF($E12=Categories!$A$4,Categories!$B$4,IF($E12=Categories!$A$5,Categories!$B$5,IF($E12=Categories!$A$6,Categories!$B$6,IF($E12=Categories!$A$7,Categories!$B$7,IF($E12=Categories!$A$8,Categories!$B$8,IF($E12=Categories!$A$9,Categories!$B$9,IF($E12=Categories!$A$10,Categories!$B$10,IF($E12=Categories!$A$11,Categories!$B$11,IF($E12=Categories!$A$12,Categories!$B$12,IF($E12=Categories!$A$13,Categories!$B$13,IF($E12=Categories!$A$14,Categories!$B$14,IF($E12=Categories!$A$15,Categories!$B$15,IF($E12=Categories!$A$16,Categories!$B$16,IF($E12=Categories!$A$17,Categories!$B$17,IF($E12=Categories!$A$18,Categories!$B$18,IF($E12=Categories!$A$19,Categories!$B$19)))))))))))))))))))</f>
        <v>0</v>
      </c>
      <c r="G12" s="9" t="str">
        <f t="shared" si="0"/>
        <v/>
      </c>
      <c r="H12" s="1" t="str">
        <f t="shared" si="1"/>
        <v/>
      </c>
      <c r="I12" s="1" t="str">
        <f t="shared" si="2"/>
        <v/>
      </c>
      <c r="J12" s="1" t="str">
        <f t="shared" si="3"/>
        <v/>
      </c>
      <c r="K12" s="13" t="str">
        <f t="shared" si="4"/>
        <v/>
      </c>
      <c r="L12" s="9" t="str">
        <f t="shared" si="5"/>
        <v/>
      </c>
      <c r="M12" s="1" t="str">
        <f t="shared" si="6"/>
        <v/>
      </c>
      <c r="N12" s="1" t="str">
        <f t="shared" si="7"/>
        <v/>
      </c>
      <c r="O12" s="1" t="str">
        <f t="shared" si="8"/>
        <v/>
      </c>
      <c r="P12" s="1" t="str">
        <f t="shared" si="9"/>
        <v/>
      </c>
      <c r="Q12" s="1" t="str">
        <f t="shared" si="10"/>
        <v/>
      </c>
      <c r="R12" s="1" t="str">
        <f t="shared" si="11"/>
        <v/>
      </c>
      <c r="S12" s="1" t="str">
        <f t="shared" si="12"/>
        <v/>
      </c>
      <c r="T12" s="1" t="str">
        <f t="shared" si="13"/>
        <v/>
      </c>
      <c r="U12" s="1" t="str">
        <f t="shared" si="14"/>
        <v/>
      </c>
      <c r="V12" s="1" t="str">
        <f t="shared" si="15"/>
        <v/>
      </c>
      <c r="W12" s="26" t="str">
        <f t="shared" si="16"/>
        <v/>
      </c>
      <c r="X12" s="13" t="str">
        <f t="shared" si="17"/>
        <v/>
      </c>
      <c r="Y12" s="9">
        <f t="shared" si="18"/>
        <v>0</v>
      </c>
    </row>
    <row r="13" spans="1:25" x14ac:dyDescent="0.25">
      <c r="A13" s="28"/>
      <c r="B13" s="29"/>
      <c r="C13" s="30"/>
      <c r="D13" s="31"/>
      <c r="E13" s="29" t="s">
        <v>16</v>
      </c>
      <c r="F13" s="13" t="b">
        <f>IF($E13=Categories!$A$1,"",IF($E13=Categories!$A$2,Categories!$B$2,IF($E13=Categories!$A$3,Categories!$B$3,IF($E13=Categories!$A$4,Categories!$B$4,IF($E13=Categories!$A$5,Categories!$B$5,IF($E13=Categories!$A$6,Categories!$B$6,IF($E13=Categories!$A$7,Categories!$B$7,IF($E13=Categories!$A$8,Categories!$B$8,IF($E13=Categories!$A$9,Categories!$B$9,IF($E13=Categories!$A$10,Categories!$B$10,IF($E13=Categories!$A$11,Categories!$B$11,IF($E13=Categories!$A$12,Categories!$B$12,IF($E13=Categories!$A$13,Categories!$B$13,IF($E13=Categories!$A$14,Categories!$B$14,IF($E13=Categories!$A$15,Categories!$B$15,IF($E13=Categories!$A$16,Categories!$B$16,IF($E13=Categories!$A$17,Categories!$B$17,IF($E13=Categories!$A$18,Categories!$B$18,IF($E13=Categories!$A$19,Categories!$B$19)))))))))))))))))))</f>
        <v>0</v>
      </c>
      <c r="G13" s="9" t="str">
        <f t="shared" si="0"/>
        <v/>
      </c>
      <c r="H13" s="1" t="str">
        <f t="shared" si="1"/>
        <v/>
      </c>
      <c r="I13" s="1" t="str">
        <f t="shared" si="2"/>
        <v/>
      </c>
      <c r="J13" s="1" t="str">
        <f t="shared" si="3"/>
        <v/>
      </c>
      <c r="K13" s="13" t="str">
        <f t="shared" si="4"/>
        <v/>
      </c>
      <c r="L13" s="9" t="str">
        <f t="shared" si="5"/>
        <v/>
      </c>
      <c r="M13" s="1" t="str">
        <f t="shared" si="6"/>
        <v/>
      </c>
      <c r="N13" s="1" t="str">
        <f t="shared" si="7"/>
        <v/>
      </c>
      <c r="O13" s="1" t="str">
        <f t="shared" si="8"/>
        <v/>
      </c>
      <c r="P13" s="1" t="str">
        <f t="shared" si="9"/>
        <v/>
      </c>
      <c r="Q13" s="1" t="str">
        <f t="shared" si="10"/>
        <v/>
      </c>
      <c r="R13" s="1" t="str">
        <f t="shared" si="11"/>
        <v/>
      </c>
      <c r="S13" s="1" t="str">
        <f t="shared" si="12"/>
        <v/>
      </c>
      <c r="T13" s="1" t="str">
        <f t="shared" si="13"/>
        <v/>
      </c>
      <c r="U13" s="1" t="str">
        <f t="shared" si="14"/>
        <v/>
      </c>
      <c r="V13" s="1" t="str">
        <f t="shared" si="15"/>
        <v/>
      </c>
      <c r="W13" s="26" t="str">
        <f t="shared" si="16"/>
        <v/>
      </c>
      <c r="X13" s="13" t="str">
        <f t="shared" si="17"/>
        <v/>
      </c>
      <c r="Y13" s="9">
        <f t="shared" si="18"/>
        <v>0</v>
      </c>
    </row>
    <row r="14" spans="1:25" x14ac:dyDescent="0.25">
      <c r="A14" s="28"/>
      <c r="B14" s="29"/>
      <c r="C14" s="30"/>
      <c r="D14" s="31"/>
      <c r="E14" s="29" t="s">
        <v>16</v>
      </c>
      <c r="F14" s="13" t="b">
        <f>IF($E14=Categories!$A$1,"",IF($E14=Categories!$A$2,Categories!$B$2,IF($E14=Categories!$A$3,Categories!$B$3,IF($E14=Categories!$A$4,Categories!$B$4,IF($E14=Categories!$A$5,Categories!$B$5,IF($E14=Categories!$A$6,Categories!$B$6,IF($E14=Categories!$A$7,Categories!$B$7,IF($E14=Categories!$A$8,Categories!$B$8,IF($E14=Categories!$A$9,Categories!$B$9,IF($E14=Categories!$A$10,Categories!$B$10,IF($E14=Categories!$A$11,Categories!$B$11,IF($E14=Categories!$A$12,Categories!$B$12,IF($E14=Categories!$A$13,Categories!$B$13,IF($E14=Categories!$A$14,Categories!$B$14,IF($E14=Categories!$A$15,Categories!$B$15,IF($E14=Categories!$A$16,Categories!$B$16,IF($E14=Categories!$A$17,Categories!$B$17,IF($E14=Categories!$A$18,Categories!$B$18,IF($E14=Categories!$A$19,Categories!$B$19)))))))))))))))))))</f>
        <v>0</v>
      </c>
      <c r="G14" s="9" t="str">
        <f t="shared" si="0"/>
        <v/>
      </c>
      <c r="H14" s="1" t="str">
        <f t="shared" si="1"/>
        <v/>
      </c>
      <c r="I14" s="1" t="str">
        <f t="shared" si="2"/>
        <v/>
      </c>
      <c r="J14" s="1" t="str">
        <f t="shared" si="3"/>
        <v/>
      </c>
      <c r="K14" s="13" t="str">
        <f t="shared" si="4"/>
        <v/>
      </c>
      <c r="L14" s="9" t="str">
        <f t="shared" si="5"/>
        <v/>
      </c>
      <c r="M14" s="1" t="str">
        <f t="shared" si="6"/>
        <v/>
      </c>
      <c r="N14" s="1" t="str">
        <f t="shared" si="7"/>
        <v/>
      </c>
      <c r="O14" s="1" t="str">
        <f t="shared" si="8"/>
        <v/>
      </c>
      <c r="P14" s="1" t="str">
        <f t="shared" si="9"/>
        <v/>
      </c>
      <c r="Q14" s="1" t="str">
        <f t="shared" si="10"/>
        <v/>
      </c>
      <c r="R14" s="1" t="str">
        <f t="shared" si="11"/>
        <v/>
      </c>
      <c r="S14" s="1" t="str">
        <f t="shared" si="12"/>
        <v/>
      </c>
      <c r="T14" s="1" t="str">
        <f t="shared" si="13"/>
        <v/>
      </c>
      <c r="U14" s="1" t="str">
        <f t="shared" si="14"/>
        <v/>
      </c>
      <c r="V14" s="1" t="str">
        <f t="shared" si="15"/>
        <v/>
      </c>
      <c r="W14" s="26" t="str">
        <f t="shared" si="16"/>
        <v/>
      </c>
      <c r="X14" s="13" t="str">
        <f t="shared" si="17"/>
        <v/>
      </c>
      <c r="Y14" s="9">
        <f t="shared" si="18"/>
        <v>0</v>
      </c>
    </row>
    <row r="15" spans="1:25" x14ac:dyDescent="0.25">
      <c r="A15" s="28"/>
      <c r="B15" s="29"/>
      <c r="C15" s="30"/>
      <c r="D15" s="31"/>
      <c r="E15" s="29" t="s">
        <v>16</v>
      </c>
      <c r="F15" s="13" t="b">
        <f>IF($E15=Categories!$A$1,"",IF($E15=Categories!$A$2,Categories!$B$2,IF($E15=Categories!$A$3,Categories!$B$3,IF($E15=Categories!$A$4,Categories!$B$4,IF($E15=Categories!$A$5,Categories!$B$5,IF($E15=Categories!$A$6,Categories!$B$6,IF($E15=Categories!$A$7,Categories!$B$7,IF($E15=Categories!$A$8,Categories!$B$8,IF($E15=Categories!$A$9,Categories!$B$9,IF($E15=Categories!$A$10,Categories!$B$10,IF($E15=Categories!$A$11,Categories!$B$11,IF($E15=Categories!$A$12,Categories!$B$12,IF($E15=Categories!$A$13,Categories!$B$13,IF($E15=Categories!$A$14,Categories!$B$14,IF($E15=Categories!$A$15,Categories!$B$15,IF($E15=Categories!$A$16,Categories!$B$16,IF($E15=Categories!$A$17,Categories!$B$17,IF($E15=Categories!$A$18,Categories!$B$18,IF($E15=Categories!$A$19,Categories!$B$19)))))))))))))))))))</f>
        <v>0</v>
      </c>
      <c r="G15" s="9" t="str">
        <f t="shared" si="0"/>
        <v/>
      </c>
      <c r="H15" s="1" t="str">
        <f t="shared" si="1"/>
        <v/>
      </c>
      <c r="I15" s="1" t="str">
        <f t="shared" si="2"/>
        <v/>
      </c>
      <c r="J15" s="1" t="str">
        <f t="shared" si="3"/>
        <v/>
      </c>
      <c r="K15" s="13" t="str">
        <f t="shared" si="4"/>
        <v/>
      </c>
      <c r="L15" s="9" t="str">
        <f t="shared" si="5"/>
        <v/>
      </c>
      <c r="M15" s="1" t="str">
        <f t="shared" si="6"/>
        <v/>
      </c>
      <c r="N15" s="1" t="str">
        <f t="shared" si="7"/>
        <v/>
      </c>
      <c r="O15" s="1" t="str">
        <f t="shared" si="8"/>
        <v/>
      </c>
      <c r="P15" s="1" t="str">
        <f t="shared" si="9"/>
        <v/>
      </c>
      <c r="Q15" s="1" t="str">
        <f t="shared" si="10"/>
        <v/>
      </c>
      <c r="R15" s="1" t="str">
        <f t="shared" si="11"/>
        <v/>
      </c>
      <c r="S15" s="1" t="str">
        <f t="shared" si="12"/>
        <v/>
      </c>
      <c r="T15" s="1" t="str">
        <f t="shared" si="13"/>
        <v/>
      </c>
      <c r="U15" s="1" t="str">
        <f t="shared" si="14"/>
        <v/>
      </c>
      <c r="V15" s="1" t="str">
        <f t="shared" si="15"/>
        <v/>
      </c>
      <c r="W15" s="26" t="str">
        <f t="shared" si="16"/>
        <v/>
      </c>
      <c r="X15" s="13" t="str">
        <f t="shared" si="17"/>
        <v/>
      </c>
      <c r="Y15" s="9">
        <f t="shared" si="18"/>
        <v>0</v>
      </c>
    </row>
    <row r="16" spans="1:25" x14ac:dyDescent="0.25">
      <c r="A16" s="28"/>
      <c r="B16" s="29"/>
      <c r="C16" s="30"/>
      <c r="D16" s="31"/>
      <c r="E16" s="29" t="s">
        <v>16</v>
      </c>
      <c r="F16" s="13" t="b">
        <f>IF($E16=Categories!$A$1,"",IF($E16=Categories!$A$2,Categories!$B$2,IF($E16=Categories!$A$3,Categories!$B$3,IF($E16=Categories!$A$4,Categories!$B$4,IF($E16=Categories!$A$5,Categories!$B$5,IF($E16=Categories!$A$6,Categories!$B$6,IF($E16=Categories!$A$7,Categories!$B$7,IF($E16=Categories!$A$8,Categories!$B$8,IF($E16=Categories!$A$9,Categories!$B$9,IF($E16=Categories!$A$10,Categories!$B$10,IF($E16=Categories!$A$11,Categories!$B$11,IF($E16=Categories!$A$12,Categories!$B$12,IF($E16=Categories!$A$13,Categories!$B$13,IF($E16=Categories!$A$14,Categories!$B$14,IF($E16=Categories!$A$15,Categories!$B$15,IF($E16=Categories!$A$16,Categories!$B$16,IF($E16=Categories!$A$17,Categories!$B$17,IF($E16=Categories!$A$18,Categories!$B$18,IF($E16=Categories!$A$19,Categories!$B$19)))))))))))))))))))</f>
        <v>0</v>
      </c>
      <c r="G16" s="9" t="str">
        <f t="shared" si="0"/>
        <v/>
      </c>
      <c r="H16" s="1" t="str">
        <f t="shared" si="1"/>
        <v/>
      </c>
      <c r="I16" s="1" t="str">
        <f t="shared" si="2"/>
        <v/>
      </c>
      <c r="J16" s="1" t="str">
        <f t="shared" si="3"/>
        <v/>
      </c>
      <c r="K16" s="13" t="str">
        <f t="shared" si="4"/>
        <v/>
      </c>
      <c r="L16" s="9" t="str">
        <f t="shared" si="5"/>
        <v/>
      </c>
      <c r="M16" s="1" t="str">
        <f t="shared" si="6"/>
        <v/>
      </c>
      <c r="N16" s="1" t="str">
        <f t="shared" si="7"/>
        <v/>
      </c>
      <c r="O16" s="1" t="str">
        <f t="shared" si="8"/>
        <v/>
      </c>
      <c r="P16" s="1" t="str">
        <f t="shared" si="9"/>
        <v/>
      </c>
      <c r="Q16" s="1" t="str">
        <f t="shared" si="10"/>
        <v/>
      </c>
      <c r="R16" s="1" t="str">
        <f t="shared" si="11"/>
        <v/>
      </c>
      <c r="S16" s="1" t="str">
        <f t="shared" si="12"/>
        <v/>
      </c>
      <c r="T16" s="1" t="str">
        <f t="shared" si="13"/>
        <v/>
      </c>
      <c r="U16" s="1" t="str">
        <f t="shared" si="14"/>
        <v/>
      </c>
      <c r="V16" s="1" t="str">
        <f t="shared" si="15"/>
        <v/>
      </c>
      <c r="W16" s="26" t="str">
        <f t="shared" si="16"/>
        <v/>
      </c>
      <c r="X16" s="13" t="str">
        <f t="shared" si="17"/>
        <v/>
      </c>
      <c r="Y16" s="9">
        <f t="shared" si="18"/>
        <v>0</v>
      </c>
    </row>
    <row r="17" spans="1:25" x14ac:dyDescent="0.25">
      <c r="A17" s="28"/>
      <c r="B17" s="29"/>
      <c r="C17" s="30"/>
      <c r="D17" s="31"/>
      <c r="E17" s="29" t="s">
        <v>16</v>
      </c>
      <c r="F17" s="13" t="b">
        <f>IF($E17=Categories!$A$1,"",IF($E17=Categories!$A$2,Categories!$B$2,IF($E17=Categories!$A$3,Categories!$B$3,IF($E17=Categories!$A$4,Categories!$B$4,IF($E17=Categories!$A$5,Categories!$B$5,IF($E17=Categories!$A$6,Categories!$B$6,IF($E17=Categories!$A$7,Categories!$B$7,IF($E17=Categories!$A$8,Categories!$B$8,IF($E17=Categories!$A$9,Categories!$B$9,IF($E17=Categories!$A$10,Categories!$B$10,IF($E17=Categories!$A$11,Categories!$B$11,IF($E17=Categories!$A$12,Categories!$B$12,IF($E17=Categories!$A$13,Categories!$B$13,IF($E17=Categories!$A$14,Categories!$B$14,IF($E17=Categories!$A$15,Categories!$B$15,IF($E17=Categories!$A$16,Categories!$B$16,IF($E17=Categories!$A$17,Categories!$B$17,IF($E17=Categories!$A$18,Categories!$B$18,IF($E17=Categories!$A$19,Categories!$B$19)))))))))))))))))))</f>
        <v>0</v>
      </c>
      <c r="G17" s="9" t="str">
        <f t="shared" si="0"/>
        <v/>
      </c>
      <c r="H17" s="1" t="str">
        <f t="shared" si="1"/>
        <v/>
      </c>
      <c r="I17" s="1" t="str">
        <f t="shared" si="2"/>
        <v/>
      </c>
      <c r="J17" s="1" t="str">
        <f t="shared" si="3"/>
        <v/>
      </c>
      <c r="K17" s="13" t="str">
        <f t="shared" si="4"/>
        <v/>
      </c>
      <c r="L17" s="9" t="str">
        <f t="shared" si="5"/>
        <v/>
      </c>
      <c r="M17" s="1" t="str">
        <f t="shared" si="6"/>
        <v/>
      </c>
      <c r="N17" s="1" t="str">
        <f t="shared" si="7"/>
        <v/>
      </c>
      <c r="O17" s="1" t="str">
        <f t="shared" si="8"/>
        <v/>
      </c>
      <c r="P17" s="1" t="str">
        <f t="shared" si="9"/>
        <v/>
      </c>
      <c r="Q17" s="1" t="str">
        <f t="shared" si="10"/>
        <v/>
      </c>
      <c r="R17" s="1" t="str">
        <f t="shared" si="11"/>
        <v/>
      </c>
      <c r="S17" s="1" t="str">
        <f t="shared" si="12"/>
        <v/>
      </c>
      <c r="T17" s="1" t="str">
        <f t="shared" si="13"/>
        <v/>
      </c>
      <c r="U17" s="1" t="str">
        <f t="shared" si="14"/>
        <v/>
      </c>
      <c r="V17" s="1" t="str">
        <f t="shared" si="15"/>
        <v/>
      </c>
      <c r="W17" s="26" t="str">
        <f t="shared" si="16"/>
        <v/>
      </c>
      <c r="X17" s="13" t="str">
        <f t="shared" si="17"/>
        <v/>
      </c>
      <c r="Y17" s="9">
        <f t="shared" si="18"/>
        <v>0</v>
      </c>
    </row>
    <row r="18" spans="1:25" x14ac:dyDescent="0.25">
      <c r="A18" s="28"/>
      <c r="B18" s="29"/>
      <c r="C18" s="30"/>
      <c r="D18" s="31"/>
      <c r="E18" s="29" t="s">
        <v>16</v>
      </c>
      <c r="F18" s="13" t="b">
        <f>IF($E18=Categories!$A$1,"",IF($E18=Categories!$A$2,Categories!$B$2,IF($E18=Categories!$A$3,Categories!$B$3,IF($E18=Categories!$A$4,Categories!$B$4,IF($E18=Categories!$A$5,Categories!$B$5,IF($E18=Categories!$A$6,Categories!$B$6,IF($E18=Categories!$A$7,Categories!$B$7,IF($E18=Categories!$A$8,Categories!$B$8,IF($E18=Categories!$A$9,Categories!$B$9,IF($E18=Categories!$A$10,Categories!$B$10,IF($E18=Categories!$A$11,Categories!$B$11,IF($E18=Categories!$A$12,Categories!$B$12,IF($E18=Categories!$A$13,Categories!$B$13,IF($E18=Categories!$A$14,Categories!$B$14,IF($E18=Categories!$A$15,Categories!$B$15,IF($E18=Categories!$A$16,Categories!$B$16,IF($E18=Categories!$A$17,Categories!$B$17,IF($E18=Categories!$A$18,Categories!$B$18,IF($E18=Categories!$A$19,Categories!$B$19)))))))))))))))))))</f>
        <v>0</v>
      </c>
      <c r="G18" s="9" t="str">
        <f t="shared" si="0"/>
        <v/>
      </c>
      <c r="H18" s="1" t="str">
        <f t="shared" si="1"/>
        <v/>
      </c>
      <c r="I18" s="1" t="str">
        <f t="shared" si="2"/>
        <v/>
      </c>
      <c r="J18" s="1" t="str">
        <f t="shared" si="3"/>
        <v/>
      </c>
      <c r="K18" s="13" t="str">
        <f t="shared" si="4"/>
        <v/>
      </c>
      <c r="L18" s="9" t="str">
        <f t="shared" si="5"/>
        <v/>
      </c>
      <c r="M18" s="1" t="str">
        <f t="shared" si="6"/>
        <v/>
      </c>
      <c r="N18" s="1" t="str">
        <f t="shared" si="7"/>
        <v/>
      </c>
      <c r="O18" s="1" t="str">
        <f t="shared" si="8"/>
        <v/>
      </c>
      <c r="P18" s="1" t="str">
        <f t="shared" si="9"/>
        <v/>
      </c>
      <c r="Q18" s="1" t="str">
        <f t="shared" si="10"/>
        <v/>
      </c>
      <c r="R18" s="1" t="str">
        <f t="shared" si="11"/>
        <v/>
      </c>
      <c r="S18" s="1" t="str">
        <f t="shared" si="12"/>
        <v/>
      </c>
      <c r="T18" s="1" t="str">
        <f t="shared" si="13"/>
        <v/>
      </c>
      <c r="U18" s="1" t="str">
        <f t="shared" si="14"/>
        <v/>
      </c>
      <c r="V18" s="1" t="str">
        <f t="shared" si="15"/>
        <v/>
      </c>
      <c r="W18" s="26" t="str">
        <f t="shared" si="16"/>
        <v/>
      </c>
      <c r="X18" s="13" t="str">
        <f t="shared" si="17"/>
        <v/>
      </c>
      <c r="Y18" s="9">
        <f t="shared" si="18"/>
        <v>0</v>
      </c>
    </row>
    <row r="19" spans="1:25" x14ac:dyDescent="0.25">
      <c r="A19" s="28"/>
      <c r="B19" s="29"/>
      <c r="C19" s="30"/>
      <c r="D19" s="31"/>
      <c r="E19" s="29" t="s">
        <v>16</v>
      </c>
      <c r="F19" s="13" t="b">
        <f>IF($E19=Categories!$A$1,"",IF($E19=Categories!$A$2,Categories!$B$2,IF($E19=Categories!$A$3,Categories!$B$3,IF($E19=Categories!$A$4,Categories!$B$4,IF($E19=Categories!$A$5,Categories!$B$5,IF($E19=Categories!$A$6,Categories!$B$6,IF($E19=Categories!$A$7,Categories!$B$7,IF($E19=Categories!$A$8,Categories!$B$8,IF($E19=Categories!$A$9,Categories!$B$9,IF($E19=Categories!$A$10,Categories!$B$10,IF($E19=Categories!$A$11,Categories!$B$11,IF($E19=Categories!$A$12,Categories!$B$12,IF($E19=Categories!$A$13,Categories!$B$13,IF($E19=Categories!$A$14,Categories!$B$14,IF($E19=Categories!$A$15,Categories!$B$15,IF($E19=Categories!$A$16,Categories!$B$16,IF($E19=Categories!$A$17,Categories!$B$17,IF($E19=Categories!$A$18,Categories!$B$18,IF($E19=Categories!$A$19,Categories!$B$19)))))))))))))))))))</f>
        <v>0</v>
      </c>
      <c r="G19" s="9" t="str">
        <f t="shared" si="0"/>
        <v/>
      </c>
      <c r="H19" s="1" t="str">
        <f t="shared" si="1"/>
        <v/>
      </c>
      <c r="I19" s="1" t="str">
        <f t="shared" si="2"/>
        <v/>
      </c>
      <c r="J19" s="1" t="str">
        <f t="shared" si="3"/>
        <v/>
      </c>
      <c r="K19" s="13" t="str">
        <f t="shared" si="4"/>
        <v/>
      </c>
      <c r="L19" s="9" t="str">
        <f t="shared" si="5"/>
        <v/>
      </c>
      <c r="M19" s="1" t="str">
        <f t="shared" si="6"/>
        <v/>
      </c>
      <c r="N19" s="1" t="str">
        <f t="shared" si="7"/>
        <v/>
      </c>
      <c r="O19" s="1" t="str">
        <f t="shared" si="8"/>
        <v/>
      </c>
      <c r="P19" s="1" t="str">
        <f t="shared" si="9"/>
        <v/>
      </c>
      <c r="Q19" s="1" t="str">
        <f t="shared" si="10"/>
        <v/>
      </c>
      <c r="R19" s="1" t="str">
        <f t="shared" si="11"/>
        <v/>
      </c>
      <c r="S19" s="1" t="str">
        <f t="shared" si="12"/>
        <v/>
      </c>
      <c r="T19" s="1" t="str">
        <f t="shared" si="13"/>
        <v/>
      </c>
      <c r="U19" s="1" t="str">
        <f t="shared" si="14"/>
        <v/>
      </c>
      <c r="V19" s="1" t="str">
        <f t="shared" si="15"/>
        <v/>
      </c>
      <c r="W19" s="26" t="str">
        <f t="shared" si="16"/>
        <v/>
      </c>
      <c r="X19" s="13" t="str">
        <f t="shared" si="17"/>
        <v/>
      </c>
      <c r="Y19" s="9">
        <f t="shared" si="18"/>
        <v>0</v>
      </c>
    </row>
    <row r="20" spans="1:25" x14ac:dyDescent="0.25">
      <c r="A20" s="28"/>
      <c r="B20" s="29"/>
      <c r="C20" s="30"/>
      <c r="D20" s="31"/>
      <c r="E20" s="29" t="s">
        <v>16</v>
      </c>
      <c r="F20" s="13" t="b">
        <f>IF($E20=Categories!$A$1,"",IF($E20=Categories!$A$2,Categories!$B$2,IF($E20=Categories!$A$3,Categories!$B$3,IF($E20=Categories!$A$4,Categories!$B$4,IF($E20=Categories!$A$5,Categories!$B$5,IF($E20=Categories!$A$6,Categories!$B$6,IF($E20=Categories!$A$7,Categories!$B$7,IF($E20=Categories!$A$8,Categories!$B$8,IF($E20=Categories!$A$9,Categories!$B$9,IF($E20=Categories!$A$10,Categories!$B$10,IF($E20=Categories!$A$11,Categories!$B$11,IF($E20=Categories!$A$12,Categories!$B$12,IF($E20=Categories!$A$13,Categories!$B$13,IF($E20=Categories!$A$14,Categories!$B$14,IF($E20=Categories!$A$15,Categories!$B$15,IF($E20=Categories!$A$16,Categories!$B$16,IF($E20=Categories!$A$17,Categories!$B$17,IF($E20=Categories!$A$18,Categories!$B$18,IF($E20=Categories!$A$19,Categories!$B$19)))))))))))))))))))</f>
        <v>0</v>
      </c>
      <c r="G20" s="9" t="str">
        <f t="shared" si="0"/>
        <v/>
      </c>
      <c r="H20" s="1" t="str">
        <f t="shared" si="1"/>
        <v/>
      </c>
      <c r="I20" s="1" t="str">
        <f t="shared" si="2"/>
        <v/>
      </c>
      <c r="J20" s="1" t="str">
        <f t="shared" si="3"/>
        <v/>
      </c>
      <c r="K20" s="13" t="str">
        <f t="shared" si="4"/>
        <v/>
      </c>
      <c r="L20" s="9" t="str">
        <f t="shared" si="5"/>
        <v/>
      </c>
      <c r="M20" s="1" t="str">
        <f t="shared" si="6"/>
        <v/>
      </c>
      <c r="N20" s="1" t="str">
        <f t="shared" si="7"/>
        <v/>
      </c>
      <c r="O20" s="1" t="str">
        <f t="shared" si="8"/>
        <v/>
      </c>
      <c r="P20" s="1" t="str">
        <f t="shared" si="9"/>
        <v/>
      </c>
      <c r="Q20" s="1" t="str">
        <f t="shared" si="10"/>
        <v/>
      </c>
      <c r="R20" s="1" t="str">
        <f t="shared" si="11"/>
        <v/>
      </c>
      <c r="S20" s="1" t="str">
        <f t="shared" si="12"/>
        <v/>
      </c>
      <c r="T20" s="1" t="str">
        <f t="shared" si="13"/>
        <v/>
      </c>
      <c r="U20" s="1" t="str">
        <f t="shared" si="14"/>
        <v/>
      </c>
      <c r="V20" s="1" t="str">
        <f t="shared" si="15"/>
        <v/>
      </c>
      <c r="W20" s="26" t="str">
        <f t="shared" si="16"/>
        <v/>
      </c>
      <c r="X20" s="13" t="str">
        <f t="shared" si="17"/>
        <v/>
      </c>
      <c r="Y20" s="9">
        <f t="shared" si="18"/>
        <v>0</v>
      </c>
    </row>
    <row r="21" spans="1:25" x14ac:dyDescent="0.25">
      <c r="A21" s="28"/>
      <c r="B21" s="29"/>
      <c r="C21" s="30"/>
      <c r="D21" s="31"/>
      <c r="E21" s="29" t="s">
        <v>16</v>
      </c>
      <c r="F21" s="13" t="b">
        <f>IF($E21=Categories!$A$1,"",IF($E21=Categories!$A$2,Categories!$B$2,IF($E21=Categories!$A$3,Categories!$B$3,IF($E21=Categories!$A$4,Categories!$B$4,IF($E21=Categories!$A$5,Categories!$B$5,IF($E21=Categories!$A$6,Categories!$B$6,IF($E21=Categories!$A$7,Categories!$B$7,IF($E21=Categories!$A$8,Categories!$B$8,IF($E21=Categories!$A$9,Categories!$B$9,IF($E21=Categories!$A$10,Categories!$B$10,IF($E21=Categories!$A$11,Categories!$B$11,IF($E21=Categories!$A$12,Categories!$B$12,IF($E21=Categories!$A$13,Categories!$B$13,IF($E21=Categories!$A$14,Categories!$B$14,IF($E21=Categories!$A$15,Categories!$B$15,IF($E21=Categories!$A$16,Categories!$B$16,IF($E21=Categories!$A$17,Categories!$B$17,IF($E21=Categories!$A$18,Categories!$B$18,IF($E21=Categories!$A$19,Categories!$B$19)))))))))))))))))))</f>
        <v>0</v>
      </c>
      <c r="G21" s="9" t="str">
        <f t="shared" si="0"/>
        <v/>
      </c>
      <c r="H21" s="1" t="str">
        <f t="shared" si="1"/>
        <v/>
      </c>
      <c r="I21" s="1" t="str">
        <f t="shared" si="2"/>
        <v/>
      </c>
      <c r="J21" s="1" t="str">
        <f t="shared" si="3"/>
        <v/>
      </c>
      <c r="K21" s="13" t="str">
        <f t="shared" si="4"/>
        <v/>
      </c>
      <c r="L21" s="9" t="str">
        <f t="shared" si="5"/>
        <v/>
      </c>
      <c r="M21" s="1" t="str">
        <f t="shared" si="6"/>
        <v/>
      </c>
      <c r="N21" s="1" t="str">
        <f t="shared" si="7"/>
        <v/>
      </c>
      <c r="O21" s="1" t="str">
        <f t="shared" si="8"/>
        <v/>
      </c>
      <c r="P21" s="1" t="str">
        <f t="shared" si="9"/>
        <v/>
      </c>
      <c r="Q21" s="1" t="str">
        <f t="shared" si="10"/>
        <v/>
      </c>
      <c r="R21" s="1" t="str">
        <f t="shared" si="11"/>
        <v/>
      </c>
      <c r="S21" s="1" t="str">
        <f t="shared" si="12"/>
        <v/>
      </c>
      <c r="T21" s="1" t="str">
        <f t="shared" si="13"/>
        <v/>
      </c>
      <c r="U21" s="1" t="str">
        <f t="shared" si="14"/>
        <v/>
      </c>
      <c r="V21" s="1" t="str">
        <f t="shared" si="15"/>
        <v/>
      </c>
      <c r="W21" s="26" t="str">
        <f t="shared" si="16"/>
        <v/>
      </c>
      <c r="X21" s="13" t="str">
        <f t="shared" si="17"/>
        <v/>
      </c>
      <c r="Y21" s="9">
        <f t="shared" si="18"/>
        <v>0</v>
      </c>
    </row>
    <row r="22" spans="1:25" x14ac:dyDescent="0.25">
      <c r="A22" s="28"/>
      <c r="B22" s="29"/>
      <c r="C22" s="30"/>
      <c r="D22" s="31"/>
      <c r="E22" s="29" t="s">
        <v>16</v>
      </c>
      <c r="F22" s="13" t="b">
        <f>IF($E22=Categories!$A$1,"",IF($E22=Categories!$A$2,Categories!$B$2,IF($E22=Categories!$A$3,Categories!$B$3,IF($E22=Categories!$A$4,Categories!$B$4,IF($E22=Categories!$A$5,Categories!$B$5,IF($E22=Categories!$A$6,Categories!$B$6,IF($E22=Categories!$A$7,Categories!$B$7,IF($E22=Categories!$A$8,Categories!$B$8,IF($E22=Categories!$A$9,Categories!$B$9,IF($E22=Categories!$A$10,Categories!$B$10,IF($E22=Categories!$A$11,Categories!$B$11,IF($E22=Categories!$A$12,Categories!$B$12,IF($E22=Categories!$A$13,Categories!$B$13,IF($E22=Categories!$A$14,Categories!$B$14,IF($E22=Categories!$A$15,Categories!$B$15,IF($E22=Categories!$A$16,Categories!$B$16,IF($E22=Categories!$A$17,Categories!$B$17,IF($E22=Categories!$A$18,Categories!$B$18,IF($E22=Categories!$A$19,Categories!$B$19)))))))))))))))))))</f>
        <v>0</v>
      </c>
      <c r="G22" s="9" t="str">
        <f t="shared" si="0"/>
        <v/>
      </c>
      <c r="H22" s="1" t="str">
        <f t="shared" si="1"/>
        <v/>
      </c>
      <c r="I22" s="1" t="str">
        <f t="shared" si="2"/>
        <v/>
      </c>
      <c r="J22" s="1" t="str">
        <f t="shared" si="3"/>
        <v/>
      </c>
      <c r="K22" s="13" t="str">
        <f t="shared" si="4"/>
        <v/>
      </c>
      <c r="L22" s="9" t="str">
        <f t="shared" si="5"/>
        <v/>
      </c>
      <c r="M22" s="1" t="str">
        <f t="shared" si="6"/>
        <v/>
      </c>
      <c r="N22" s="1" t="str">
        <f t="shared" si="7"/>
        <v/>
      </c>
      <c r="O22" s="1" t="str">
        <f t="shared" si="8"/>
        <v/>
      </c>
      <c r="P22" s="1" t="str">
        <f t="shared" si="9"/>
        <v/>
      </c>
      <c r="Q22" s="1" t="str">
        <f t="shared" si="10"/>
        <v/>
      </c>
      <c r="R22" s="1" t="str">
        <f t="shared" si="11"/>
        <v/>
      </c>
      <c r="S22" s="1" t="str">
        <f t="shared" si="12"/>
        <v/>
      </c>
      <c r="T22" s="1" t="str">
        <f t="shared" si="13"/>
        <v/>
      </c>
      <c r="U22" s="1" t="str">
        <f t="shared" si="14"/>
        <v/>
      </c>
      <c r="V22" s="1" t="str">
        <f t="shared" si="15"/>
        <v/>
      </c>
      <c r="W22" s="26" t="str">
        <f t="shared" si="16"/>
        <v/>
      </c>
      <c r="X22" s="13" t="str">
        <f t="shared" si="17"/>
        <v/>
      </c>
      <c r="Y22" s="9">
        <f t="shared" si="18"/>
        <v>0</v>
      </c>
    </row>
    <row r="23" spans="1:25" x14ac:dyDescent="0.25">
      <c r="A23" s="28"/>
      <c r="B23" s="29"/>
      <c r="C23" s="30"/>
      <c r="D23" s="31"/>
      <c r="E23" s="29" t="s">
        <v>16</v>
      </c>
      <c r="F23" s="13" t="b">
        <f>IF($E23=Categories!$A$1,"",IF($E23=Categories!$A$2,Categories!$B$2,IF($E23=Categories!$A$3,Categories!$B$3,IF($E23=Categories!$A$4,Categories!$B$4,IF($E23=Categories!$A$5,Categories!$B$5,IF($E23=Categories!$A$6,Categories!$B$6,IF($E23=Categories!$A$7,Categories!$B$7,IF($E23=Categories!$A$8,Categories!$B$8,IF($E23=Categories!$A$9,Categories!$B$9,IF($E23=Categories!$A$10,Categories!$B$10,IF($E23=Categories!$A$11,Categories!$B$11,IF($E23=Categories!$A$12,Categories!$B$12,IF($E23=Categories!$A$13,Categories!$B$13,IF($E23=Categories!$A$14,Categories!$B$14,IF($E23=Categories!$A$15,Categories!$B$15,IF($E23=Categories!$A$16,Categories!$B$16,IF($E23=Categories!$A$17,Categories!$B$17,IF($E23=Categories!$A$18,Categories!$B$18,IF($E23=Categories!$A$19,Categories!$B$19)))))))))))))))))))</f>
        <v>0</v>
      </c>
      <c r="G23" s="9" t="str">
        <f t="shared" si="0"/>
        <v/>
      </c>
      <c r="H23" s="1" t="str">
        <f t="shared" si="1"/>
        <v/>
      </c>
      <c r="I23" s="1" t="str">
        <f t="shared" si="2"/>
        <v/>
      </c>
      <c r="J23" s="1" t="str">
        <f t="shared" si="3"/>
        <v/>
      </c>
      <c r="K23" s="13" t="str">
        <f t="shared" si="4"/>
        <v/>
      </c>
      <c r="L23" s="9" t="str">
        <f t="shared" si="5"/>
        <v/>
      </c>
      <c r="M23" s="1" t="str">
        <f t="shared" si="6"/>
        <v/>
      </c>
      <c r="N23" s="1" t="str">
        <f t="shared" si="7"/>
        <v/>
      </c>
      <c r="O23" s="1" t="str">
        <f t="shared" si="8"/>
        <v/>
      </c>
      <c r="P23" s="1" t="str">
        <f t="shared" si="9"/>
        <v/>
      </c>
      <c r="Q23" s="1" t="str">
        <f t="shared" si="10"/>
        <v/>
      </c>
      <c r="R23" s="1" t="str">
        <f t="shared" si="11"/>
        <v/>
      </c>
      <c r="S23" s="1" t="str">
        <f t="shared" si="12"/>
        <v/>
      </c>
      <c r="T23" s="1" t="str">
        <f t="shared" si="13"/>
        <v/>
      </c>
      <c r="U23" s="1" t="str">
        <f t="shared" si="14"/>
        <v/>
      </c>
      <c r="V23" s="1" t="str">
        <f t="shared" si="15"/>
        <v/>
      </c>
      <c r="W23" s="26" t="str">
        <f t="shared" si="16"/>
        <v/>
      </c>
      <c r="X23" s="13" t="str">
        <f t="shared" si="17"/>
        <v/>
      </c>
      <c r="Y23" s="9">
        <f t="shared" si="18"/>
        <v>0</v>
      </c>
    </row>
    <row r="24" spans="1:25" x14ac:dyDescent="0.25">
      <c r="A24" s="28"/>
      <c r="B24" s="29"/>
      <c r="C24" s="30"/>
      <c r="D24" s="31"/>
      <c r="E24" s="29" t="s">
        <v>16</v>
      </c>
      <c r="F24" s="13" t="b">
        <f>IF($E24=Categories!$A$1,"",IF($E24=Categories!$A$2,Categories!$B$2,IF($E24=Categories!$A$3,Categories!$B$3,IF($E24=Categories!$A$4,Categories!$B$4,IF($E24=Categories!$A$5,Categories!$B$5,IF($E24=Categories!$A$6,Categories!$B$6,IF($E24=Categories!$A$7,Categories!$B$7,IF($E24=Categories!$A$8,Categories!$B$8,IF($E24=Categories!$A$9,Categories!$B$9,IF($E24=Categories!$A$10,Categories!$B$10,IF($E24=Categories!$A$11,Categories!$B$11,IF($E24=Categories!$A$12,Categories!$B$12,IF($E24=Categories!$A$13,Categories!$B$13,IF($E24=Categories!$A$14,Categories!$B$14,IF($E24=Categories!$A$15,Categories!$B$15,IF($E24=Categories!$A$16,Categories!$B$16,IF($E24=Categories!$A$17,Categories!$B$17,IF($E24=Categories!$A$18,Categories!$B$18,IF($E24=Categories!$A$19,Categories!$B$19)))))))))))))))))))</f>
        <v>0</v>
      </c>
      <c r="G24" s="9" t="str">
        <f t="shared" si="0"/>
        <v/>
      </c>
      <c r="H24" s="1" t="str">
        <f t="shared" si="1"/>
        <v/>
      </c>
      <c r="I24" s="1" t="str">
        <f t="shared" si="2"/>
        <v/>
      </c>
      <c r="J24" s="1" t="str">
        <f t="shared" si="3"/>
        <v/>
      </c>
      <c r="K24" s="13" t="str">
        <f t="shared" si="4"/>
        <v/>
      </c>
      <c r="L24" s="9" t="str">
        <f t="shared" si="5"/>
        <v/>
      </c>
      <c r="M24" s="1" t="str">
        <f t="shared" si="6"/>
        <v/>
      </c>
      <c r="N24" s="1" t="str">
        <f t="shared" si="7"/>
        <v/>
      </c>
      <c r="O24" s="1" t="str">
        <f t="shared" si="8"/>
        <v/>
      </c>
      <c r="P24" s="1" t="str">
        <f t="shared" si="9"/>
        <v/>
      </c>
      <c r="Q24" s="1" t="str">
        <f t="shared" si="10"/>
        <v/>
      </c>
      <c r="R24" s="1" t="str">
        <f t="shared" si="11"/>
        <v/>
      </c>
      <c r="S24" s="1" t="str">
        <f t="shared" si="12"/>
        <v/>
      </c>
      <c r="T24" s="1" t="str">
        <f t="shared" si="13"/>
        <v/>
      </c>
      <c r="U24" s="1" t="str">
        <f t="shared" si="14"/>
        <v/>
      </c>
      <c r="V24" s="1" t="str">
        <f t="shared" si="15"/>
        <v/>
      </c>
      <c r="W24" s="26" t="str">
        <f t="shared" si="16"/>
        <v/>
      </c>
      <c r="X24" s="13" t="str">
        <f t="shared" si="17"/>
        <v/>
      </c>
      <c r="Y24" s="9">
        <f t="shared" si="18"/>
        <v>0</v>
      </c>
    </row>
    <row r="25" spans="1:25" x14ac:dyDescent="0.25">
      <c r="A25" s="28"/>
      <c r="B25" s="29"/>
      <c r="C25" s="30"/>
      <c r="D25" s="31"/>
      <c r="E25" s="29" t="s">
        <v>16</v>
      </c>
      <c r="F25" s="13" t="b">
        <f>IF($E25=Categories!$A$1,"",IF($E25=Categories!$A$2,Categories!$B$2,IF($E25=Categories!$A$3,Categories!$B$3,IF($E25=Categories!$A$4,Categories!$B$4,IF($E25=Categories!$A$5,Categories!$B$5,IF($E25=Categories!$A$6,Categories!$B$6,IF($E25=Categories!$A$7,Categories!$B$7,IF($E25=Categories!$A$8,Categories!$B$8,IF($E25=Categories!$A$9,Categories!$B$9,IF($E25=Categories!$A$10,Categories!$B$10,IF($E25=Categories!$A$11,Categories!$B$11,IF($E25=Categories!$A$12,Categories!$B$12,IF($E25=Categories!$A$13,Categories!$B$13,IF($E25=Categories!$A$14,Categories!$B$14,IF($E25=Categories!$A$15,Categories!$B$15,IF($E25=Categories!$A$16,Categories!$B$16,IF($E25=Categories!$A$17,Categories!$B$17,IF($E25=Categories!$A$18,Categories!$B$18,IF($E25=Categories!$A$19,Categories!$B$19)))))))))))))))))))</f>
        <v>0</v>
      </c>
      <c r="G25" s="9" t="str">
        <f t="shared" si="0"/>
        <v/>
      </c>
      <c r="H25" s="1" t="str">
        <f t="shared" si="1"/>
        <v/>
      </c>
      <c r="I25" s="1" t="str">
        <f t="shared" si="2"/>
        <v/>
      </c>
      <c r="J25" s="1" t="str">
        <f t="shared" si="3"/>
        <v/>
      </c>
      <c r="K25" s="13" t="str">
        <f t="shared" si="4"/>
        <v/>
      </c>
      <c r="L25" s="9" t="str">
        <f t="shared" si="5"/>
        <v/>
      </c>
      <c r="M25" s="1" t="str">
        <f t="shared" si="6"/>
        <v/>
      </c>
      <c r="N25" s="1" t="str">
        <f t="shared" si="7"/>
        <v/>
      </c>
      <c r="O25" s="1" t="str">
        <f t="shared" si="8"/>
        <v/>
      </c>
      <c r="P25" s="1" t="str">
        <f t="shared" si="9"/>
        <v/>
      </c>
      <c r="Q25" s="1" t="str">
        <f t="shared" si="10"/>
        <v/>
      </c>
      <c r="R25" s="1" t="str">
        <f t="shared" si="11"/>
        <v/>
      </c>
      <c r="S25" s="1" t="str">
        <f t="shared" si="12"/>
        <v/>
      </c>
      <c r="T25" s="1" t="str">
        <f t="shared" si="13"/>
        <v/>
      </c>
      <c r="U25" s="1" t="str">
        <f t="shared" si="14"/>
        <v/>
      </c>
      <c r="V25" s="1" t="str">
        <f t="shared" si="15"/>
        <v/>
      </c>
      <c r="W25" s="26" t="str">
        <f t="shared" si="16"/>
        <v/>
      </c>
      <c r="X25" s="13" t="str">
        <f t="shared" si="17"/>
        <v/>
      </c>
      <c r="Y25" s="9">
        <f t="shared" si="18"/>
        <v>0</v>
      </c>
    </row>
    <row r="26" spans="1:25" x14ac:dyDescent="0.25">
      <c r="A26" s="28"/>
      <c r="B26" s="29"/>
      <c r="C26" s="30"/>
      <c r="D26" s="31"/>
      <c r="E26" s="29" t="s">
        <v>16</v>
      </c>
      <c r="F26" s="13" t="b">
        <f>IF($E26=Categories!$A$1,"",IF($E26=Categories!$A$2,Categories!$B$2,IF($E26=Categories!$A$3,Categories!$B$3,IF($E26=Categories!$A$4,Categories!$B$4,IF($E26=Categories!$A$5,Categories!$B$5,IF($E26=Categories!$A$6,Categories!$B$6,IF($E26=Categories!$A$7,Categories!$B$7,IF($E26=Categories!$A$8,Categories!$B$8,IF($E26=Categories!$A$9,Categories!$B$9,IF($E26=Categories!$A$10,Categories!$B$10,IF($E26=Categories!$A$11,Categories!$B$11,IF($E26=Categories!$A$12,Categories!$B$12,IF($E26=Categories!$A$13,Categories!$B$13,IF($E26=Categories!$A$14,Categories!$B$14,IF($E26=Categories!$A$15,Categories!$B$15,IF($E26=Categories!$A$16,Categories!$B$16,IF($E26=Categories!$A$17,Categories!$B$17,IF($E26=Categories!$A$18,Categories!$B$18,IF($E26=Categories!$A$19,Categories!$B$19)))))))))))))))))))</f>
        <v>0</v>
      </c>
      <c r="G26" s="9" t="str">
        <f t="shared" si="0"/>
        <v/>
      </c>
      <c r="H26" s="1" t="str">
        <f t="shared" si="1"/>
        <v/>
      </c>
      <c r="I26" s="1" t="str">
        <f t="shared" si="2"/>
        <v/>
      </c>
      <c r="J26" s="1" t="str">
        <f t="shared" si="3"/>
        <v/>
      </c>
      <c r="K26" s="13" t="str">
        <f t="shared" si="4"/>
        <v/>
      </c>
      <c r="L26" s="9" t="str">
        <f t="shared" si="5"/>
        <v/>
      </c>
      <c r="M26" s="1" t="str">
        <f t="shared" si="6"/>
        <v/>
      </c>
      <c r="N26" s="1" t="str">
        <f t="shared" si="7"/>
        <v/>
      </c>
      <c r="O26" s="1" t="str">
        <f t="shared" si="8"/>
        <v/>
      </c>
      <c r="P26" s="1" t="str">
        <f t="shared" si="9"/>
        <v/>
      </c>
      <c r="Q26" s="1" t="str">
        <f t="shared" si="10"/>
        <v/>
      </c>
      <c r="R26" s="1" t="str">
        <f t="shared" si="11"/>
        <v/>
      </c>
      <c r="S26" s="1" t="str">
        <f t="shared" si="12"/>
        <v/>
      </c>
      <c r="T26" s="1" t="str">
        <f t="shared" si="13"/>
        <v/>
      </c>
      <c r="U26" s="1" t="str">
        <f t="shared" si="14"/>
        <v/>
      </c>
      <c r="V26" s="1" t="str">
        <f t="shared" si="15"/>
        <v/>
      </c>
      <c r="W26" s="26" t="str">
        <f t="shared" si="16"/>
        <v/>
      </c>
      <c r="X26" s="13" t="str">
        <f t="shared" si="17"/>
        <v/>
      </c>
      <c r="Y26" s="9">
        <f t="shared" si="18"/>
        <v>0</v>
      </c>
    </row>
    <row r="27" spans="1:25" x14ac:dyDescent="0.25">
      <c r="A27" s="28"/>
      <c r="B27" s="29"/>
      <c r="C27" s="30"/>
      <c r="D27" s="31"/>
      <c r="E27" s="29" t="s">
        <v>16</v>
      </c>
      <c r="F27" s="13" t="b">
        <f>IF($E27=Categories!$A$1,"",IF($E27=Categories!$A$2,Categories!$B$2,IF($E27=Categories!$A$3,Categories!$B$3,IF($E27=Categories!$A$4,Categories!$B$4,IF($E27=Categories!$A$5,Categories!$B$5,IF($E27=Categories!$A$6,Categories!$B$6,IF($E27=Categories!$A$7,Categories!$B$7,IF($E27=Categories!$A$8,Categories!$B$8,IF($E27=Categories!$A$9,Categories!$B$9,IF($E27=Categories!$A$10,Categories!$B$10,IF($E27=Categories!$A$11,Categories!$B$11,IF($E27=Categories!$A$12,Categories!$B$12,IF($E27=Categories!$A$13,Categories!$B$13,IF($E27=Categories!$A$14,Categories!$B$14,IF($E27=Categories!$A$15,Categories!$B$15,IF($E27=Categories!$A$16,Categories!$B$16,IF($E27=Categories!$A$17,Categories!$B$17,IF($E27=Categories!$A$18,Categories!$B$18,IF($E27=Categories!$A$19,Categories!$B$19)))))))))))))))))))</f>
        <v>0</v>
      </c>
      <c r="G27" s="9" t="str">
        <f t="shared" si="0"/>
        <v/>
      </c>
      <c r="H27" s="1" t="str">
        <f t="shared" si="1"/>
        <v/>
      </c>
      <c r="I27" s="1" t="str">
        <f t="shared" si="2"/>
        <v/>
      </c>
      <c r="J27" s="1" t="str">
        <f t="shared" si="3"/>
        <v/>
      </c>
      <c r="K27" s="13" t="str">
        <f t="shared" si="4"/>
        <v/>
      </c>
      <c r="L27" s="9" t="str">
        <f t="shared" si="5"/>
        <v/>
      </c>
      <c r="M27" s="1" t="str">
        <f t="shared" si="6"/>
        <v/>
      </c>
      <c r="N27" s="1" t="str">
        <f t="shared" si="7"/>
        <v/>
      </c>
      <c r="O27" s="1" t="str">
        <f t="shared" si="8"/>
        <v/>
      </c>
      <c r="P27" s="1" t="str">
        <f t="shared" si="9"/>
        <v/>
      </c>
      <c r="Q27" s="1" t="str">
        <f t="shared" si="10"/>
        <v/>
      </c>
      <c r="R27" s="1" t="str">
        <f t="shared" si="11"/>
        <v/>
      </c>
      <c r="S27" s="1" t="str">
        <f t="shared" si="12"/>
        <v/>
      </c>
      <c r="T27" s="1" t="str">
        <f t="shared" si="13"/>
        <v/>
      </c>
      <c r="U27" s="1" t="str">
        <f t="shared" si="14"/>
        <v/>
      </c>
      <c r="V27" s="1" t="str">
        <f t="shared" si="15"/>
        <v/>
      </c>
      <c r="W27" s="26" t="str">
        <f t="shared" si="16"/>
        <v/>
      </c>
      <c r="X27" s="13" t="str">
        <f t="shared" si="17"/>
        <v/>
      </c>
      <c r="Y27" s="9">
        <f t="shared" si="18"/>
        <v>0</v>
      </c>
    </row>
    <row r="28" spans="1:25" x14ac:dyDescent="0.25">
      <c r="A28" s="28"/>
      <c r="B28" s="29"/>
      <c r="C28" s="30"/>
      <c r="D28" s="31"/>
      <c r="E28" s="29" t="s">
        <v>16</v>
      </c>
      <c r="F28" s="13" t="b">
        <f>IF($E28=Categories!$A$1,"",IF($E28=Categories!$A$2,Categories!$B$2,IF($E28=Categories!$A$3,Categories!$B$3,IF($E28=Categories!$A$4,Categories!$B$4,IF($E28=Categories!$A$5,Categories!$B$5,IF($E28=Categories!$A$6,Categories!$B$6,IF($E28=Categories!$A$7,Categories!$B$7,IF($E28=Categories!$A$8,Categories!$B$8,IF($E28=Categories!$A$9,Categories!$B$9,IF($E28=Categories!$A$10,Categories!$B$10,IF($E28=Categories!$A$11,Categories!$B$11,IF($E28=Categories!$A$12,Categories!$B$12,IF($E28=Categories!$A$13,Categories!$B$13,IF($E28=Categories!$A$14,Categories!$B$14,IF($E28=Categories!$A$15,Categories!$B$15,IF($E28=Categories!$A$16,Categories!$B$16,IF($E28=Categories!$A$17,Categories!$B$17,IF($E28=Categories!$A$18,Categories!$B$18,IF($E28=Categories!$A$19,Categories!$B$19)))))))))))))))))))</f>
        <v>0</v>
      </c>
      <c r="G28" s="9" t="str">
        <f t="shared" si="0"/>
        <v/>
      </c>
      <c r="H28" s="1" t="str">
        <f t="shared" si="1"/>
        <v/>
      </c>
      <c r="I28" s="1" t="str">
        <f t="shared" si="2"/>
        <v/>
      </c>
      <c r="J28" s="1" t="str">
        <f t="shared" si="3"/>
        <v/>
      </c>
      <c r="K28" s="13" t="str">
        <f t="shared" si="4"/>
        <v/>
      </c>
      <c r="L28" s="9" t="str">
        <f t="shared" si="5"/>
        <v/>
      </c>
      <c r="M28" s="1" t="str">
        <f t="shared" si="6"/>
        <v/>
      </c>
      <c r="N28" s="1" t="str">
        <f t="shared" si="7"/>
        <v/>
      </c>
      <c r="O28" s="1" t="str">
        <f t="shared" si="8"/>
        <v/>
      </c>
      <c r="P28" s="1" t="str">
        <f t="shared" si="9"/>
        <v/>
      </c>
      <c r="Q28" s="1" t="str">
        <f t="shared" si="10"/>
        <v/>
      </c>
      <c r="R28" s="1" t="str">
        <f t="shared" si="11"/>
        <v/>
      </c>
      <c r="S28" s="1" t="str">
        <f t="shared" si="12"/>
        <v/>
      </c>
      <c r="T28" s="1" t="str">
        <f t="shared" si="13"/>
        <v/>
      </c>
      <c r="U28" s="1" t="str">
        <f t="shared" si="14"/>
        <v/>
      </c>
      <c r="V28" s="1" t="str">
        <f t="shared" si="15"/>
        <v/>
      </c>
      <c r="W28" s="26" t="str">
        <f t="shared" si="16"/>
        <v/>
      </c>
      <c r="X28" s="13" t="str">
        <f t="shared" si="17"/>
        <v/>
      </c>
      <c r="Y28" s="9">
        <f t="shared" si="18"/>
        <v>0</v>
      </c>
    </row>
    <row r="29" spans="1:25" x14ac:dyDescent="0.25">
      <c r="A29" s="28"/>
      <c r="B29" s="29"/>
      <c r="C29" s="30"/>
      <c r="D29" s="31"/>
      <c r="E29" s="29" t="s">
        <v>16</v>
      </c>
      <c r="F29" s="13" t="b">
        <f>IF($E29=Categories!$A$1,"",IF($E29=Categories!$A$2,Categories!$B$2,IF($E29=Categories!$A$3,Categories!$B$3,IF($E29=Categories!$A$4,Categories!$B$4,IF($E29=Categories!$A$5,Categories!$B$5,IF($E29=Categories!$A$6,Categories!$B$6,IF($E29=Categories!$A$7,Categories!$B$7,IF($E29=Categories!$A$8,Categories!$B$8,IF($E29=Categories!$A$9,Categories!$B$9,IF($E29=Categories!$A$10,Categories!$B$10,IF($E29=Categories!$A$11,Categories!$B$11,IF($E29=Categories!$A$12,Categories!$B$12,IF($E29=Categories!$A$13,Categories!$B$13,IF($E29=Categories!$A$14,Categories!$B$14,IF($E29=Categories!$A$15,Categories!$B$15,IF($E29=Categories!$A$16,Categories!$B$16,IF($E29=Categories!$A$17,Categories!$B$17,IF($E29=Categories!$A$18,Categories!$B$18,IF($E29=Categories!$A$19,Categories!$B$19)))))))))))))))))))</f>
        <v>0</v>
      </c>
      <c r="G29" s="9" t="str">
        <f t="shared" si="0"/>
        <v/>
      </c>
      <c r="H29" s="1" t="str">
        <f t="shared" si="1"/>
        <v/>
      </c>
      <c r="I29" s="1" t="str">
        <f t="shared" si="2"/>
        <v/>
      </c>
      <c r="J29" s="1" t="str">
        <f t="shared" si="3"/>
        <v/>
      </c>
      <c r="K29" s="13" t="str">
        <f t="shared" si="4"/>
        <v/>
      </c>
      <c r="L29" s="9" t="str">
        <f t="shared" si="5"/>
        <v/>
      </c>
      <c r="M29" s="1" t="str">
        <f t="shared" si="6"/>
        <v/>
      </c>
      <c r="N29" s="1" t="str">
        <f t="shared" si="7"/>
        <v/>
      </c>
      <c r="O29" s="1" t="str">
        <f t="shared" si="8"/>
        <v/>
      </c>
      <c r="P29" s="1" t="str">
        <f t="shared" si="9"/>
        <v/>
      </c>
      <c r="Q29" s="1" t="str">
        <f t="shared" si="10"/>
        <v/>
      </c>
      <c r="R29" s="1" t="str">
        <f t="shared" si="11"/>
        <v/>
      </c>
      <c r="S29" s="1" t="str">
        <f t="shared" si="12"/>
        <v/>
      </c>
      <c r="T29" s="1" t="str">
        <f t="shared" si="13"/>
        <v/>
      </c>
      <c r="U29" s="1" t="str">
        <f t="shared" si="14"/>
        <v/>
      </c>
      <c r="V29" s="1" t="str">
        <f t="shared" si="15"/>
        <v/>
      </c>
      <c r="W29" s="26" t="str">
        <f t="shared" si="16"/>
        <v/>
      </c>
      <c r="X29" s="13" t="str">
        <f t="shared" si="17"/>
        <v/>
      </c>
      <c r="Y29" s="9">
        <f t="shared" si="18"/>
        <v>0</v>
      </c>
    </row>
    <row r="30" spans="1:25" x14ac:dyDescent="0.25">
      <c r="A30" s="28"/>
      <c r="B30" s="29"/>
      <c r="C30" s="30"/>
      <c r="D30" s="31"/>
      <c r="E30" s="29" t="s">
        <v>16</v>
      </c>
      <c r="F30" s="13" t="b">
        <f>IF($E30=Categories!$A$1,"",IF($E30=Categories!$A$2,Categories!$B$2,IF($E30=Categories!$A$3,Categories!$B$3,IF($E30=Categories!$A$4,Categories!$B$4,IF($E30=Categories!$A$5,Categories!$B$5,IF($E30=Categories!$A$6,Categories!$B$6,IF($E30=Categories!$A$7,Categories!$B$7,IF($E30=Categories!$A$8,Categories!$B$8,IF($E30=Categories!$A$9,Categories!$B$9,IF($E30=Categories!$A$10,Categories!$B$10,IF($E30=Categories!$A$11,Categories!$B$11,IF($E30=Categories!$A$12,Categories!$B$12,IF($E30=Categories!$A$13,Categories!$B$13,IF($E30=Categories!$A$14,Categories!$B$14,IF($E30=Categories!$A$15,Categories!$B$15,IF($E30=Categories!$A$16,Categories!$B$16,IF($E30=Categories!$A$17,Categories!$B$17,IF($E30=Categories!$A$18,Categories!$B$18,IF($E30=Categories!$A$19,Categories!$B$19)))))))))))))))))))</f>
        <v>0</v>
      </c>
      <c r="G30" s="9" t="str">
        <f t="shared" si="0"/>
        <v/>
      </c>
      <c r="H30" s="1" t="str">
        <f t="shared" si="1"/>
        <v/>
      </c>
      <c r="I30" s="1" t="str">
        <f t="shared" si="2"/>
        <v/>
      </c>
      <c r="J30" s="1" t="str">
        <f t="shared" si="3"/>
        <v/>
      </c>
      <c r="K30" s="13" t="str">
        <f t="shared" si="4"/>
        <v/>
      </c>
      <c r="L30" s="9" t="str">
        <f t="shared" si="5"/>
        <v/>
      </c>
      <c r="M30" s="1" t="str">
        <f t="shared" si="6"/>
        <v/>
      </c>
      <c r="N30" s="1" t="str">
        <f t="shared" si="7"/>
        <v/>
      </c>
      <c r="O30" s="1" t="str">
        <f t="shared" si="8"/>
        <v/>
      </c>
      <c r="P30" s="1" t="str">
        <f t="shared" si="9"/>
        <v/>
      </c>
      <c r="Q30" s="1" t="str">
        <f t="shared" si="10"/>
        <v/>
      </c>
      <c r="R30" s="1" t="str">
        <f t="shared" si="11"/>
        <v/>
      </c>
      <c r="S30" s="1" t="str">
        <f t="shared" si="12"/>
        <v/>
      </c>
      <c r="T30" s="1" t="str">
        <f t="shared" si="13"/>
        <v/>
      </c>
      <c r="U30" s="1" t="str">
        <f t="shared" si="14"/>
        <v/>
      </c>
      <c r="V30" s="1" t="str">
        <f t="shared" si="15"/>
        <v/>
      </c>
      <c r="W30" s="26" t="str">
        <f t="shared" si="16"/>
        <v/>
      </c>
      <c r="X30" s="13" t="str">
        <f t="shared" si="17"/>
        <v/>
      </c>
      <c r="Y30" s="9">
        <f t="shared" si="18"/>
        <v>0</v>
      </c>
    </row>
    <row r="31" spans="1:25" x14ac:dyDescent="0.25">
      <c r="A31" s="28"/>
      <c r="B31" s="29"/>
      <c r="C31" s="30"/>
      <c r="D31" s="31"/>
      <c r="E31" s="29" t="s">
        <v>16</v>
      </c>
      <c r="F31" s="13" t="b">
        <f>IF($E31=Categories!$A$1,"",IF($E31=Categories!$A$2,Categories!$B$2,IF($E31=Categories!$A$3,Categories!$B$3,IF($E31=Categories!$A$4,Categories!$B$4,IF($E31=Categories!$A$5,Categories!$B$5,IF($E31=Categories!$A$6,Categories!$B$6,IF($E31=Categories!$A$7,Categories!$B$7,IF($E31=Categories!$A$8,Categories!$B$8,IF($E31=Categories!$A$9,Categories!$B$9,IF($E31=Categories!$A$10,Categories!$B$10,IF($E31=Categories!$A$11,Categories!$B$11,IF($E31=Categories!$A$12,Categories!$B$12,IF($E31=Categories!$A$13,Categories!$B$13,IF($E31=Categories!$A$14,Categories!$B$14,IF($E31=Categories!$A$15,Categories!$B$15,IF($E31=Categories!$A$16,Categories!$B$16,IF($E31=Categories!$A$17,Categories!$B$17,IF($E31=Categories!$A$18,Categories!$B$18,IF($E31=Categories!$A$19,Categories!$B$19)))))))))))))))))))</f>
        <v>0</v>
      </c>
      <c r="G31" s="9" t="str">
        <f t="shared" si="0"/>
        <v/>
      </c>
      <c r="H31" s="1" t="str">
        <f t="shared" si="1"/>
        <v/>
      </c>
      <c r="I31" s="1" t="str">
        <f t="shared" si="2"/>
        <v/>
      </c>
      <c r="J31" s="1" t="str">
        <f t="shared" si="3"/>
        <v/>
      </c>
      <c r="K31" s="13" t="str">
        <f t="shared" si="4"/>
        <v/>
      </c>
      <c r="L31" s="9" t="str">
        <f t="shared" si="5"/>
        <v/>
      </c>
      <c r="M31" s="1" t="str">
        <f t="shared" si="6"/>
        <v/>
      </c>
      <c r="N31" s="1" t="str">
        <f t="shared" si="7"/>
        <v/>
      </c>
      <c r="O31" s="1" t="str">
        <f t="shared" si="8"/>
        <v/>
      </c>
      <c r="P31" s="1" t="str">
        <f t="shared" si="9"/>
        <v/>
      </c>
      <c r="Q31" s="1" t="str">
        <f t="shared" si="10"/>
        <v/>
      </c>
      <c r="R31" s="1" t="str">
        <f t="shared" si="11"/>
        <v/>
      </c>
      <c r="S31" s="1" t="str">
        <f t="shared" si="12"/>
        <v/>
      </c>
      <c r="T31" s="1" t="str">
        <f t="shared" si="13"/>
        <v/>
      </c>
      <c r="U31" s="1" t="str">
        <f t="shared" si="14"/>
        <v/>
      </c>
      <c r="V31" s="1" t="str">
        <f t="shared" si="15"/>
        <v/>
      </c>
      <c r="W31" s="26" t="str">
        <f t="shared" si="16"/>
        <v/>
      </c>
      <c r="X31" s="13" t="str">
        <f t="shared" si="17"/>
        <v/>
      </c>
      <c r="Y31" s="9">
        <f t="shared" si="18"/>
        <v>0</v>
      </c>
    </row>
    <row r="32" spans="1:25" x14ac:dyDescent="0.25">
      <c r="A32" s="28"/>
      <c r="B32" s="29"/>
      <c r="C32" s="30"/>
      <c r="D32" s="31"/>
      <c r="E32" s="29" t="s">
        <v>16</v>
      </c>
      <c r="F32" s="13" t="b">
        <f>IF($E32=Categories!$A$1,"",IF($E32=Categories!$A$2,Categories!$B$2,IF($E32=Categories!$A$3,Categories!$B$3,IF($E32=Categories!$A$4,Categories!$B$4,IF($E32=Categories!$A$5,Categories!$B$5,IF($E32=Categories!$A$6,Categories!$B$6,IF($E32=Categories!$A$7,Categories!$B$7,IF($E32=Categories!$A$8,Categories!$B$8,IF($E32=Categories!$A$9,Categories!$B$9,IF($E32=Categories!$A$10,Categories!$B$10,IF($E32=Categories!$A$11,Categories!$B$11,IF($E32=Categories!$A$12,Categories!$B$12,IF($E32=Categories!$A$13,Categories!$B$13,IF($E32=Categories!$A$14,Categories!$B$14,IF($E32=Categories!$A$15,Categories!$B$15,IF($E32=Categories!$A$16,Categories!$B$16,IF($E32=Categories!$A$17,Categories!$B$17,IF($E32=Categories!$A$18,Categories!$B$18,IF($E32=Categories!$A$19,Categories!$B$19)))))))))))))))))))</f>
        <v>0</v>
      </c>
      <c r="G32" s="9" t="str">
        <f t="shared" si="0"/>
        <v/>
      </c>
      <c r="H32" s="1" t="str">
        <f t="shared" si="1"/>
        <v/>
      </c>
      <c r="I32" s="1" t="str">
        <f t="shared" si="2"/>
        <v/>
      </c>
      <c r="J32" s="1" t="str">
        <f t="shared" si="3"/>
        <v/>
      </c>
      <c r="K32" s="13" t="str">
        <f t="shared" si="4"/>
        <v/>
      </c>
      <c r="L32" s="9" t="str">
        <f t="shared" si="5"/>
        <v/>
      </c>
      <c r="M32" s="1" t="str">
        <f t="shared" si="6"/>
        <v/>
      </c>
      <c r="N32" s="1" t="str">
        <f t="shared" si="7"/>
        <v/>
      </c>
      <c r="O32" s="1" t="str">
        <f t="shared" si="8"/>
        <v/>
      </c>
      <c r="P32" s="1" t="str">
        <f t="shared" si="9"/>
        <v/>
      </c>
      <c r="Q32" s="1" t="str">
        <f t="shared" si="10"/>
        <v/>
      </c>
      <c r="R32" s="1" t="str">
        <f t="shared" si="11"/>
        <v/>
      </c>
      <c r="S32" s="1" t="str">
        <f t="shared" si="12"/>
        <v/>
      </c>
      <c r="T32" s="1" t="str">
        <f t="shared" si="13"/>
        <v/>
      </c>
      <c r="U32" s="1" t="str">
        <f t="shared" si="14"/>
        <v/>
      </c>
      <c r="V32" s="1" t="str">
        <f t="shared" si="15"/>
        <v/>
      </c>
      <c r="W32" s="26" t="str">
        <f t="shared" si="16"/>
        <v/>
      </c>
      <c r="X32" s="13" t="str">
        <f t="shared" si="17"/>
        <v/>
      </c>
      <c r="Y32" s="9">
        <f t="shared" si="18"/>
        <v>0</v>
      </c>
    </row>
    <row r="33" spans="1:25" x14ac:dyDescent="0.25">
      <c r="A33" s="28"/>
      <c r="B33" s="29"/>
      <c r="C33" s="30"/>
      <c r="D33" s="31"/>
      <c r="E33" s="29" t="s">
        <v>16</v>
      </c>
      <c r="F33" s="13" t="b">
        <f>IF($E33=Categories!$A$1,"",IF($E33=Categories!$A$2,Categories!$B$2,IF($E33=Categories!$A$3,Categories!$B$3,IF($E33=Categories!$A$4,Categories!$B$4,IF($E33=Categories!$A$5,Categories!$B$5,IF($E33=Categories!$A$6,Categories!$B$6,IF($E33=Categories!$A$7,Categories!$B$7,IF($E33=Categories!$A$8,Categories!$B$8,IF($E33=Categories!$A$9,Categories!$B$9,IF($E33=Categories!$A$10,Categories!$B$10,IF($E33=Categories!$A$11,Categories!$B$11,IF($E33=Categories!$A$12,Categories!$B$12,IF($E33=Categories!$A$13,Categories!$B$13,IF($E33=Categories!$A$14,Categories!$B$14,IF($E33=Categories!$A$15,Categories!$B$15,IF($E33=Categories!$A$16,Categories!$B$16,IF($E33=Categories!$A$17,Categories!$B$17,IF($E33=Categories!$A$18,Categories!$B$18,IF($E33=Categories!$A$19,Categories!$B$19)))))))))))))))))))</f>
        <v>0</v>
      </c>
      <c r="G33" s="9" t="str">
        <f t="shared" si="0"/>
        <v/>
      </c>
      <c r="H33" s="1" t="str">
        <f t="shared" si="1"/>
        <v/>
      </c>
      <c r="I33" s="1" t="str">
        <f t="shared" si="2"/>
        <v/>
      </c>
      <c r="J33" s="1" t="str">
        <f t="shared" si="3"/>
        <v/>
      </c>
      <c r="K33" s="13" t="str">
        <f t="shared" si="4"/>
        <v/>
      </c>
      <c r="L33" s="9" t="str">
        <f t="shared" si="5"/>
        <v/>
      </c>
      <c r="M33" s="1" t="str">
        <f t="shared" si="6"/>
        <v/>
      </c>
      <c r="N33" s="1" t="str">
        <f t="shared" si="7"/>
        <v/>
      </c>
      <c r="O33" s="1" t="str">
        <f t="shared" si="8"/>
        <v/>
      </c>
      <c r="P33" s="1" t="str">
        <f t="shared" si="9"/>
        <v/>
      </c>
      <c r="Q33" s="1" t="str">
        <f t="shared" si="10"/>
        <v/>
      </c>
      <c r="R33" s="1" t="str">
        <f t="shared" si="11"/>
        <v/>
      </c>
      <c r="S33" s="1" t="str">
        <f t="shared" si="12"/>
        <v/>
      </c>
      <c r="T33" s="1" t="str">
        <f t="shared" si="13"/>
        <v/>
      </c>
      <c r="U33" s="1" t="str">
        <f t="shared" si="14"/>
        <v/>
      </c>
      <c r="V33" s="1" t="str">
        <f t="shared" si="15"/>
        <v/>
      </c>
      <c r="W33" s="26" t="str">
        <f t="shared" si="16"/>
        <v/>
      </c>
      <c r="X33" s="13" t="str">
        <f t="shared" si="17"/>
        <v/>
      </c>
      <c r="Y33" s="9">
        <f t="shared" si="18"/>
        <v>0</v>
      </c>
    </row>
    <row r="34" spans="1:25" x14ac:dyDescent="0.25">
      <c r="A34" s="28"/>
      <c r="B34" s="29"/>
      <c r="C34" s="30"/>
      <c r="D34" s="31"/>
      <c r="E34" s="29" t="s">
        <v>16</v>
      </c>
      <c r="F34" s="13" t="b">
        <f>IF($E34=Categories!$A$1,"",IF($E34=Categories!$A$2,Categories!$B$2,IF($E34=Categories!$A$3,Categories!$B$3,IF($E34=Categories!$A$4,Categories!$B$4,IF($E34=Categories!$A$5,Categories!$B$5,IF($E34=Categories!$A$6,Categories!$B$6,IF($E34=Categories!$A$7,Categories!$B$7,IF($E34=Categories!$A$8,Categories!$B$8,IF($E34=Categories!$A$9,Categories!$B$9,IF($E34=Categories!$A$10,Categories!$B$10,IF($E34=Categories!$A$11,Categories!$B$11,IF($E34=Categories!$A$12,Categories!$B$12,IF($E34=Categories!$A$13,Categories!$B$13,IF($E34=Categories!$A$14,Categories!$B$14,IF($E34=Categories!$A$15,Categories!$B$15,IF($E34=Categories!$A$16,Categories!$B$16,IF($E34=Categories!$A$17,Categories!$B$17,IF($E34=Categories!$A$18,Categories!$B$18,IF($E34=Categories!$A$19,Categories!$B$19)))))))))))))))))))</f>
        <v>0</v>
      </c>
      <c r="G34" s="9" t="str">
        <f t="shared" si="0"/>
        <v/>
      </c>
      <c r="H34" s="1" t="str">
        <f t="shared" si="1"/>
        <v/>
      </c>
      <c r="I34" s="1" t="str">
        <f t="shared" si="2"/>
        <v/>
      </c>
      <c r="J34" s="1" t="str">
        <f t="shared" si="3"/>
        <v/>
      </c>
      <c r="K34" s="13" t="str">
        <f t="shared" si="4"/>
        <v/>
      </c>
      <c r="L34" s="9" t="str">
        <f t="shared" si="5"/>
        <v/>
      </c>
      <c r="M34" s="1" t="str">
        <f t="shared" si="6"/>
        <v/>
      </c>
      <c r="N34" s="1" t="str">
        <f t="shared" si="7"/>
        <v/>
      </c>
      <c r="O34" s="1" t="str">
        <f t="shared" si="8"/>
        <v/>
      </c>
      <c r="P34" s="1" t="str">
        <f t="shared" si="9"/>
        <v/>
      </c>
      <c r="Q34" s="1" t="str">
        <f t="shared" si="10"/>
        <v/>
      </c>
      <c r="R34" s="1" t="str">
        <f t="shared" si="11"/>
        <v/>
      </c>
      <c r="S34" s="1" t="str">
        <f t="shared" si="12"/>
        <v/>
      </c>
      <c r="T34" s="1" t="str">
        <f t="shared" si="13"/>
        <v/>
      </c>
      <c r="U34" s="1" t="str">
        <f t="shared" si="14"/>
        <v/>
      </c>
      <c r="V34" s="1" t="str">
        <f t="shared" si="15"/>
        <v/>
      </c>
      <c r="W34" s="26" t="str">
        <f t="shared" si="16"/>
        <v/>
      </c>
      <c r="X34" s="13" t="str">
        <f t="shared" si="17"/>
        <v/>
      </c>
      <c r="Y34" s="9">
        <f t="shared" si="18"/>
        <v>0</v>
      </c>
    </row>
    <row r="35" spans="1:25" x14ac:dyDescent="0.25">
      <c r="A35" s="28"/>
      <c r="B35" s="29"/>
      <c r="C35" s="30"/>
      <c r="D35" s="31"/>
      <c r="E35" s="29" t="s">
        <v>16</v>
      </c>
      <c r="F35" s="13" t="b">
        <f>IF($E35=Categories!$A$1,"",IF($E35=Categories!$A$2,Categories!$B$2,IF($E35=Categories!$A$3,Categories!$B$3,IF($E35=Categories!$A$4,Categories!$B$4,IF($E35=Categories!$A$5,Categories!$B$5,IF($E35=Categories!$A$6,Categories!$B$6,IF($E35=Categories!$A$7,Categories!$B$7,IF($E35=Categories!$A$8,Categories!$B$8,IF($E35=Categories!$A$9,Categories!$B$9,IF($E35=Categories!$A$10,Categories!$B$10,IF($E35=Categories!$A$11,Categories!$B$11,IF($E35=Categories!$A$12,Categories!$B$12,IF($E35=Categories!$A$13,Categories!$B$13,IF($E35=Categories!$A$14,Categories!$B$14,IF($E35=Categories!$A$15,Categories!$B$15,IF($E35=Categories!$A$16,Categories!$B$16,IF($E35=Categories!$A$17,Categories!$B$17,IF($E35=Categories!$A$18,Categories!$B$18,IF($E35=Categories!$A$19,Categories!$B$19)))))))))))))))))))</f>
        <v>0</v>
      </c>
      <c r="G35" s="9" t="str">
        <f t="shared" si="0"/>
        <v/>
      </c>
      <c r="H35" s="1" t="str">
        <f t="shared" si="1"/>
        <v/>
      </c>
      <c r="I35" s="1" t="str">
        <f t="shared" si="2"/>
        <v/>
      </c>
      <c r="J35" s="1" t="str">
        <f t="shared" si="3"/>
        <v/>
      </c>
      <c r="K35" s="13" t="str">
        <f t="shared" si="4"/>
        <v/>
      </c>
      <c r="L35" s="9" t="str">
        <f t="shared" si="5"/>
        <v/>
      </c>
      <c r="M35" s="1" t="str">
        <f t="shared" si="6"/>
        <v/>
      </c>
      <c r="N35" s="1" t="str">
        <f t="shared" si="7"/>
        <v/>
      </c>
      <c r="O35" s="1" t="str">
        <f t="shared" si="8"/>
        <v/>
      </c>
      <c r="P35" s="1" t="str">
        <f t="shared" si="9"/>
        <v/>
      </c>
      <c r="Q35" s="1" t="str">
        <f t="shared" si="10"/>
        <v/>
      </c>
      <c r="R35" s="1" t="str">
        <f t="shared" si="11"/>
        <v/>
      </c>
      <c r="S35" s="1" t="str">
        <f t="shared" si="12"/>
        <v/>
      </c>
      <c r="T35" s="1" t="str">
        <f t="shared" si="13"/>
        <v/>
      </c>
      <c r="U35" s="1" t="str">
        <f t="shared" si="14"/>
        <v/>
      </c>
      <c r="V35" s="1" t="str">
        <f t="shared" si="15"/>
        <v/>
      </c>
      <c r="W35" s="26" t="str">
        <f t="shared" si="16"/>
        <v/>
      </c>
      <c r="X35" s="13" t="str">
        <f t="shared" si="17"/>
        <v/>
      </c>
      <c r="Y35" s="9">
        <f t="shared" si="18"/>
        <v>0</v>
      </c>
    </row>
    <row r="36" spans="1:25" x14ac:dyDescent="0.25">
      <c r="A36" s="28"/>
      <c r="B36" s="29"/>
      <c r="C36" s="30"/>
      <c r="D36" s="31"/>
      <c r="E36" s="29" t="s">
        <v>16</v>
      </c>
      <c r="F36" s="13" t="b">
        <f>IF($E36=Categories!$A$1,"",IF($E36=Categories!$A$2,Categories!$B$2,IF($E36=Categories!$A$3,Categories!$B$3,IF($E36=Categories!$A$4,Categories!$B$4,IF($E36=Categories!$A$5,Categories!$B$5,IF($E36=Categories!$A$6,Categories!$B$6,IF($E36=Categories!$A$7,Categories!$B$7,IF($E36=Categories!$A$8,Categories!$B$8,IF($E36=Categories!$A$9,Categories!$B$9,IF($E36=Categories!$A$10,Categories!$B$10,IF($E36=Categories!$A$11,Categories!$B$11,IF($E36=Categories!$A$12,Categories!$B$12,IF($E36=Categories!$A$13,Categories!$B$13,IF($E36=Categories!$A$14,Categories!$B$14,IF($E36=Categories!$A$15,Categories!$B$15,IF($E36=Categories!$A$16,Categories!$B$16,IF($E36=Categories!$A$17,Categories!$B$17,IF($E36=Categories!$A$18,Categories!$B$18,IF($E36=Categories!$A$19,Categories!$B$19)))))))))))))))))))</f>
        <v>0</v>
      </c>
      <c r="G36" s="9" t="str">
        <f t="shared" si="0"/>
        <v/>
      </c>
      <c r="H36" s="1" t="str">
        <f t="shared" si="1"/>
        <v/>
      </c>
      <c r="I36" s="1" t="str">
        <f t="shared" si="2"/>
        <v/>
      </c>
      <c r="J36" s="1" t="str">
        <f t="shared" si="3"/>
        <v/>
      </c>
      <c r="K36" s="13" t="str">
        <f t="shared" si="4"/>
        <v/>
      </c>
      <c r="L36" s="9" t="str">
        <f t="shared" si="5"/>
        <v/>
      </c>
      <c r="M36" s="1" t="str">
        <f t="shared" si="6"/>
        <v/>
      </c>
      <c r="N36" s="1" t="str">
        <f t="shared" si="7"/>
        <v/>
      </c>
      <c r="O36" s="1" t="str">
        <f t="shared" si="8"/>
        <v/>
      </c>
      <c r="P36" s="1" t="str">
        <f t="shared" si="9"/>
        <v/>
      </c>
      <c r="Q36" s="1" t="str">
        <f t="shared" si="10"/>
        <v/>
      </c>
      <c r="R36" s="1" t="str">
        <f t="shared" si="11"/>
        <v/>
      </c>
      <c r="S36" s="1" t="str">
        <f t="shared" si="12"/>
        <v/>
      </c>
      <c r="T36" s="1" t="str">
        <f t="shared" si="13"/>
        <v/>
      </c>
      <c r="U36" s="1" t="str">
        <f t="shared" si="14"/>
        <v/>
      </c>
      <c r="V36" s="1" t="str">
        <f t="shared" si="15"/>
        <v/>
      </c>
      <c r="W36" s="26" t="str">
        <f t="shared" si="16"/>
        <v/>
      </c>
      <c r="X36" s="13" t="str">
        <f t="shared" si="17"/>
        <v/>
      </c>
      <c r="Y36" s="9">
        <f t="shared" si="18"/>
        <v>0</v>
      </c>
    </row>
    <row r="37" spans="1:25" x14ac:dyDescent="0.25">
      <c r="A37" s="28"/>
      <c r="B37" s="29"/>
      <c r="C37" s="30"/>
      <c r="D37" s="31"/>
      <c r="E37" s="29" t="s">
        <v>16</v>
      </c>
      <c r="F37" s="13" t="b">
        <f>IF($E37=Categories!$A$1,"",IF($E37=Categories!$A$2,Categories!$B$2,IF($E37=Categories!$A$3,Categories!$B$3,IF($E37=Categories!$A$4,Categories!$B$4,IF($E37=Categories!$A$5,Categories!$B$5,IF($E37=Categories!$A$6,Categories!$B$6,IF($E37=Categories!$A$7,Categories!$B$7,IF($E37=Categories!$A$8,Categories!$B$8,IF($E37=Categories!$A$9,Categories!$B$9,IF($E37=Categories!$A$10,Categories!$B$10,IF($E37=Categories!$A$11,Categories!$B$11,IF($E37=Categories!$A$12,Categories!$B$12,IF($E37=Categories!$A$13,Categories!$B$13,IF($E37=Categories!$A$14,Categories!$B$14,IF($E37=Categories!$A$15,Categories!$B$15,IF($E37=Categories!$A$16,Categories!$B$16,IF($E37=Categories!$A$17,Categories!$B$17,IF($E37=Categories!$A$18,Categories!$B$18,IF($E37=Categories!$A$19,Categories!$B$19)))))))))))))))))))</f>
        <v>0</v>
      </c>
      <c r="G37" s="9" t="str">
        <f t="shared" si="0"/>
        <v/>
      </c>
      <c r="H37" s="1" t="str">
        <f t="shared" si="1"/>
        <v/>
      </c>
      <c r="I37" s="1" t="str">
        <f t="shared" si="2"/>
        <v/>
      </c>
      <c r="J37" s="1" t="str">
        <f t="shared" si="3"/>
        <v/>
      </c>
      <c r="K37" s="13" t="str">
        <f t="shared" si="4"/>
        <v/>
      </c>
      <c r="L37" s="9" t="str">
        <f t="shared" si="5"/>
        <v/>
      </c>
      <c r="M37" s="1" t="str">
        <f t="shared" si="6"/>
        <v/>
      </c>
      <c r="N37" s="1" t="str">
        <f t="shared" si="7"/>
        <v/>
      </c>
      <c r="O37" s="1" t="str">
        <f t="shared" si="8"/>
        <v/>
      </c>
      <c r="P37" s="1" t="str">
        <f t="shared" si="9"/>
        <v/>
      </c>
      <c r="Q37" s="1" t="str">
        <f t="shared" si="10"/>
        <v/>
      </c>
      <c r="R37" s="1" t="str">
        <f t="shared" si="11"/>
        <v/>
      </c>
      <c r="S37" s="1" t="str">
        <f t="shared" si="12"/>
        <v/>
      </c>
      <c r="T37" s="1" t="str">
        <f t="shared" si="13"/>
        <v/>
      </c>
      <c r="U37" s="1" t="str">
        <f t="shared" si="14"/>
        <v/>
      </c>
      <c r="V37" s="1" t="str">
        <f t="shared" si="15"/>
        <v/>
      </c>
      <c r="W37" s="26" t="str">
        <f t="shared" si="16"/>
        <v/>
      </c>
      <c r="X37" s="13" t="str">
        <f t="shared" si="17"/>
        <v/>
      </c>
      <c r="Y37" s="9">
        <f t="shared" si="18"/>
        <v>0</v>
      </c>
    </row>
    <row r="38" spans="1:25" x14ac:dyDescent="0.25">
      <c r="A38" s="28"/>
      <c r="B38" s="29"/>
      <c r="C38" s="30"/>
      <c r="D38" s="31"/>
      <c r="E38" s="29" t="s">
        <v>16</v>
      </c>
      <c r="F38" s="13" t="b">
        <f>IF($E38=Categories!$A$1,"",IF($E38=Categories!$A$2,Categories!$B$2,IF($E38=Categories!$A$3,Categories!$B$3,IF($E38=Categories!$A$4,Categories!$B$4,IF($E38=Categories!$A$5,Categories!$B$5,IF($E38=Categories!$A$6,Categories!$B$6,IF($E38=Categories!$A$7,Categories!$B$7,IF($E38=Categories!$A$8,Categories!$B$8,IF($E38=Categories!$A$9,Categories!$B$9,IF($E38=Categories!$A$10,Categories!$B$10,IF($E38=Categories!$A$11,Categories!$B$11,IF($E38=Categories!$A$12,Categories!$B$12,IF($E38=Categories!$A$13,Categories!$B$13,IF($E38=Categories!$A$14,Categories!$B$14,IF($E38=Categories!$A$15,Categories!$B$15,IF($E38=Categories!$A$16,Categories!$B$16,IF($E38=Categories!$A$17,Categories!$B$17,IF($E38=Categories!$A$18,Categories!$B$18,IF($E38=Categories!$A$19,Categories!$B$19)))))))))))))))))))</f>
        <v>0</v>
      </c>
      <c r="G38" s="9" t="str">
        <f t="shared" si="0"/>
        <v/>
      </c>
      <c r="H38" s="1" t="str">
        <f t="shared" si="1"/>
        <v/>
      </c>
      <c r="I38" s="1" t="str">
        <f t="shared" si="2"/>
        <v/>
      </c>
      <c r="J38" s="1" t="str">
        <f t="shared" si="3"/>
        <v/>
      </c>
      <c r="K38" s="13" t="str">
        <f t="shared" si="4"/>
        <v/>
      </c>
      <c r="L38" s="9" t="str">
        <f t="shared" si="5"/>
        <v/>
      </c>
      <c r="M38" s="1" t="str">
        <f t="shared" si="6"/>
        <v/>
      </c>
      <c r="N38" s="1" t="str">
        <f t="shared" si="7"/>
        <v/>
      </c>
      <c r="O38" s="1" t="str">
        <f t="shared" si="8"/>
        <v/>
      </c>
      <c r="P38" s="1" t="str">
        <f t="shared" si="9"/>
        <v/>
      </c>
      <c r="Q38" s="1" t="str">
        <f t="shared" si="10"/>
        <v/>
      </c>
      <c r="R38" s="1" t="str">
        <f t="shared" si="11"/>
        <v/>
      </c>
      <c r="S38" s="1" t="str">
        <f t="shared" si="12"/>
        <v/>
      </c>
      <c r="T38" s="1" t="str">
        <f t="shared" si="13"/>
        <v/>
      </c>
      <c r="U38" s="1" t="str">
        <f t="shared" si="14"/>
        <v/>
      </c>
      <c r="V38" s="1" t="str">
        <f t="shared" si="15"/>
        <v/>
      </c>
      <c r="W38" s="26" t="str">
        <f t="shared" si="16"/>
        <v/>
      </c>
      <c r="X38" s="13" t="str">
        <f t="shared" si="17"/>
        <v/>
      </c>
      <c r="Y38" s="9">
        <f t="shared" si="18"/>
        <v>0</v>
      </c>
    </row>
    <row r="39" spans="1:25" x14ac:dyDescent="0.25">
      <c r="A39" s="28"/>
      <c r="B39" s="29"/>
      <c r="C39" s="30"/>
      <c r="D39" s="31"/>
      <c r="E39" s="29" t="s">
        <v>16</v>
      </c>
      <c r="F39" s="13" t="b">
        <f>IF($E39=Categories!$A$1,"",IF($E39=Categories!$A$2,Categories!$B$2,IF($E39=Categories!$A$3,Categories!$B$3,IF($E39=Categories!$A$4,Categories!$B$4,IF($E39=Categories!$A$5,Categories!$B$5,IF($E39=Categories!$A$6,Categories!$B$6,IF($E39=Categories!$A$7,Categories!$B$7,IF($E39=Categories!$A$8,Categories!$B$8,IF($E39=Categories!$A$9,Categories!$B$9,IF($E39=Categories!$A$10,Categories!$B$10,IF($E39=Categories!$A$11,Categories!$B$11,IF($E39=Categories!$A$12,Categories!$B$12,IF($E39=Categories!$A$13,Categories!$B$13,IF($E39=Categories!$A$14,Categories!$B$14,IF($E39=Categories!$A$15,Categories!$B$15,IF($E39=Categories!$A$16,Categories!$B$16,IF($E39=Categories!$A$17,Categories!$B$17,IF($E39=Categories!$A$18,Categories!$B$18,IF($E39=Categories!$A$19,Categories!$B$19)))))))))))))))))))</f>
        <v>0</v>
      </c>
      <c r="G39" s="9" t="str">
        <f t="shared" si="0"/>
        <v/>
      </c>
      <c r="H39" s="1" t="str">
        <f t="shared" si="1"/>
        <v/>
      </c>
      <c r="I39" s="1" t="str">
        <f t="shared" si="2"/>
        <v/>
      </c>
      <c r="J39" s="1" t="str">
        <f t="shared" si="3"/>
        <v/>
      </c>
      <c r="K39" s="13" t="str">
        <f t="shared" si="4"/>
        <v/>
      </c>
      <c r="L39" s="9" t="str">
        <f t="shared" si="5"/>
        <v/>
      </c>
      <c r="M39" s="1" t="str">
        <f t="shared" si="6"/>
        <v/>
      </c>
      <c r="N39" s="1" t="str">
        <f t="shared" si="7"/>
        <v/>
      </c>
      <c r="O39" s="1" t="str">
        <f t="shared" si="8"/>
        <v/>
      </c>
      <c r="P39" s="1" t="str">
        <f t="shared" si="9"/>
        <v/>
      </c>
      <c r="Q39" s="1" t="str">
        <f t="shared" si="10"/>
        <v/>
      </c>
      <c r="R39" s="1" t="str">
        <f t="shared" si="11"/>
        <v/>
      </c>
      <c r="S39" s="1" t="str">
        <f t="shared" si="12"/>
        <v/>
      </c>
      <c r="T39" s="1" t="str">
        <f t="shared" si="13"/>
        <v/>
      </c>
      <c r="U39" s="1" t="str">
        <f t="shared" si="14"/>
        <v/>
      </c>
      <c r="V39" s="1" t="str">
        <f t="shared" si="15"/>
        <v/>
      </c>
      <c r="W39" s="26" t="str">
        <f t="shared" si="16"/>
        <v/>
      </c>
      <c r="X39" s="13" t="str">
        <f t="shared" si="17"/>
        <v/>
      </c>
      <c r="Y39" s="9">
        <f t="shared" si="18"/>
        <v>0</v>
      </c>
    </row>
    <row r="40" spans="1:25" x14ac:dyDescent="0.25">
      <c r="A40" s="28"/>
      <c r="B40" s="29"/>
      <c r="C40" s="30"/>
      <c r="D40" s="31"/>
      <c r="E40" s="29" t="s">
        <v>16</v>
      </c>
      <c r="F40" s="13" t="b">
        <f>IF($E40=Categories!$A$1,"",IF($E40=Categories!$A$2,Categories!$B$2,IF($E40=Categories!$A$3,Categories!$B$3,IF($E40=Categories!$A$4,Categories!$B$4,IF($E40=Categories!$A$5,Categories!$B$5,IF($E40=Categories!$A$6,Categories!$B$6,IF($E40=Categories!$A$7,Categories!$B$7,IF($E40=Categories!$A$8,Categories!$B$8,IF($E40=Categories!$A$9,Categories!$B$9,IF($E40=Categories!$A$10,Categories!$B$10,IF($E40=Categories!$A$11,Categories!$B$11,IF($E40=Categories!$A$12,Categories!$B$12,IF($E40=Categories!$A$13,Categories!$B$13,IF($E40=Categories!$A$14,Categories!$B$14,IF($E40=Categories!$A$15,Categories!$B$15,IF($E40=Categories!$A$16,Categories!$B$16,IF($E40=Categories!$A$17,Categories!$B$17,IF($E40=Categories!$A$18,Categories!$B$18,IF($E40=Categories!$A$19,Categories!$B$19)))))))))))))))))))</f>
        <v>0</v>
      </c>
      <c r="G40" s="9" t="str">
        <f t="shared" si="0"/>
        <v/>
      </c>
      <c r="H40" s="1" t="str">
        <f t="shared" si="1"/>
        <v/>
      </c>
      <c r="I40" s="1" t="str">
        <f t="shared" si="2"/>
        <v/>
      </c>
      <c r="J40" s="1" t="str">
        <f t="shared" si="3"/>
        <v/>
      </c>
      <c r="K40" s="13" t="str">
        <f t="shared" si="4"/>
        <v/>
      </c>
      <c r="L40" s="9" t="str">
        <f t="shared" si="5"/>
        <v/>
      </c>
      <c r="M40" s="1" t="str">
        <f t="shared" si="6"/>
        <v/>
      </c>
      <c r="N40" s="1" t="str">
        <f t="shared" si="7"/>
        <v/>
      </c>
      <c r="O40" s="1" t="str">
        <f t="shared" si="8"/>
        <v/>
      </c>
      <c r="P40" s="1" t="str">
        <f t="shared" si="9"/>
        <v/>
      </c>
      <c r="Q40" s="1" t="str">
        <f t="shared" si="10"/>
        <v/>
      </c>
      <c r="R40" s="1" t="str">
        <f t="shared" si="11"/>
        <v/>
      </c>
      <c r="S40" s="1" t="str">
        <f t="shared" si="12"/>
        <v/>
      </c>
      <c r="T40" s="1" t="str">
        <f t="shared" si="13"/>
        <v/>
      </c>
      <c r="U40" s="1" t="str">
        <f t="shared" si="14"/>
        <v/>
      </c>
      <c r="V40" s="1" t="str">
        <f t="shared" si="15"/>
        <v/>
      </c>
      <c r="W40" s="26" t="str">
        <f t="shared" si="16"/>
        <v/>
      </c>
      <c r="X40" s="13" t="str">
        <f t="shared" si="17"/>
        <v/>
      </c>
      <c r="Y40" s="9">
        <f t="shared" si="18"/>
        <v>0</v>
      </c>
    </row>
    <row r="41" spans="1:25" x14ac:dyDescent="0.25">
      <c r="A41" s="28"/>
      <c r="B41" s="29"/>
      <c r="C41" s="30"/>
      <c r="D41" s="31"/>
      <c r="E41" s="29" t="s">
        <v>16</v>
      </c>
      <c r="F41" s="13" t="b">
        <f>IF($E41=Categories!$A$1,"",IF($E41=Categories!$A$2,Categories!$B$2,IF($E41=Categories!$A$3,Categories!$B$3,IF($E41=Categories!$A$4,Categories!$B$4,IF($E41=Categories!$A$5,Categories!$B$5,IF($E41=Categories!$A$6,Categories!$B$6,IF($E41=Categories!$A$7,Categories!$B$7,IF($E41=Categories!$A$8,Categories!$B$8,IF($E41=Categories!$A$9,Categories!$B$9,IF($E41=Categories!$A$10,Categories!$B$10,IF($E41=Categories!$A$11,Categories!$B$11,IF($E41=Categories!$A$12,Categories!$B$12,IF($E41=Categories!$A$13,Categories!$B$13,IF($E41=Categories!$A$14,Categories!$B$14,IF($E41=Categories!$A$15,Categories!$B$15,IF($E41=Categories!$A$16,Categories!$B$16,IF($E41=Categories!$A$17,Categories!$B$17,IF($E41=Categories!$A$18,Categories!$B$18,IF($E41=Categories!$A$19,Categories!$B$19)))))))))))))))))))</f>
        <v>0</v>
      </c>
      <c r="G41" s="9" t="str">
        <f t="shared" si="0"/>
        <v/>
      </c>
      <c r="H41" s="1" t="str">
        <f t="shared" si="1"/>
        <v/>
      </c>
      <c r="I41" s="1" t="str">
        <f t="shared" si="2"/>
        <v/>
      </c>
      <c r="J41" s="1" t="str">
        <f t="shared" si="3"/>
        <v/>
      </c>
      <c r="K41" s="13" t="str">
        <f t="shared" si="4"/>
        <v/>
      </c>
      <c r="L41" s="9" t="str">
        <f t="shared" si="5"/>
        <v/>
      </c>
      <c r="M41" s="1" t="str">
        <f t="shared" si="6"/>
        <v/>
      </c>
      <c r="N41" s="1" t="str">
        <f t="shared" si="7"/>
        <v/>
      </c>
      <c r="O41" s="1" t="str">
        <f t="shared" si="8"/>
        <v/>
      </c>
      <c r="P41" s="1" t="str">
        <f t="shared" si="9"/>
        <v/>
      </c>
      <c r="Q41" s="1" t="str">
        <f t="shared" si="10"/>
        <v/>
      </c>
      <c r="R41" s="1" t="str">
        <f t="shared" si="11"/>
        <v/>
      </c>
      <c r="S41" s="1" t="str">
        <f t="shared" si="12"/>
        <v/>
      </c>
      <c r="T41" s="1" t="str">
        <f t="shared" si="13"/>
        <v/>
      </c>
      <c r="U41" s="1" t="str">
        <f t="shared" si="14"/>
        <v/>
      </c>
      <c r="V41" s="1" t="str">
        <f t="shared" si="15"/>
        <v/>
      </c>
      <c r="W41" s="26" t="str">
        <f t="shared" si="16"/>
        <v/>
      </c>
      <c r="X41" s="13" t="str">
        <f t="shared" si="17"/>
        <v/>
      </c>
      <c r="Y41" s="9">
        <f t="shared" si="18"/>
        <v>0</v>
      </c>
    </row>
    <row r="42" spans="1:25" x14ac:dyDescent="0.25">
      <c r="A42" s="28"/>
      <c r="B42" s="29"/>
      <c r="C42" s="30"/>
      <c r="D42" s="31"/>
      <c r="E42" s="29" t="s">
        <v>16</v>
      </c>
      <c r="F42" s="13" t="b">
        <f>IF($E42=Categories!$A$1,"",IF($E42=Categories!$A$2,Categories!$B$2,IF($E42=Categories!$A$3,Categories!$B$3,IF($E42=Categories!$A$4,Categories!$B$4,IF($E42=Categories!$A$5,Categories!$B$5,IF($E42=Categories!$A$6,Categories!$B$6,IF($E42=Categories!$A$7,Categories!$B$7,IF($E42=Categories!$A$8,Categories!$B$8,IF($E42=Categories!$A$9,Categories!$B$9,IF($E42=Categories!$A$10,Categories!$B$10,IF($E42=Categories!$A$11,Categories!$B$11,IF($E42=Categories!$A$12,Categories!$B$12,IF($E42=Categories!$A$13,Categories!$B$13,IF($E42=Categories!$A$14,Categories!$B$14,IF($E42=Categories!$A$15,Categories!$B$15,IF($E42=Categories!$A$16,Categories!$B$16,IF($E42=Categories!$A$17,Categories!$B$17,IF($E42=Categories!$A$18,Categories!$B$18,IF($E42=Categories!$A$19,Categories!$B$19)))))))))))))))))))</f>
        <v>0</v>
      </c>
      <c r="G42" s="9" t="str">
        <f t="shared" si="0"/>
        <v/>
      </c>
      <c r="H42" s="1" t="str">
        <f t="shared" si="1"/>
        <v/>
      </c>
      <c r="I42" s="1" t="str">
        <f t="shared" si="2"/>
        <v/>
      </c>
      <c r="J42" s="1" t="str">
        <f t="shared" si="3"/>
        <v/>
      </c>
      <c r="K42" s="13" t="str">
        <f t="shared" si="4"/>
        <v/>
      </c>
      <c r="L42" s="9" t="str">
        <f t="shared" si="5"/>
        <v/>
      </c>
      <c r="M42" s="1" t="str">
        <f t="shared" si="6"/>
        <v/>
      </c>
      <c r="N42" s="1" t="str">
        <f t="shared" si="7"/>
        <v/>
      </c>
      <c r="O42" s="1" t="str">
        <f t="shared" si="8"/>
        <v/>
      </c>
      <c r="P42" s="1" t="str">
        <f t="shared" si="9"/>
        <v/>
      </c>
      <c r="Q42" s="1" t="str">
        <f t="shared" si="10"/>
        <v/>
      </c>
      <c r="R42" s="1" t="str">
        <f t="shared" si="11"/>
        <v/>
      </c>
      <c r="S42" s="1" t="str">
        <f t="shared" si="12"/>
        <v/>
      </c>
      <c r="T42" s="1" t="str">
        <f t="shared" si="13"/>
        <v/>
      </c>
      <c r="U42" s="1" t="str">
        <f t="shared" si="14"/>
        <v/>
      </c>
      <c r="V42" s="1" t="str">
        <f t="shared" si="15"/>
        <v/>
      </c>
      <c r="W42" s="26" t="str">
        <f t="shared" si="16"/>
        <v/>
      </c>
      <c r="X42" s="13" t="str">
        <f t="shared" si="17"/>
        <v/>
      </c>
      <c r="Y42" s="9">
        <f t="shared" si="18"/>
        <v>0</v>
      </c>
    </row>
    <row r="43" spans="1:25" x14ac:dyDescent="0.25">
      <c r="A43" s="28"/>
      <c r="B43" s="29"/>
      <c r="C43" s="30"/>
      <c r="D43" s="31"/>
      <c r="E43" s="29" t="s">
        <v>16</v>
      </c>
      <c r="F43" s="13" t="b">
        <f>IF($E43=Categories!$A$1,"",IF($E43=Categories!$A$2,Categories!$B$2,IF($E43=Categories!$A$3,Categories!$B$3,IF($E43=Categories!$A$4,Categories!$B$4,IF($E43=Categories!$A$5,Categories!$B$5,IF($E43=Categories!$A$6,Categories!$B$6,IF($E43=Categories!$A$7,Categories!$B$7,IF($E43=Categories!$A$8,Categories!$B$8,IF($E43=Categories!$A$9,Categories!$B$9,IF($E43=Categories!$A$10,Categories!$B$10,IF($E43=Categories!$A$11,Categories!$B$11,IF($E43=Categories!$A$12,Categories!$B$12,IF($E43=Categories!$A$13,Categories!$B$13,IF($E43=Categories!$A$14,Categories!$B$14,IF($E43=Categories!$A$15,Categories!$B$15,IF($E43=Categories!$A$16,Categories!$B$16,IF($E43=Categories!$A$17,Categories!$B$17,IF($E43=Categories!$A$18,Categories!$B$18,IF($E43=Categories!$A$19,Categories!$B$19)))))))))))))))))))</f>
        <v>0</v>
      </c>
      <c r="G43" s="9" t="str">
        <f t="shared" si="0"/>
        <v/>
      </c>
      <c r="H43" s="1" t="str">
        <f t="shared" si="1"/>
        <v/>
      </c>
      <c r="I43" s="1" t="str">
        <f t="shared" si="2"/>
        <v/>
      </c>
      <c r="J43" s="1" t="str">
        <f t="shared" si="3"/>
        <v/>
      </c>
      <c r="K43" s="13" t="str">
        <f t="shared" si="4"/>
        <v/>
      </c>
      <c r="L43" s="9" t="str">
        <f t="shared" si="5"/>
        <v/>
      </c>
      <c r="M43" s="1" t="str">
        <f t="shared" si="6"/>
        <v/>
      </c>
      <c r="N43" s="1" t="str">
        <f t="shared" si="7"/>
        <v/>
      </c>
      <c r="O43" s="1" t="str">
        <f t="shared" si="8"/>
        <v/>
      </c>
      <c r="P43" s="1" t="str">
        <f t="shared" si="9"/>
        <v/>
      </c>
      <c r="Q43" s="1" t="str">
        <f t="shared" si="10"/>
        <v/>
      </c>
      <c r="R43" s="1" t="str">
        <f t="shared" si="11"/>
        <v/>
      </c>
      <c r="S43" s="1" t="str">
        <f t="shared" si="12"/>
        <v/>
      </c>
      <c r="T43" s="1" t="str">
        <f t="shared" si="13"/>
        <v/>
      </c>
      <c r="U43" s="1" t="str">
        <f t="shared" si="14"/>
        <v/>
      </c>
      <c r="V43" s="1" t="str">
        <f t="shared" si="15"/>
        <v/>
      </c>
      <c r="W43" s="26" t="str">
        <f t="shared" si="16"/>
        <v/>
      </c>
      <c r="X43" s="13" t="str">
        <f t="shared" si="17"/>
        <v/>
      </c>
      <c r="Y43" s="9">
        <f t="shared" si="18"/>
        <v>0</v>
      </c>
    </row>
    <row r="44" spans="1:25" x14ac:dyDescent="0.25">
      <c r="A44" s="28"/>
      <c r="B44" s="29"/>
      <c r="C44" s="30"/>
      <c r="D44" s="31"/>
      <c r="E44" s="29" t="s">
        <v>16</v>
      </c>
      <c r="F44" s="13" t="b">
        <f>IF($E44=Categories!$A$1,"",IF($E44=Categories!$A$2,Categories!$B$2,IF($E44=Categories!$A$3,Categories!$B$3,IF($E44=Categories!$A$4,Categories!$B$4,IF($E44=Categories!$A$5,Categories!$B$5,IF($E44=Categories!$A$6,Categories!$B$6,IF($E44=Categories!$A$7,Categories!$B$7,IF($E44=Categories!$A$8,Categories!$B$8,IF($E44=Categories!$A$9,Categories!$B$9,IF($E44=Categories!$A$10,Categories!$B$10,IF($E44=Categories!$A$11,Categories!$B$11,IF($E44=Categories!$A$12,Categories!$B$12,IF($E44=Categories!$A$13,Categories!$B$13,IF($E44=Categories!$A$14,Categories!$B$14,IF($E44=Categories!$A$15,Categories!$B$15,IF($E44=Categories!$A$16,Categories!$B$16,IF($E44=Categories!$A$17,Categories!$B$17,IF($E44=Categories!$A$18,Categories!$B$18,IF($E44=Categories!$A$19,Categories!$B$19)))))))))))))))))))</f>
        <v>0</v>
      </c>
      <c r="G44" s="9" t="str">
        <f t="shared" si="0"/>
        <v/>
      </c>
      <c r="H44" s="1" t="str">
        <f t="shared" si="1"/>
        <v/>
      </c>
      <c r="I44" s="1" t="str">
        <f t="shared" si="2"/>
        <v/>
      </c>
      <c r="J44" s="1" t="str">
        <f t="shared" si="3"/>
        <v/>
      </c>
      <c r="K44" s="13" t="str">
        <f t="shared" si="4"/>
        <v/>
      </c>
      <c r="L44" s="9" t="str">
        <f t="shared" si="5"/>
        <v/>
      </c>
      <c r="M44" s="1" t="str">
        <f t="shared" si="6"/>
        <v/>
      </c>
      <c r="N44" s="1" t="str">
        <f t="shared" si="7"/>
        <v/>
      </c>
      <c r="O44" s="1" t="str">
        <f t="shared" si="8"/>
        <v/>
      </c>
      <c r="P44" s="1" t="str">
        <f t="shared" si="9"/>
        <v/>
      </c>
      <c r="Q44" s="1" t="str">
        <f t="shared" si="10"/>
        <v/>
      </c>
      <c r="R44" s="1" t="str">
        <f t="shared" si="11"/>
        <v/>
      </c>
      <c r="S44" s="1" t="str">
        <f t="shared" si="12"/>
        <v/>
      </c>
      <c r="T44" s="1" t="str">
        <f t="shared" si="13"/>
        <v/>
      </c>
      <c r="U44" s="1" t="str">
        <f t="shared" si="14"/>
        <v/>
      </c>
      <c r="V44" s="1" t="str">
        <f t="shared" si="15"/>
        <v/>
      </c>
      <c r="W44" s="26" t="str">
        <f t="shared" si="16"/>
        <v/>
      </c>
      <c r="X44" s="13" t="str">
        <f t="shared" si="17"/>
        <v/>
      </c>
      <c r="Y44" s="9">
        <f t="shared" si="18"/>
        <v>0</v>
      </c>
    </row>
    <row r="45" spans="1:25" x14ac:dyDescent="0.25">
      <c r="A45" s="28"/>
      <c r="B45" s="29"/>
      <c r="C45" s="30"/>
      <c r="D45" s="31"/>
      <c r="E45" s="29" t="s">
        <v>16</v>
      </c>
      <c r="F45" s="13" t="b">
        <f>IF($E45=Categories!$A$1,"",IF($E45=Categories!$A$2,Categories!$B$2,IF($E45=Categories!$A$3,Categories!$B$3,IF($E45=Categories!$A$4,Categories!$B$4,IF($E45=Categories!$A$5,Categories!$B$5,IF($E45=Categories!$A$6,Categories!$B$6,IF($E45=Categories!$A$7,Categories!$B$7,IF($E45=Categories!$A$8,Categories!$B$8,IF($E45=Categories!$A$9,Categories!$B$9,IF($E45=Categories!$A$10,Categories!$B$10,IF($E45=Categories!$A$11,Categories!$B$11,IF($E45=Categories!$A$12,Categories!$B$12,IF($E45=Categories!$A$13,Categories!$B$13,IF($E45=Categories!$A$14,Categories!$B$14,IF($E45=Categories!$A$15,Categories!$B$15,IF($E45=Categories!$A$16,Categories!$B$16,IF($E45=Categories!$A$17,Categories!$B$17,IF($E45=Categories!$A$18,Categories!$B$18,IF($E45=Categories!$A$19,Categories!$B$19)))))))))))))))))))</f>
        <v>0</v>
      </c>
      <c r="G45" s="9" t="str">
        <f t="shared" si="0"/>
        <v/>
      </c>
      <c r="H45" s="1" t="str">
        <f t="shared" si="1"/>
        <v/>
      </c>
      <c r="I45" s="1" t="str">
        <f t="shared" si="2"/>
        <v/>
      </c>
      <c r="J45" s="1" t="str">
        <f t="shared" si="3"/>
        <v/>
      </c>
      <c r="K45" s="13" t="str">
        <f t="shared" si="4"/>
        <v/>
      </c>
      <c r="L45" s="9" t="str">
        <f t="shared" si="5"/>
        <v/>
      </c>
      <c r="M45" s="1" t="str">
        <f t="shared" si="6"/>
        <v/>
      </c>
      <c r="N45" s="1" t="str">
        <f t="shared" si="7"/>
        <v/>
      </c>
      <c r="O45" s="1" t="str">
        <f t="shared" si="8"/>
        <v/>
      </c>
      <c r="P45" s="1" t="str">
        <f t="shared" si="9"/>
        <v/>
      </c>
      <c r="Q45" s="1" t="str">
        <f t="shared" si="10"/>
        <v/>
      </c>
      <c r="R45" s="1" t="str">
        <f t="shared" si="11"/>
        <v/>
      </c>
      <c r="S45" s="1" t="str">
        <f t="shared" si="12"/>
        <v/>
      </c>
      <c r="T45" s="1" t="str">
        <f t="shared" si="13"/>
        <v/>
      </c>
      <c r="U45" s="1" t="str">
        <f t="shared" si="14"/>
        <v/>
      </c>
      <c r="V45" s="1" t="str">
        <f t="shared" si="15"/>
        <v/>
      </c>
      <c r="W45" s="26" t="str">
        <f t="shared" si="16"/>
        <v/>
      </c>
      <c r="X45" s="13" t="str">
        <f t="shared" si="17"/>
        <v/>
      </c>
      <c r="Y45" s="9">
        <f t="shared" si="18"/>
        <v>0</v>
      </c>
    </row>
    <row r="46" spans="1:25" x14ac:dyDescent="0.25">
      <c r="A46" s="28"/>
      <c r="B46" s="29"/>
      <c r="C46" s="30"/>
      <c r="D46" s="31"/>
      <c r="E46" s="29" t="s">
        <v>16</v>
      </c>
      <c r="F46" s="13" t="b">
        <f>IF($E46=Categories!$A$1,"",IF($E46=Categories!$A$2,Categories!$B$2,IF($E46=Categories!$A$3,Categories!$B$3,IF($E46=Categories!$A$4,Categories!$B$4,IF($E46=Categories!$A$5,Categories!$B$5,IF($E46=Categories!$A$6,Categories!$B$6,IF($E46=Categories!$A$7,Categories!$B$7,IF($E46=Categories!$A$8,Categories!$B$8,IF($E46=Categories!$A$9,Categories!$B$9,IF($E46=Categories!$A$10,Categories!$B$10,IF($E46=Categories!$A$11,Categories!$B$11,IF($E46=Categories!$A$12,Categories!$B$12,IF($E46=Categories!$A$13,Categories!$B$13,IF($E46=Categories!$A$14,Categories!$B$14,IF($E46=Categories!$A$15,Categories!$B$15,IF($E46=Categories!$A$16,Categories!$B$16,IF($E46=Categories!$A$17,Categories!$B$17,IF($E46=Categories!$A$18,Categories!$B$18,IF($E46=Categories!$A$19,Categories!$B$19)))))))))))))))))))</f>
        <v>0</v>
      </c>
      <c r="G46" s="9" t="str">
        <f t="shared" si="0"/>
        <v/>
      </c>
      <c r="H46" s="1" t="str">
        <f t="shared" si="1"/>
        <v/>
      </c>
      <c r="I46" s="1" t="str">
        <f t="shared" si="2"/>
        <v/>
      </c>
      <c r="J46" s="1" t="str">
        <f t="shared" si="3"/>
        <v/>
      </c>
      <c r="K46" s="13" t="str">
        <f t="shared" si="4"/>
        <v/>
      </c>
      <c r="L46" s="9" t="str">
        <f t="shared" si="5"/>
        <v/>
      </c>
      <c r="M46" s="1" t="str">
        <f t="shared" si="6"/>
        <v/>
      </c>
      <c r="N46" s="1" t="str">
        <f t="shared" si="7"/>
        <v/>
      </c>
      <c r="O46" s="1" t="str">
        <f t="shared" si="8"/>
        <v/>
      </c>
      <c r="P46" s="1" t="str">
        <f t="shared" si="9"/>
        <v/>
      </c>
      <c r="Q46" s="1" t="str">
        <f t="shared" si="10"/>
        <v/>
      </c>
      <c r="R46" s="1" t="str">
        <f t="shared" si="11"/>
        <v/>
      </c>
      <c r="S46" s="1" t="str">
        <f t="shared" si="12"/>
        <v/>
      </c>
      <c r="T46" s="1" t="str">
        <f t="shared" si="13"/>
        <v/>
      </c>
      <c r="U46" s="1" t="str">
        <f t="shared" si="14"/>
        <v/>
      </c>
      <c r="V46" s="1" t="str">
        <f t="shared" si="15"/>
        <v/>
      </c>
      <c r="W46" s="26" t="str">
        <f t="shared" si="16"/>
        <v/>
      </c>
      <c r="X46" s="13" t="str">
        <f t="shared" si="17"/>
        <v/>
      </c>
      <c r="Y46" s="9">
        <f t="shared" si="18"/>
        <v>0</v>
      </c>
    </row>
    <row r="47" spans="1:25" x14ac:dyDescent="0.25">
      <c r="A47" s="28"/>
      <c r="B47" s="29"/>
      <c r="C47" s="30"/>
      <c r="D47" s="31"/>
      <c r="E47" s="29" t="s">
        <v>16</v>
      </c>
      <c r="F47" s="13" t="b">
        <f>IF($E47=Categories!$A$1,"",IF($E47=Categories!$A$2,Categories!$B$2,IF($E47=Categories!$A$3,Categories!$B$3,IF($E47=Categories!$A$4,Categories!$B$4,IF($E47=Categories!$A$5,Categories!$B$5,IF($E47=Categories!$A$6,Categories!$B$6,IF($E47=Categories!$A$7,Categories!$B$7,IF($E47=Categories!$A$8,Categories!$B$8,IF($E47=Categories!$A$9,Categories!$B$9,IF($E47=Categories!$A$10,Categories!$B$10,IF($E47=Categories!$A$11,Categories!$B$11,IF($E47=Categories!$A$12,Categories!$B$12,IF($E47=Categories!$A$13,Categories!$B$13,IF($E47=Categories!$A$14,Categories!$B$14,IF($E47=Categories!$A$15,Categories!$B$15,IF($E47=Categories!$A$16,Categories!$B$16,IF($E47=Categories!$A$17,Categories!$B$17,IF($E47=Categories!$A$18,Categories!$B$18,IF($E47=Categories!$A$19,Categories!$B$19)))))))))))))))))))</f>
        <v>0</v>
      </c>
      <c r="G47" s="9" t="str">
        <f t="shared" si="0"/>
        <v/>
      </c>
      <c r="H47" s="1" t="str">
        <f t="shared" si="1"/>
        <v/>
      </c>
      <c r="I47" s="1" t="str">
        <f t="shared" si="2"/>
        <v/>
      </c>
      <c r="J47" s="1" t="str">
        <f t="shared" si="3"/>
        <v/>
      </c>
      <c r="K47" s="13" t="str">
        <f t="shared" si="4"/>
        <v/>
      </c>
      <c r="L47" s="9" t="str">
        <f t="shared" ref="L47:L95" si="19">IF($F47="ExpA",$D47,"")</f>
        <v/>
      </c>
      <c r="M47" s="1" t="str">
        <f t="shared" si="6"/>
        <v/>
      </c>
      <c r="N47" s="1" t="str">
        <f t="shared" si="7"/>
        <v/>
      </c>
      <c r="O47" s="1" t="str">
        <f t="shared" si="8"/>
        <v/>
      </c>
      <c r="P47" s="1" t="str">
        <f t="shared" si="9"/>
        <v/>
      </c>
      <c r="Q47" s="1" t="str">
        <f t="shared" si="10"/>
        <v/>
      </c>
      <c r="R47" s="1" t="str">
        <f t="shared" si="11"/>
        <v/>
      </c>
      <c r="S47" s="1" t="str">
        <f t="shared" si="12"/>
        <v/>
      </c>
      <c r="T47" s="1" t="str">
        <f t="shared" si="13"/>
        <v/>
      </c>
      <c r="U47" s="1" t="str">
        <f t="shared" si="14"/>
        <v/>
      </c>
      <c r="V47" s="1" t="str">
        <f t="shared" si="15"/>
        <v/>
      </c>
      <c r="W47" s="26" t="str">
        <f t="shared" si="16"/>
        <v/>
      </c>
      <c r="X47" s="13" t="str">
        <f t="shared" si="17"/>
        <v/>
      </c>
      <c r="Y47" s="9">
        <f t="shared" si="18"/>
        <v>0</v>
      </c>
    </row>
    <row r="48" spans="1:25" x14ac:dyDescent="0.25">
      <c r="A48" s="28"/>
      <c r="B48" s="29"/>
      <c r="C48" s="30"/>
      <c r="D48" s="31"/>
      <c r="E48" s="29" t="s">
        <v>16</v>
      </c>
      <c r="F48" s="13" t="b">
        <f>IF($E48=Categories!$A$1,"",IF($E48=Categories!$A$2,Categories!$B$2,IF($E48=Categories!$A$3,Categories!$B$3,IF($E48=Categories!$A$4,Categories!$B$4,IF($E48=Categories!$A$5,Categories!$B$5,IF($E48=Categories!$A$6,Categories!$B$6,IF($E48=Categories!$A$7,Categories!$B$7,IF($E48=Categories!$A$8,Categories!$B$8,IF($E48=Categories!$A$9,Categories!$B$9,IF($E48=Categories!$A$10,Categories!$B$10,IF($E48=Categories!$A$11,Categories!$B$11,IF($E48=Categories!$A$12,Categories!$B$12,IF($E48=Categories!$A$13,Categories!$B$13,IF($E48=Categories!$A$14,Categories!$B$14,IF($E48=Categories!$A$15,Categories!$B$15,IF($E48=Categories!$A$16,Categories!$B$16,IF($E48=Categories!$A$17,Categories!$B$17,IF($E48=Categories!$A$18,Categories!$B$18,IF($E48=Categories!$A$19,Categories!$B$19)))))))))))))))))))</f>
        <v>0</v>
      </c>
      <c r="G48" s="9" t="str">
        <f t="shared" si="0"/>
        <v/>
      </c>
      <c r="H48" s="1" t="str">
        <f t="shared" si="1"/>
        <v/>
      </c>
      <c r="I48" s="1" t="str">
        <f t="shared" si="2"/>
        <v/>
      </c>
      <c r="J48" s="1" t="str">
        <f t="shared" si="3"/>
        <v/>
      </c>
      <c r="K48" s="13" t="str">
        <f t="shared" si="4"/>
        <v/>
      </c>
      <c r="L48" s="9" t="str">
        <f t="shared" si="19"/>
        <v/>
      </c>
      <c r="M48" s="1" t="str">
        <f t="shared" si="6"/>
        <v/>
      </c>
      <c r="N48" s="1" t="str">
        <f t="shared" si="7"/>
        <v/>
      </c>
      <c r="O48" s="1" t="str">
        <f t="shared" si="8"/>
        <v/>
      </c>
      <c r="P48" s="1" t="str">
        <f t="shared" si="9"/>
        <v/>
      </c>
      <c r="Q48" s="1" t="str">
        <f t="shared" si="10"/>
        <v/>
      </c>
      <c r="R48" s="1" t="str">
        <f t="shared" si="11"/>
        <v/>
      </c>
      <c r="S48" s="1" t="str">
        <f t="shared" si="12"/>
        <v/>
      </c>
      <c r="T48" s="1" t="str">
        <f t="shared" si="13"/>
        <v/>
      </c>
      <c r="U48" s="1" t="str">
        <f t="shared" si="14"/>
        <v/>
      </c>
      <c r="V48" s="1" t="str">
        <f t="shared" si="15"/>
        <v/>
      </c>
      <c r="W48" s="26" t="str">
        <f t="shared" si="16"/>
        <v/>
      </c>
      <c r="X48" s="13" t="str">
        <f t="shared" si="17"/>
        <v/>
      </c>
      <c r="Y48" s="9">
        <f t="shared" si="18"/>
        <v>0</v>
      </c>
    </row>
    <row r="49" spans="1:25" x14ac:dyDescent="0.25">
      <c r="A49" s="28"/>
      <c r="B49" s="29"/>
      <c r="C49" s="30"/>
      <c r="D49" s="31"/>
      <c r="E49" s="29" t="s">
        <v>16</v>
      </c>
      <c r="F49" s="13" t="b">
        <f>IF($E49=Categories!$A$1,"",IF($E49=Categories!$A$2,Categories!$B$2,IF($E49=Categories!$A$3,Categories!$B$3,IF($E49=Categories!$A$4,Categories!$B$4,IF($E49=Categories!$A$5,Categories!$B$5,IF($E49=Categories!$A$6,Categories!$B$6,IF($E49=Categories!$A$7,Categories!$B$7,IF($E49=Categories!$A$8,Categories!$B$8,IF($E49=Categories!$A$9,Categories!$B$9,IF($E49=Categories!$A$10,Categories!$B$10,IF($E49=Categories!$A$11,Categories!$B$11,IF($E49=Categories!$A$12,Categories!$B$12,IF($E49=Categories!$A$13,Categories!$B$13,IF($E49=Categories!$A$14,Categories!$B$14,IF($E49=Categories!$A$15,Categories!$B$15,IF($E49=Categories!$A$16,Categories!$B$16,IF($E49=Categories!$A$17,Categories!$B$17,IF($E49=Categories!$A$18,Categories!$B$18,IF($E49=Categories!$A$19,Categories!$B$19)))))))))))))))))))</f>
        <v>0</v>
      </c>
      <c r="G49" s="9" t="str">
        <f t="shared" si="0"/>
        <v/>
      </c>
      <c r="H49" s="1" t="str">
        <f t="shared" si="1"/>
        <v/>
      </c>
      <c r="I49" s="1" t="str">
        <f t="shared" si="2"/>
        <v/>
      </c>
      <c r="J49" s="1" t="str">
        <f t="shared" si="3"/>
        <v/>
      </c>
      <c r="K49" s="13" t="str">
        <f t="shared" si="4"/>
        <v/>
      </c>
      <c r="L49" s="9" t="str">
        <f t="shared" si="19"/>
        <v/>
      </c>
      <c r="M49" s="1" t="str">
        <f t="shared" si="6"/>
        <v/>
      </c>
      <c r="N49" s="1" t="str">
        <f t="shared" si="7"/>
        <v/>
      </c>
      <c r="O49" s="1" t="str">
        <f t="shared" si="8"/>
        <v/>
      </c>
      <c r="P49" s="1" t="str">
        <f t="shared" si="9"/>
        <v/>
      </c>
      <c r="Q49" s="1" t="str">
        <f t="shared" si="10"/>
        <v/>
      </c>
      <c r="R49" s="1" t="str">
        <f t="shared" si="11"/>
        <v/>
      </c>
      <c r="S49" s="1" t="str">
        <f t="shared" si="12"/>
        <v/>
      </c>
      <c r="T49" s="1" t="str">
        <f t="shared" si="13"/>
        <v/>
      </c>
      <c r="U49" s="1" t="str">
        <f t="shared" si="14"/>
        <v/>
      </c>
      <c r="V49" s="1" t="str">
        <f t="shared" si="15"/>
        <v/>
      </c>
      <c r="W49" s="26" t="str">
        <f t="shared" si="16"/>
        <v/>
      </c>
      <c r="X49" s="13" t="str">
        <f t="shared" si="17"/>
        <v/>
      </c>
      <c r="Y49" s="9">
        <f t="shared" si="18"/>
        <v>0</v>
      </c>
    </row>
    <row r="50" spans="1:25" x14ac:dyDescent="0.25">
      <c r="A50" s="28"/>
      <c r="B50" s="29"/>
      <c r="C50" s="30"/>
      <c r="D50" s="31"/>
      <c r="E50" s="29" t="s">
        <v>16</v>
      </c>
      <c r="F50" s="13" t="b">
        <f>IF($E50=Categories!$A$1,"",IF($E50=Categories!$A$2,Categories!$B$2,IF($E50=Categories!$A$3,Categories!$B$3,IF($E50=Categories!$A$4,Categories!$B$4,IF($E50=Categories!$A$5,Categories!$B$5,IF($E50=Categories!$A$6,Categories!$B$6,IF($E50=Categories!$A$7,Categories!$B$7,IF($E50=Categories!$A$8,Categories!$B$8,IF($E50=Categories!$A$9,Categories!$B$9,IF($E50=Categories!$A$10,Categories!$B$10,IF($E50=Categories!$A$11,Categories!$B$11,IF($E50=Categories!$A$12,Categories!$B$12,IF($E50=Categories!$A$13,Categories!$B$13,IF($E50=Categories!$A$14,Categories!$B$14,IF($E50=Categories!$A$15,Categories!$B$15,IF($E50=Categories!$A$16,Categories!$B$16,IF($E50=Categories!$A$17,Categories!$B$17,IF($E50=Categories!$A$18,Categories!$B$18,IF($E50=Categories!$A$19,Categories!$B$19)))))))))))))))))))</f>
        <v>0</v>
      </c>
      <c r="G50" s="9" t="str">
        <f t="shared" si="0"/>
        <v/>
      </c>
      <c r="H50" s="1" t="str">
        <f t="shared" si="1"/>
        <v/>
      </c>
      <c r="I50" s="1" t="str">
        <f t="shared" si="2"/>
        <v/>
      </c>
      <c r="J50" s="1" t="str">
        <f t="shared" si="3"/>
        <v/>
      </c>
      <c r="K50" s="13" t="str">
        <f t="shared" si="4"/>
        <v/>
      </c>
      <c r="L50" s="9" t="str">
        <f t="shared" si="19"/>
        <v/>
      </c>
      <c r="M50" s="1" t="str">
        <f t="shared" si="6"/>
        <v/>
      </c>
      <c r="N50" s="1" t="str">
        <f t="shared" si="7"/>
        <v/>
      </c>
      <c r="O50" s="1" t="str">
        <f t="shared" si="8"/>
        <v/>
      </c>
      <c r="P50" s="1" t="str">
        <f t="shared" si="9"/>
        <v/>
      </c>
      <c r="Q50" s="1" t="str">
        <f t="shared" si="10"/>
        <v/>
      </c>
      <c r="R50" s="1" t="str">
        <f t="shared" si="11"/>
        <v/>
      </c>
      <c r="S50" s="1" t="str">
        <f t="shared" si="12"/>
        <v/>
      </c>
      <c r="T50" s="1" t="str">
        <f t="shared" si="13"/>
        <v/>
      </c>
      <c r="U50" s="1" t="str">
        <f t="shared" si="14"/>
        <v/>
      </c>
      <c r="V50" s="1" t="str">
        <f t="shared" si="15"/>
        <v/>
      </c>
      <c r="W50" s="26" t="str">
        <f t="shared" si="16"/>
        <v/>
      </c>
      <c r="X50" s="13" t="str">
        <f t="shared" si="17"/>
        <v/>
      </c>
      <c r="Y50" s="9">
        <f t="shared" si="18"/>
        <v>0</v>
      </c>
    </row>
    <row r="51" spans="1:25" x14ac:dyDescent="0.25">
      <c r="A51" s="28"/>
      <c r="B51" s="29"/>
      <c r="C51" s="30"/>
      <c r="D51" s="31"/>
      <c r="E51" s="29" t="s">
        <v>16</v>
      </c>
      <c r="F51" s="13" t="b">
        <f>IF($E51=Categories!$A$1,"",IF($E51=Categories!$A$2,Categories!$B$2,IF($E51=Categories!$A$3,Categories!$B$3,IF($E51=Categories!$A$4,Categories!$B$4,IF($E51=Categories!$A$5,Categories!$B$5,IF($E51=Categories!$A$6,Categories!$B$6,IF($E51=Categories!$A$7,Categories!$B$7,IF($E51=Categories!$A$8,Categories!$B$8,IF($E51=Categories!$A$9,Categories!$B$9,IF($E51=Categories!$A$10,Categories!$B$10,IF($E51=Categories!$A$11,Categories!$B$11,IF($E51=Categories!$A$12,Categories!$B$12,IF($E51=Categories!$A$13,Categories!$B$13,IF($E51=Categories!$A$14,Categories!$B$14,IF($E51=Categories!$A$15,Categories!$B$15,IF($E51=Categories!$A$16,Categories!$B$16,IF($E51=Categories!$A$17,Categories!$B$17,IF($E51=Categories!$A$18,Categories!$B$18,IF($E51=Categories!$A$19,Categories!$B$19)))))))))))))))))))</f>
        <v>0</v>
      </c>
      <c r="G51" s="9" t="str">
        <f t="shared" si="0"/>
        <v/>
      </c>
      <c r="H51" s="1" t="str">
        <f t="shared" si="1"/>
        <v/>
      </c>
      <c r="I51" s="1" t="str">
        <f t="shared" si="2"/>
        <v/>
      </c>
      <c r="J51" s="1" t="str">
        <f t="shared" si="3"/>
        <v/>
      </c>
      <c r="K51" s="13" t="str">
        <f t="shared" si="4"/>
        <v/>
      </c>
      <c r="L51" s="9" t="str">
        <f t="shared" si="19"/>
        <v/>
      </c>
      <c r="M51" s="1" t="str">
        <f t="shared" si="6"/>
        <v/>
      </c>
      <c r="N51" s="1" t="str">
        <f t="shared" si="7"/>
        <v/>
      </c>
      <c r="O51" s="1" t="str">
        <f t="shared" si="8"/>
        <v/>
      </c>
      <c r="P51" s="1" t="str">
        <f t="shared" si="9"/>
        <v/>
      </c>
      <c r="Q51" s="1" t="str">
        <f t="shared" si="10"/>
        <v/>
      </c>
      <c r="R51" s="1" t="str">
        <f t="shared" si="11"/>
        <v/>
      </c>
      <c r="S51" s="1" t="str">
        <f t="shared" si="12"/>
        <v/>
      </c>
      <c r="T51" s="1" t="str">
        <f t="shared" si="13"/>
        <v/>
      </c>
      <c r="U51" s="1" t="str">
        <f t="shared" si="14"/>
        <v/>
      </c>
      <c r="V51" s="1" t="str">
        <f t="shared" si="15"/>
        <v/>
      </c>
      <c r="W51" s="26" t="str">
        <f t="shared" si="16"/>
        <v/>
      </c>
      <c r="X51" s="13" t="str">
        <f t="shared" si="17"/>
        <v/>
      </c>
      <c r="Y51" s="9">
        <f t="shared" si="18"/>
        <v>0</v>
      </c>
    </row>
    <row r="52" spans="1:25" x14ac:dyDescent="0.25">
      <c r="A52" s="28"/>
      <c r="B52" s="29"/>
      <c r="C52" s="30"/>
      <c r="D52" s="31"/>
      <c r="E52" s="29" t="s">
        <v>16</v>
      </c>
      <c r="F52" s="13" t="b">
        <f>IF($E52=Categories!$A$1,"",IF($E52=Categories!$A$2,Categories!$B$2,IF($E52=Categories!$A$3,Categories!$B$3,IF($E52=Categories!$A$4,Categories!$B$4,IF($E52=Categories!$A$5,Categories!$B$5,IF($E52=Categories!$A$6,Categories!$B$6,IF($E52=Categories!$A$7,Categories!$B$7,IF($E52=Categories!$A$8,Categories!$B$8,IF($E52=Categories!$A$9,Categories!$B$9,IF($E52=Categories!$A$10,Categories!$B$10,IF($E52=Categories!$A$11,Categories!$B$11,IF($E52=Categories!$A$12,Categories!$B$12,IF($E52=Categories!$A$13,Categories!$B$13,IF($E52=Categories!$A$14,Categories!$B$14,IF($E52=Categories!$A$15,Categories!$B$15,IF($E52=Categories!$A$16,Categories!$B$16,IF($E52=Categories!$A$17,Categories!$B$17,IF($E52=Categories!$A$18,Categories!$B$18,IF($E52=Categories!$A$19,Categories!$B$19)))))))))))))))))))</f>
        <v>0</v>
      </c>
      <c r="G52" s="9" t="str">
        <f t="shared" si="0"/>
        <v/>
      </c>
      <c r="H52" s="1" t="str">
        <f t="shared" si="1"/>
        <v/>
      </c>
      <c r="I52" s="1" t="str">
        <f t="shared" si="2"/>
        <v/>
      </c>
      <c r="J52" s="1" t="str">
        <f t="shared" si="3"/>
        <v/>
      </c>
      <c r="K52" s="13" t="str">
        <f t="shared" si="4"/>
        <v/>
      </c>
      <c r="L52" s="9" t="str">
        <f t="shared" si="19"/>
        <v/>
      </c>
      <c r="M52" s="1" t="str">
        <f t="shared" si="6"/>
        <v/>
      </c>
      <c r="N52" s="1" t="str">
        <f t="shared" si="7"/>
        <v/>
      </c>
      <c r="O52" s="1" t="str">
        <f t="shared" si="8"/>
        <v/>
      </c>
      <c r="P52" s="1" t="str">
        <f t="shared" si="9"/>
        <v/>
      </c>
      <c r="Q52" s="1" t="str">
        <f t="shared" si="10"/>
        <v/>
      </c>
      <c r="R52" s="1" t="str">
        <f t="shared" si="11"/>
        <v/>
      </c>
      <c r="S52" s="1" t="str">
        <f t="shared" si="12"/>
        <v/>
      </c>
      <c r="T52" s="1" t="str">
        <f t="shared" si="13"/>
        <v/>
      </c>
      <c r="U52" s="1" t="str">
        <f t="shared" si="14"/>
        <v/>
      </c>
      <c r="V52" s="1" t="str">
        <f t="shared" si="15"/>
        <v/>
      </c>
      <c r="W52" s="26" t="str">
        <f t="shared" si="16"/>
        <v/>
      </c>
      <c r="X52" s="13" t="str">
        <f t="shared" si="17"/>
        <v/>
      </c>
      <c r="Y52" s="9">
        <f t="shared" si="18"/>
        <v>0</v>
      </c>
    </row>
    <row r="53" spans="1:25" x14ac:dyDescent="0.25">
      <c r="A53" s="28"/>
      <c r="B53" s="29"/>
      <c r="C53" s="30"/>
      <c r="D53" s="31"/>
      <c r="E53" s="29" t="s">
        <v>16</v>
      </c>
      <c r="F53" s="13" t="b">
        <f>IF($E53=Categories!$A$1,"",IF($E53=Categories!$A$2,Categories!$B$2,IF($E53=Categories!$A$3,Categories!$B$3,IF($E53=Categories!$A$4,Categories!$B$4,IF($E53=Categories!$A$5,Categories!$B$5,IF($E53=Categories!$A$6,Categories!$B$6,IF($E53=Categories!$A$7,Categories!$B$7,IF($E53=Categories!$A$8,Categories!$B$8,IF($E53=Categories!$A$9,Categories!$B$9,IF($E53=Categories!$A$10,Categories!$B$10,IF($E53=Categories!$A$11,Categories!$B$11,IF($E53=Categories!$A$12,Categories!$B$12,IF($E53=Categories!$A$13,Categories!$B$13,IF($E53=Categories!$A$14,Categories!$B$14,IF($E53=Categories!$A$15,Categories!$B$15,IF($E53=Categories!$A$16,Categories!$B$16,IF($E53=Categories!$A$17,Categories!$B$17,IF($E53=Categories!$A$18,Categories!$B$18,IF($E53=Categories!$A$19,Categories!$B$19)))))))))))))))))))</f>
        <v>0</v>
      </c>
      <c r="G53" s="9" t="str">
        <f t="shared" si="0"/>
        <v/>
      </c>
      <c r="H53" s="1" t="str">
        <f t="shared" si="1"/>
        <v/>
      </c>
      <c r="I53" s="1" t="str">
        <f t="shared" si="2"/>
        <v/>
      </c>
      <c r="J53" s="1" t="str">
        <f t="shared" si="3"/>
        <v/>
      </c>
      <c r="K53" s="13" t="str">
        <f t="shared" si="4"/>
        <v/>
      </c>
      <c r="L53" s="9" t="str">
        <f t="shared" si="19"/>
        <v/>
      </c>
      <c r="M53" s="1" t="str">
        <f t="shared" si="6"/>
        <v/>
      </c>
      <c r="N53" s="1" t="str">
        <f t="shared" si="7"/>
        <v/>
      </c>
      <c r="O53" s="1" t="str">
        <f t="shared" si="8"/>
        <v/>
      </c>
      <c r="P53" s="1" t="str">
        <f t="shared" si="9"/>
        <v/>
      </c>
      <c r="Q53" s="1" t="str">
        <f t="shared" si="10"/>
        <v/>
      </c>
      <c r="R53" s="1" t="str">
        <f t="shared" si="11"/>
        <v/>
      </c>
      <c r="S53" s="1" t="str">
        <f t="shared" si="12"/>
        <v/>
      </c>
      <c r="T53" s="1" t="str">
        <f t="shared" si="13"/>
        <v/>
      </c>
      <c r="U53" s="1" t="str">
        <f t="shared" si="14"/>
        <v/>
      </c>
      <c r="V53" s="1" t="str">
        <f t="shared" si="15"/>
        <v/>
      </c>
      <c r="W53" s="26" t="str">
        <f t="shared" si="16"/>
        <v/>
      </c>
      <c r="X53" s="13" t="str">
        <f t="shared" si="17"/>
        <v/>
      </c>
      <c r="Y53" s="9">
        <f t="shared" si="18"/>
        <v>0</v>
      </c>
    </row>
    <row r="54" spans="1:25" x14ac:dyDescent="0.25">
      <c r="A54" s="28"/>
      <c r="B54" s="29"/>
      <c r="C54" s="30"/>
      <c r="D54" s="31"/>
      <c r="E54" s="29" t="s">
        <v>16</v>
      </c>
      <c r="F54" s="13" t="b">
        <f>IF($E54=Categories!$A$1,"",IF($E54=Categories!$A$2,Categories!$B$2,IF($E54=Categories!$A$3,Categories!$B$3,IF($E54=Categories!$A$4,Categories!$B$4,IF($E54=Categories!$A$5,Categories!$B$5,IF($E54=Categories!$A$6,Categories!$B$6,IF($E54=Categories!$A$7,Categories!$B$7,IF($E54=Categories!$A$8,Categories!$B$8,IF($E54=Categories!$A$9,Categories!$B$9,IF($E54=Categories!$A$10,Categories!$B$10,IF($E54=Categories!$A$11,Categories!$B$11,IF($E54=Categories!$A$12,Categories!$B$12,IF($E54=Categories!$A$13,Categories!$B$13,IF($E54=Categories!$A$14,Categories!$B$14,IF($E54=Categories!$A$15,Categories!$B$15,IF($E54=Categories!$A$16,Categories!$B$16,IF($E54=Categories!$A$17,Categories!$B$17,IF($E54=Categories!$A$18,Categories!$B$18,IF($E54=Categories!$A$19,Categories!$B$19)))))))))))))))))))</f>
        <v>0</v>
      </c>
      <c r="G54" s="9" t="str">
        <f t="shared" si="0"/>
        <v/>
      </c>
      <c r="H54" s="1" t="str">
        <f t="shared" si="1"/>
        <v/>
      </c>
      <c r="I54" s="1" t="str">
        <f t="shared" si="2"/>
        <v/>
      </c>
      <c r="J54" s="1" t="str">
        <f t="shared" si="3"/>
        <v/>
      </c>
      <c r="K54" s="13" t="str">
        <f t="shared" si="4"/>
        <v/>
      </c>
      <c r="L54" s="9" t="str">
        <f t="shared" si="19"/>
        <v/>
      </c>
      <c r="M54" s="1" t="str">
        <f t="shared" si="6"/>
        <v/>
      </c>
      <c r="N54" s="1" t="str">
        <f t="shared" si="7"/>
        <v/>
      </c>
      <c r="O54" s="1" t="str">
        <f t="shared" si="8"/>
        <v/>
      </c>
      <c r="P54" s="1" t="str">
        <f t="shared" si="9"/>
        <v/>
      </c>
      <c r="Q54" s="1" t="str">
        <f t="shared" si="10"/>
        <v/>
      </c>
      <c r="R54" s="1" t="str">
        <f t="shared" si="11"/>
        <v/>
      </c>
      <c r="S54" s="1" t="str">
        <f t="shared" si="12"/>
        <v/>
      </c>
      <c r="T54" s="1" t="str">
        <f t="shared" si="13"/>
        <v/>
      </c>
      <c r="U54" s="1" t="str">
        <f t="shared" si="14"/>
        <v/>
      </c>
      <c r="V54" s="1" t="str">
        <f t="shared" si="15"/>
        <v/>
      </c>
      <c r="W54" s="26" t="str">
        <f t="shared" si="16"/>
        <v/>
      </c>
      <c r="X54" s="13" t="str">
        <f t="shared" si="17"/>
        <v/>
      </c>
      <c r="Y54" s="9">
        <f t="shared" si="18"/>
        <v>0</v>
      </c>
    </row>
    <row r="55" spans="1:25" x14ac:dyDescent="0.25">
      <c r="A55" s="28"/>
      <c r="B55" s="29"/>
      <c r="C55" s="30"/>
      <c r="D55" s="31"/>
      <c r="E55" s="29" t="s">
        <v>16</v>
      </c>
      <c r="F55" s="13" t="b">
        <f>IF($E55=Categories!$A$1,"",IF($E55=Categories!$A$2,Categories!$B$2,IF($E55=Categories!$A$3,Categories!$B$3,IF($E55=Categories!$A$4,Categories!$B$4,IF($E55=Categories!$A$5,Categories!$B$5,IF($E55=Categories!$A$6,Categories!$B$6,IF($E55=Categories!$A$7,Categories!$B$7,IF($E55=Categories!$A$8,Categories!$B$8,IF($E55=Categories!$A$9,Categories!$B$9,IF($E55=Categories!$A$10,Categories!$B$10,IF($E55=Categories!$A$11,Categories!$B$11,IF($E55=Categories!$A$12,Categories!$B$12,IF($E55=Categories!$A$13,Categories!$B$13,IF($E55=Categories!$A$14,Categories!$B$14,IF($E55=Categories!$A$15,Categories!$B$15,IF($E55=Categories!$A$16,Categories!$B$16,IF($E55=Categories!$A$17,Categories!$B$17,IF($E55=Categories!$A$18,Categories!$B$18,IF($E55=Categories!$A$19,Categories!$B$19)))))))))))))))))))</f>
        <v>0</v>
      </c>
      <c r="G55" s="9" t="str">
        <f t="shared" si="0"/>
        <v/>
      </c>
      <c r="H55" s="1" t="str">
        <f t="shared" si="1"/>
        <v/>
      </c>
      <c r="I55" s="1" t="str">
        <f t="shared" si="2"/>
        <v/>
      </c>
      <c r="J55" s="1" t="str">
        <f t="shared" si="3"/>
        <v/>
      </c>
      <c r="K55" s="13" t="str">
        <f t="shared" si="4"/>
        <v/>
      </c>
      <c r="L55" s="9" t="str">
        <f t="shared" si="19"/>
        <v/>
      </c>
      <c r="M55" s="1" t="str">
        <f t="shared" si="6"/>
        <v/>
      </c>
      <c r="N55" s="1" t="str">
        <f t="shared" si="7"/>
        <v/>
      </c>
      <c r="O55" s="1" t="str">
        <f t="shared" si="8"/>
        <v/>
      </c>
      <c r="P55" s="1" t="str">
        <f t="shared" si="9"/>
        <v/>
      </c>
      <c r="Q55" s="1" t="str">
        <f t="shared" si="10"/>
        <v/>
      </c>
      <c r="R55" s="1" t="str">
        <f t="shared" si="11"/>
        <v/>
      </c>
      <c r="S55" s="1" t="str">
        <f t="shared" si="12"/>
        <v/>
      </c>
      <c r="T55" s="1" t="str">
        <f t="shared" si="13"/>
        <v/>
      </c>
      <c r="U55" s="1" t="str">
        <f t="shared" si="14"/>
        <v/>
      </c>
      <c r="V55" s="1" t="str">
        <f t="shared" si="15"/>
        <v/>
      </c>
      <c r="W55" s="26" t="str">
        <f t="shared" si="16"/>
        <v/>
      </c>
      <c r="X55" s="13" t="str">
        <f t="shared" si="17"/>
        <v/>
      </c>
      <c r="Y55" s="9">
        <f t="shared" si="18"/>
        <v>0</v>
      </c>
    </row>
    <row r="56" spans="1:25" x14ac:dyDescent="0.25">
      <c r="A56" s="28"/>
      <c r="B56" s="29"/>
      <c r="C56" s="30"/>
      <c r="D56" s="31"/>
      <c r="E56" s="29" t="s">
        <v>16</v>
      </c>
      <c r="F56" s="13" t="b">
        <f>IF($E56=Categories!$A$1,"",IF($E56=Categories!$A$2,Categories!$B$2,IF($E56=Categories!$A$3,Categories!$B$3,IF($E56=Categories!$A$4,Categories!$B$4,IF($E56=Categories!$A$5,Categories!$B$5,IF($E56=Categories!$A$6,Categories!$B$6,IF($E56=Categories!$A$7,Categories!$B$7,IF($E56=Categories!$A$8,Categories!$B$8,IF($E56=Categories!$A$9,Categories!$B$9,IF($E56=Categories!$A$10,Categories!$B$10,IF($E56=Categories!$A$11,Categories!$B$11,IF($E56=Categories!$A$12,Categories!$B$12,IF($E56=Categories!$A$13,Categories!$B$13,IF($E56=Categories!$A$14,Categories!$B$14,IF($E56=Categories!$A$15,Categories!$B$15,IF($E56=Categories!$A$16,Categories!$B$16,IF($E56=Categories!$A$17,Categories!$B$17,IF($E56=Categories!$A$18,Categories!$B$18,IF($E56=Categories!$A$19,Categories!$B$19)))))))))))))))))))</f>
        <v>0</v>
      </c>
      <c r="G56" s="9" t="str">
        <f t="shared" si="0"/>
        <v/>
      </c>
      <c r="H56" s="1" t="str">
        <f t="shared" si="1"/>
        <v/>
      </c>
      <c r="I56" s="1" t="str">
        <f t="shared" si="2"/>
        <v/>
      </c>
      <c r="J56" s="1" t="str">
        <f t="shared" si="3"/>
        <v/>
      </c>
      <c r="K56" s="13" t="str">
        <f t="shared" si="4"/>
        <v/>
      </c>
      <c r="L56" s="9" t="str">
        <f t="shared" si="19"/>
        <v/>
      </c>
      <c r="M56" s="1" t="str">
        <f t="shared" si="6"/>
        <v/>
      </c>
      <c r="N56" s="1" t="str">
        <f t="shared" si="7"/>
        <v/>
      </c>
      <c r="O56" s="1" t="str">
        <f t="shared" si="8"/>
        <v/>
      </c>
      <c r="P56" s="1" t="str">
        <f t="shared" si="9"/>
        <v/>
      </c>
      <c r="Q56" s="1" t="str">
        <f t="shared" si="10"/>
        <v/>
      </c>
      <c r="R56" s="1" t="str">
        <f t="shared" si="11"/>
        <v/>
      </c>
      <c r="S56" s="1" t="str">
        <f t="shared" si="12"/>
        <v/>
      </c>
      <c r="T56" s="1" t="str">
        <f t="shared" si="13"/>
        <v/>
      </c>
      <c r="U56" s="1" t="str">
        <f t="shared" si="14"/>
        <v/>
      </c>
      <c r="V56" s="1" t="str">
        <f t="shared" si="15"/>
        <v/>
      </c>
      <c r="W56" s="26" t="str">
        <f t="shared" si="16"/>
        <v/>
      </c>
      <c r="X56" s="13" t="str">
        <f t="shared" si="17"/>
        <v/>
      </c>
      <c r="Y56" s="9">
        <f t="shared" si="18"/>
        <v>0</v>
      </c>
    </row>
    <row r="57" spans="1:25" x14ac:dyDescent="0.25">
      <c r="A57" s="28"/>
      <c r="B57" s="29"/>
      <c r="C57" s="30"/>
      <c r="D57" s="31"/>
      <c r="E57" s="29" t="s">
        <v>16</v>
      </c>
      <c r="F57" s="13" t="b">
        <f>IF($E57=Categories!$A$1,"",IF($E57=Categories!$A$2,Categories!$B$2,IF($E57=Categories!$A$3,Categories!$B$3,IF($E57=Categories!$A$4,Categories!$B$4,IF($E57=Categories!$A$5,Categories!$B$5,IF($E57=Categories!$A$6,Categories!$B$6,IF($E57=Categories!$A$7,Categories!$B$7,IF($E57=Categories!$A$8,Categories!$B$8,IF($E57=Categories!$A$9,Categories!$B$9,IF($E57=Categories!$A$10,Categories!$B$10,IF($E57=Categories!$A$11,Categories!$B$11,IF($E57=Categories!$A$12,Categories!$B$12,IF($E57=Categories!$A$13,Categories!$B$13,IF($E57=Categories!$A$14,Categories!$B$14,IF($E57=Categories!$A$15,Categories!$B$15,IF($E57=Categories!$A$16,Categories!$B$16,IF($E57=Categories!$A$17,Categories!$B$17,IF($E57=Categories!$A$18,Categories!$B$18,IF($E57=Categories!$A$19,Categories!$B$19)))))))))))))))))))</f>
        <v>0</v>
      </c>
      <c r="G57" s="9" t="str">
        <f t="shared" si="0"/>
        <v/>
      </c>
      <c r="H57" s="1" t="str">
        <f t="shared" si="1"/>
        <v/>
      </c>
      <c r="I57" s="1" t="str">
        <f t="shared" si="2"/>
        <v/>
      </c>
      <c r="J57" s="1" t="str">
        <f t="shared" si="3"/>
        <v/>
      </c>
      <c r="K57" s="13" t="str">
        <f t="shared" si="4"/>
        <v/>
      </c>
      <c r="L57" s="9" t="str">
        <f t="shared" si="19"/>
        <v/>
      </c>
      <c r="M57" s="1" t="str">
        <f t="shared" si="6"/>
        <v/>
      </c>
      <c r="N57" s="1" t="str">
        <f t="shared" si="7"/>
        <v/>
      </c>
      <c r="O57" s="1" t="str">
        <f t="shared" si="8"/>
        <v/>
      </c>
      <c r="P57" s="1" t="str">
        <f t="shared" si="9"/>
        <v/>
      </c>
      <c r="Q57" s="1" t="str">
        <f t="shared" si="10"/>
        <v/>
      </c>
      <c r="R57" s="1" t="str">
        <f t="shared" si="11"/>
        <v/>
      </c>
      <c r="S57" s="1" t="str">
        <f t="shared" si="12"/>
        <v/>
      </c>
      <c r="T57" s="1" t="str">
        <f t="shared" si="13"/>
        <v/>
      </c>
      <c r="U57" s="1" t="str">
        <f t="shared" si="14"/>
        <v/>
      </c>
      <c r="V57" s="1" t="str">
        <f t="shared" si="15"/>
        <v/>
      </c>
      <c r="W57" s="26" t="str">
        <f t="shared" si="16"/>
        <v/>
      </c>
      <c r="X57" s="13" t="str">
        <f t="shared" si="17"/>
        <v/>
      </c>
      <c r="Y57" s="9">
        <f t="shared" si="18"/>
        <v>0</v>
      </c>
    </row>
    <row r="58" spans="1:25" x14ac:dyDescent="0.25">
      <c r="A58" s="28"/>
      <c r="B58" s="29"/>
      <c r="C58" s="30"/>
      <c r="D58" s="31"/>
      <c r="E58" s="29" t="s">
        <v>16</v>
      </c>
      <c r="F58" s="13" t="b">
        <f>IF($E58=Categories!$A$1,"",IF($E58=Categories!$A$2,Categories!$B$2,IF($E58=Categories!$A$3,Categories!$B$3,IF($E58=Categories!$A$4,Categories!$B$4,IF($E58=Categories!$A$5,Categories!$B$5,IF($E58=Categories!$A$6,Categories!$B$6,IF($E58=Categories!$A$7,Categories!$B$7,IF($E58=Categories!$A$8,Categories!$B$8,IF($E58=Categories!$A$9,Categories!$B$9,IF($E58=Categories!$A$10,Categories!$B$10,IF($E58=Categories!$A$11,Categories!$B$11,IF($E58=Categories!$A$12,Categories!$B$12,IF($E58=Categories!$A$13,Categories!$B$13,IF($E58=Categories!$A$14,Categories!$B$14,IF($E58=Categories!$A$15,Categories!$B$15,IF($E58=Categories!$A$16,Categories!$B$16,IF($E58=Categories!$A$17,Categories!$B$17,IF($E58=Categories!$A$18,Categories!$B$18,IF($E58=Categories!$A$19,Categories!$B$19)))))))))))))))))))</f>
        <v>0</v>
      </c>
      <c r="G58" s="9" t="str">
        <f t="shared" si="0"/>
        <v/>
      </c>
      <c r="H58" s="1" t="str">
        <f t="shared" si="1"/>
        <v/>
      </c>
      <c r="I58" s="1" t="str">
        <f t="shared" si="2"/>
        <v/>
      </c>
      <c r="J58" s="1" t="str">
        <f t="shared" si="3"/>
        <v/>
      </c>
      <c r="K58" s="13" t="str">
        <f t="shared" si="4"/>
        <v/>
      </c>
      <c r="L58" s="9" t="str">
        <f t="shared" si="19"/>
        <v/>
      </c>
      <c r="M58" s="1" t="str">
        <f t="shared" si="6"/>
        <v/>
      </c>
      <c r="N58" s="1" t="str">
        <f t="shared" si="7"/>
        <v/>
      </c>
      <c r="O58" s="1" t="str">
        <f t="shared" si="8"/>
        <v/>
      </c>
      <c r="P58" s="1" t="str">
        <f t="shared" si="9"/>
        <v/>
      </c>
      <c r="Q58" s="1" t="str">
        <f t="shared" si="10"/>
        <v/>
      </c>
      <c r="R58" s="1" t="str">
        <f t="shared" si="11"/>
        <v/>
      </c>
      <c r="S58" s="1" t="str">
        <f t="shared" si="12"/>
        <v/>
      </c>
      <c r="T58" s="1" t="str">
        <f t="shared" si="13"/>
        <v/>
      </c>
      <c r="U58" s="1" t="str">
        <f t="shared" si="14"/>
        <v/>
      </c>
      <c r="V58" s="1" t="str">
        <f t="shared" si="15"/>
        <v/>
      </c>
      <c r="W58" s="26" t="str">
        <f t="shared" si="16"/>
        <v/>
      </c>
      <c r="X58" s="13" t="str">
        <f t="shared" si="17"/>
        <v/>
      </c>
      <c r="Y58" s="9">
        <f t="shared" si="18"/>
        <v>0</v>
      </c>
    </row>
    <row r="59" spans="1:25" x14ac:dyDescent="0.25">
      <c r="A59" s="28"/>
      <c r="B59" s="29"/>
      <c r="C59" s="30"/>
      <c r="D59" s="31"/>
      <c r="E59" s="29" t="s">
        <v>16</v>
      </c>
      <c r="F59" s="13" t="b">
        <f>IF($E59=Categories!$A$1,"",IF($E59=Categories!$A$2,Categories!$B$2,IF($E59=Categories!$A$3,Categories!$B$3,IF($E59=Categories!$A$4,Categories!$B$4,IF($E59=Categories!$A$5,Categories!$B$5,IF($E59=Categories!$A$6,Categories!$B$6,IF($E59=Categories!$A$7,Categories!$B$7,IF($E59=Categories!$A$8,Categories!$B$8,IF($E59=Categories!$A$9,Categories!$B$9,IF($E59=Categories!$A$10,Categories!$B$10,IF($E59=Categories!$A$11,Categories!$B$11,IF($E59=Categories!$A$12,Categories!$B$12,IF($E59=Categories!$A$13,Categories!$B$13,IF($E59=Categories!$A$14,Categories!$B$14,IF($E59=Categories!$A$15,Categories!$B$15,IF($E59=Categories!$A$16,Categories!$B$16,IF($E59=Categories!$A$17,Categories!$B$17,IF($E59=Categories!$A$18,Categories!$B$18,IF($E59=Categories!$A$19,Categories!$B$19)))))))))))))))))))</f>
        <v>0</v>
      </c>
      <c r="G59" s="9" t="str">
        <f t="shared" si="0"/>
        <v/>
      </c>
      <c r="H59" s="1" t="str">
        <f t="shared" si="1"/>
        <v/>
      </c>
      <c r="I59" s="1" t="str">
        <f t="shared" si="2"/>
        <v/>
      </c>
      <c r="J59" s="1" t="str">
        <f t="shared" si="3"/>
        <v/>
      </c>
      <c r="K59" s="13" t="str">
        <f t="shared" si="4"/>
        <v/>
      </c>
      <c r="L59" s="9" t="str">
        <f t="shared" si="19"/>
        <v/>
      </c>
      <c r="M59" s="1" t="str">
        <f t="shared" si="6"/>
        <v/>
      </c>
      <c r="N59" s="1" t="str">
        <f t="shared" si="7"/>
        <v/>
      </c>
      <c r="O59" s="1" t="str">
        <f t="shared" si="8"/>
        <v/>
      </c>
      <c r="P59" s="1" t="str">
        <f t="shared" si="9"/>
        <v/>
      </c>
      <c r="Q59" s="1" t="str">
        <f t="shared" si="10"/>
        <v/>
      </c>
      <c r="R59" s="1" t="str">
        <f t="shared" si="11"/>
        <v/>
      </c>
      <c r="S59" s="1" t="str">
        <f t="shared" si="12"/>
        <v/>
      </c>
      <c r="T59" s="1" t="str">
        <f t="shared" si="13"/>
        <v/>
      </c>
      <c r="U59" s="1" t="str">
        <f t="shared" si="14"/>
        <v/>
      </c>
      <c r="V59" s="1" t="str">
        <f t="shared" si="15"/>
        <v/>
      </c>
      <c r="W59" s="26" t="str">
        <f t="shared" si="16"/>
        <v/>
      </c>
      <c r="X59" s="13" t="str">
        <f t="shared" si="17"/>
        <v/>
      </c>
      <c r="Y59" s="9">
        <f t="shared" si="18"/>
        <v>0</v>
      </c>
    </row>
    <row r="60" spans="1:25" x14ac:dyDescent="0.25">
      <c r="A60" s="28"/>
      <c r="B60" s="29"/>
      <c r="C60" s="30"/>
      <c r="D60" s="31"/>
      <c r="E60" s="29" t="s">
        <v>16</v>
      </c>
      <c r="F60" s="13" t="b">
        <f>IF($E60=Categories!$A$1,"",IF($E60=Categories!$A$2,Categories!$B$2,IF($E60=Categories!$A$3,Categories!$B$3,IF($E60=Categories!$A$4,Categories!$B$4,IF($E60=Categories!$A$5,Categories!$B$5,IF($E60=Categories!$A$6,Categories!$B$6,IF($E60=Categories!$A$7,Categories!$B$7,IF($E60=Categories!$A$8,Categories!$B$8,IF($E60=Categories!$A$9,Categories!$B$9,IF($E60=Categories!$A$10,Categories!$B$10,IF($E60=Categories!$A$11,Categories!$B$11,IF($E60=Categories!$A$12,Categories!$B$12,IF($E60=Categories!$A$13,Categories!$B$13,IF($E60=Categories!$A$14,Categories!$B$14,IF($E60=Categories!$A$15,Categories!$B$15,IF($E60=Categories!$A$16,Categories!$B$16,IF($E60=Categories!$A$17,Categories!$B$17,IF($E60=Categories!$A$18,Categories!$B$18,IF($E60=Categories!$A$19,Categories!$B$19)))))))))))))))))))</f>
        <v>0</v>
      </c>
      <c r="G60" s="9" t="str">
        <f t="shared" si="0"/>
        <v/>
      </c>
      <c r="H60" s="1" t="str">
        <f t="shared" si="1"/>
        <v/>
      </c>
      <c r="I60" s="1" t="str">
        <f t="shared" si="2"/>
        <v/>
      </c>
      <c r="J60" s="1" t="str">
        <f t="shared" si="3"/>
        <v/>
      </c>
      <c r="K60" s="13" t="str">
        <f t="shared" si="4"/>
        <v/>
      </c>
      <c r="L60" s="9" t="str">
        <f t="shared" si="19"/>
        <v/>
      </c>
      <c r="M60" s="1" t="str">
        <f t="shared" si="6"/>
        <v/>
      </c>
      <c r="N60" s="1" t="str">
        <f t="shared" si="7"/>
        <v/>
      </c>
      <c r="O60" s="1" t="str">
        <f t="shared" si="8"/>
        <v/>
      </c>
      <c r="P60" s="1" t="str">
        <f t="shared" si="9"/>
        <v/>
      </c>
      <c r="Q60" s="1" t="str">
        <f t="shared" si="10"/>
        <v/>
      </c>
      <c r="R60" s="1" t="str">
        <f t="shared" si="11"/>
        <v/>
      </c>
      <c r="S60" s="1" t="str">
        <f t="shared" si="12"/>
        <v/>
      </c>
      <c r="T60" s="1" t="str">
        <f t="shared" si="13"/>
        <v/>
      </c>
      <c r="U60" s="1" t="str">
        <f t="shared" si="14"/>
        <v/>
      </c>
      <c r="V60" s="1" t="str">
        <f t="shared" si="15"/>
        <v/>
      </c>
      <c r="W60" s="26" t="str">
        <f t="shared" si="16"/>
        <v/>
      </c>
      <c r="X60" s="13" t="str">
        <f t="shared" si="17"/>
        <v/>
      </c>
      <c r="Y60" s="9">
        <f t="shared" si="18"/>
        <v>0</v>
      </c>
    </row>
    <row r="61" spans="1:25" x14ac:dyDescent="0.25">
      <c r="A61" s="28"/>
      <c r="B61" s="29"/>
      <c r="C61" s="30"/>
      <c r="D61" s="31"/>
      <c r="E61" s="29" t="s">
        <v>16</v>
      </c>
      <c r="F61" s="13" t="b">
        <f>IF($E61=Categories!$A$1,"",IF($E61=Categories!$A$2,Categories!$B$2,IF($E61=Categories!$A$3,Categories!$B$3,IF($E61=Categories!$A$4,Categories!$B$4,IF($E61=Categories!$A$5,Categories!$B$5,IF($E61=Categories!$A$6,Categories!$B$6,IF($E61=Categories!$A$7,Categories!$B$7,IF($E61=Categories!$A$8,Categories!$B$8,IF($E61=Categories!$A$9,Categories!$B$9,IF($E61=Categories!$A$10,Categories!$B$10,IF($E61=Categories!$A$11,Categories!$B$11,IF($E61=Categories!$A$12,Categories!$B$12,IF($E61=Categories!$A$13,Categories!$B$13,IF($E61=Categories!$A$14,Categories!$B$14,IF($E61=Categories!$A$15,Categories!$B$15,IF($E61=Categories!$A$16,Categories!$B$16,IF($E61=Categories!$A$17,Categories!$B$17,IF($E61=Categories!$A$18,Categories!$B$18,IF($E61=Categories!$A$19,Categories!$B$19)))))))))))))))))))</f>
        <v>0</v>
      </c>
      <c r="G61" s="9" t="str">
        <f t="shared" si="0"/>
        <v/>
      </c>
      <c r="H61" s="1" t="str">
        <f t="shared" si="1"/>
        <v/>
      </c>
      <c r="I61" s="1" t="str">
        <f t="shared" si="2"/>
        <v/>
      </c>
      <c r="J61" s="1" t="str">
        <f t="shared" si="3"/>
        <v/>
      </c>
      <c r="K61" s="13" t="str">
        <f t="shared" si="4"/>
        <v/>
      </c>
      <c r="L61" s="9" t="str">
        <f t="shared" si="19"/>
        <v/>
      </c>
      <c r="M61" s="1" t="str">
        <f t="shared" si="6"/>
        <v/>
      </c>
      <c r="N61" s="1" t="str">
        <f t="shared" si="7"/>
        <v/>
      </c>
      <c r="O61" s="1" t="str">
        <f t="shared" si="8"/>
        <v/>
      </c>
      <c r="P61" s="1" t="str">
        <f t="shared" si="9"/>
        <v/>
      </c>
      <c r="Q61" s="1" t="str">
        <f t="shared" si="10"/>
        <v/>
      </c>
      <c r="R61" s="1" t="str">
        <f t="shared" si="11"/>
        <v/>
      </c>
      <c r="S61" s="1" t="str">
        <f t="shared" si="12"/>
        <v/>
      </c>
      <c r="T61" s="1" t="str">
        <f t="shared" si="13"/>
        <v/>
      </c>
      <c r="U61" s="1" t="str">
        <f t="shared" si="14"/>
        <v/>
      </c>
      <c r="V61" s="1" t="str">
        <f t="shared" si="15"/>
        <v/>
      </c>
      <c r="W61" s="26" t="str">
        <f t="shared" si="16"/>
        <v/>
      </c>
      <c r="X61" s="13" t="str">
        <f t="shared" si="17"/>
        <v/>
      </c>
      <c r="Y61" s="9">
        <f t="shared" si="18"/>
        <v>0</v>
      </c>
    </row>
    <row r="62" spans="1:25" x14ac:dyDescent="0.25">
      <c r="A62" s="28"/>
      <c r="B62" s="29"/>
      <c r="C62" s="30"/>
      <c r="D62" s="31"/>
      <c r="E62" s="29" t="s">
        <v>16</v>
      </c>
      <c r="F62" s="13" t="b">
        <f>IF($E62=Categories!$A$1,"",IF($E62=Categories!$A$2,Categories!$B$2,IF($E62=Categories!$A$3,Categories!$B$3,IF($E62=Categories!$A$4,Categories!$B$4,IF($E62=Categories!$A$5,Categories!$B$5,IF($E62=Categories!$A$6,Categories!$B$6,IF($E62=Categories!$A$7,Categories!$B$7,IF($E62=Categories!$A$8,Categories!$B$8,IF($E62=Categories!$A$9,Categories!$B$9,IF($E62=Categories!$A$10,Categories!$B$10,IF($E62=Categories!$A$11,Categories!$B$11,IF($E62=Categories!$A$12,Categories!$B$12,IF($E62=Categories!$A$13,Categories!$B$13,IF($E62=Categories!$A$14,Categories!$B$14,IF($E62=Categories!$A$15,Categories!$B$15,IF($E62=Categories!$A$16,Categories!$B$16,IF($E62=Categories!$A$17,Categories!$B$17,IF($E62=Categories!$A$18,Categories!$B$18,IF($E62=Categories!$A$19,Categories!$B$19)))))))))))))))))))</f>
        <v>0</v>
      </c>
      <c r="G62" s="9" t="str">
        <f t="shared" si="0"/>
        <v/>
      </c>
      <c r="H62" s="1" t="str">
        <f t="shared" si="1"/>
        <v/>
      </c>
      <c r="I62" s="1" t="str">
        <f t="shared" si="2"/>
        <v/>
      </c>
      <c r="J62" s="1" t="str">
        <f t="shared" si="3"/>
        <v/>
      </c>
      <c r="K62" s="13" t="str">
        <f t="shared" si="4"/>
        <v/>
      </c>
      <c r="L62" s="9" t="str">
        <f t="shared" si="19"/>
        <v/>
      </c>
      <c r="M62" s="1" t="str">
        <f t="shared" si="6"/>
        <v/>
      </c>
      <c r="N62" s="1" t="str">
        <f t="shared" si="7"/>
        <v/>
      </c>
      <c r="O62" s="1" t="str">
        <f t="shared" si="8"/>
        <v/>
      </c>
      <c r="P62" s="1" t="str">
        <f t="shared" si="9"/>
        <v/>
      </c>
      <c r="Q62" s="1" t="str">
        <f t="shared" si="10"/>
        <v/>
      </c>
      <c r="R62" s="1" t="str">
        <f t="shared" si="11"/>
        <v/>
      </c>
      <c r="S62" s="1" t="str">
        <f t="shared" si="12"/>
        <v/>
      </c>
      <c r="T62" s="1" t="str">
        <f t="shared" si="13"/>
        <v/>
      </c>
      <c r="U62" s="1" t="str">
        <f t="shared" si="14"/>
        <v/>
      </c>
      <c r="V62" s="1" t="str">
        <f t="shared" si="15"/>
        <v/>
      </c>
      <c r="W62" s="26" t="str">
        <f t="shared" si="16"/>
        <v/>
      </c>
      <c r="X62" s="13" t="str">
        <f t="shared" si="17"/>
        <v/>
      </c>
      <c r="Y62" s="9">
        <f t="shared" si="18"/>
        <v>0</v>
      </c>
    </row>
    <row r="63" spans="1:25" x14ac:dyDescent="0.25">
      <c r="A63" s="28"/>
      <c r="B63" s="29"/>
      <c r="C63" s="30"/>
      <c r="D63" s="31"/>
      <c r="E63" s="29" t="s">
        <v>16</v>
      </c>
      <c r="F63" s="13" t="b">
        <f>IF($E63=Categories!$A$1,"",IF($E63=Categories!$A$2,Categories!$B$2,IF($E63=Categories!$A$3,Categories!$B$3,IF($E63=Categories!$A$4,Categories!$B$4,IF($E63=Categories!$A$5,Categories!$B$5,IF($E63=Categories!$A$6,Categories!$B$6,IF($E63=Categories!$A$7,Categories!$B$7,IF($E63=Categories!$A$8,Categories!$B$8,IF($E63=Categories!$A$9,Categories!$B$9,IF($E63=Categories!$A$10,Categories!$B$10,IF($E63=Categories!$A$11,Categories!$B$11,IF($E63=Categories!$A$12,Categories!$B$12,IF($E63=Categories!$A$13,Categories!$B$13,IF($E63=Categories!$A$14,Categories!$B$14,IF($E63=Categories!$A$15,Categories!$B$15,IF($E63=Categories!$A$16,Categories!$B$16,IF($E63=Categories!$A$17,Categories!$B$17,IF($E63=Categories!$A$18,Categories!$B$18,IF($E63=Categories!$A$19,Categories!$B$19)))))))))))))))))))</f>
        <v>0</v>
      </c>
      <c r="G63" s="9" t="str">
        <f t="shared" si="0"/>
        <v/>
      </c>
      <c r="H63" s="1" t="str">
        <f t="shared" si="1"/>
        <v/>
      </c>
      <c r="I63" s="1" t="str">
        <f t="shared" si="2"/>
        <v/>
      </c>
      <c r="J63" s="1" t="str">
        <f t="shared" si="3"/>
        <v/>
      </c>
      <c r="K63" s="13" t="str">
        <f t="shared" si="4"/>
        <v/>
      </c>
      <c r="L63" s="9" t="str">
        <f t="shared" si="19"/>
        <v/>
      </c>
      <c r="M63" s="1" t="str">
        <f t="shared" si="6"/>
        <v/>
      </c>
      <c r="N63" s="1" t="str">
        <f t="shared" si="7"/>
        <v/>
      </c>
      <c r="O63" s="1" t="str">
        <f t="shared" si="8"/>
        <v/>
      </c>
      <c r="P63" s="1" t="str">
        <f t="shared" si="9"/>
        <v/>
      </c>
      <c r="Q63" s="1" t="str">
        <f t="shared" si="10"/>
        <v/>
      </c>
      <c r="R63" s="1" t="str">
        <f t="shared" si="11"/>
        <v/>
      </c>
      <c r="S63" s="1" t="str">
        <f t="shared" si="12"/>
        <v/>
      </c>
      <c r="T63" s="1" t="str">
        <f t="shared" si="13"/>
        <v/>
      </c>
      <c r="U63" s="1" t="str">
        <f t="shared" si="14"/>
        <v/>
      </c>
      <c r="V63" s="1" t="str">
        <f t="shared" si="15"/>
        <v/>
      </c>
      <c r="W63" s="26" t="str">
        <f t="shared" si="16"/>
        <v/>
      </c>
      <c r="X63" s="13" t="str">
        <f t="shared" si="17"/>
        <v/>
      </c>
      <c r="Y63" s="9">
        <f t="shared" si="18"/>
        <v>0</v>
      </c>
    </row>
    <row r="64" spans="1:25" x14ac:dyDescent="0.25">
      <c r="A64" s="28"/>
      <c r="B64" s="29"/>
      <c r="C64" s="30"/>
      <c r="D64" s="31"/>
      <c r="E64" s="29" t="s">
        <v>16</v>
      </c>
      <c r="F64" s="13" t="b">
        <f>IF($E64=Categories!$A$1,"",IF($E64=Categories!$A$2,Categories!$B$2,IF($E64=Categories!$A$3,Categories!$B$3,IF($E64=Categories!$A$4,Categories!$B$4,IF($E64=Categories!$A$5,Categories!$B$5,IF($E64=Categories!$A$6,Categories!$B$6,IF($E64=Categories!$A$7,Categories!$B$7,IF($E64=Categories!$A$8,Categories!$B$8,IF($E64=Categories!$A$9,Categories!$B$9,IF($E64=Categories!$A$10,Categories!$B$10,IF($E64=Categories!$A$11,Categories!$B$11,IF($E64=Categories!$A$12,Categories!$B$12,IF($E64=Categories!$A$13,Categories!$B$13,IF($E64=Categories!$A$14,Categories!$B$14,IF($E64=Categories!$A$15,Categories!$B$15,IF($E64=Categories!$A$16,Categories!$B$16,IF($E64=Categories!$A$17,Categories!$B$17,IF($E64=Categories!$A$18,Categories!$B$18,IF($E64=Categories!$A$19,Categories!$B$19)))))))))))))))))))</f>
        <v>0</v>
      </c>
      <c r="G64" s="9" t="str">
        <f t="shared" si="0"/>
        <v/>
      </c>
      <c r="H64" s="1" t="str">
        <f t="shared" si="1"/>
        <v/>
      </c>
      <c r="I64" s="1" t="str">
        <f t="shared" si="2"/>
        <v/>
      </c>
      <c r="J64" s="1" t="str">
        <f t="shared" si="3"/>
        <v/>
      </c>
      <c r="K64" s="13" t="str">
        <f t="shared" si="4"/>
        <v/>
      </c>
      <c r="L64" s="9" t="str">
        <f t="shared" si="19"/>
        <v/>
      </c>
      <c r="M64" s="1" t="str">
        <f t="shared" si="6"/>
        <v/>
      </c>
      <c r="N64" s="1" t="str">
        <f t="shared" si="7"/>
        <v/>
      </c>
      <c r="O64" s="1" t="str">
        <f t="shared" si="8"/>
        <v/>
      </c>
      <c r="P64" s="1" t="str">
        <f t="shared" si="9"/>
        <v/>
      </c>
      <c r="Q64" s="1" t="str">
        <f t="shared" si="10"/>
        <v/>
      </c>
      <c r="R64" s="1" t="str">
        <f t="shared" si="11"/>
        <v/>
      </c>
      <c r="S64" s="1" t="str">
        <f t="shared" si="12"/>
        <v/>
      </c>
      <c r="T64" s="1" t="str">
        <f t="shared" si="13"/>
        <v/>
      </c>
      <c r="U64" s="1" t="str">
        <f t="shared" si="14"/>
        <v/>
      </c>
      <c r="V64" s="1" t="str">
        <f t="shared" si="15"/>
        <v/>
      </c>
      <c r="W64" s="26" t="str">
        <f t="shared" si="16"/>
        <v/>
      </c>
      <c r="X64" s="13" t="str">
        <f t="shared" si="17"/>
        <v/>
      </c>
      <c r="Y64" s="9">
        <f t="shared" si="18"/>
        <v>0</v>
      </c>
    </row>
    <row r="65" spans="1:25" x14ac:dyDescent="0.25">
      <c r="A65" s="28"/>
      <c r="B65" s="29"/>
      <c r="C65" s="30"/>
      <c r="D65" s="31"/>
      <c r="E65" s="29" t="s">
        <v>16</v>
      </c>
      <c r="F65" s="13" t="b">
        <f>IF($E65=Categories!$A$1,"",IF($E65=Categories!$A$2,Categories!$B$2,IF($E65=Categories!$A$3,Categories!$B$3,IF($E65=Categories!$A$4,Categories!$B$4,IF($E65=Categories!$A$5,Categories!$B$5,IF($E65=Categories!$A$6,Categories!$B$6,IF($E65=Categories!$A$7,Categories!$B$7,IF($E65=Categories!$A$8,Categories!$B$8,IF($E65=Categories!$A$9,Categories!$B$9,IF($E65=Categories!$A$10,Categories!$B$10,IF($E65=Categories!$A$11,Categories!$B$11,IF($E65=Categories!$A$12,Categories!$B$12,IF($E65=Categories!$A$13,Categories!$B$13,IF($E65=Categories!$A$14,Categories!$B$14,IF($E65=Categories!$A$15,Categories!$B$15,IF($E65=Categories!$A$16,Categories!$B$16,IF($E65=Categories!$A$17,Categories!$B$17,IF($E65=Categories!$A$18,Categories!$B$18,IF($E65=Categories!$A$19,Categories!$B$19)))))))))))))))))))</f>
        <v>0</v>
      </c>
      <c r="G65" s="9" t="str">
        <f t="shared" si="0"/>
        <v/>
      </c>
      <c r="H65" s="1" t="str">
        <f t="shared" si="1"/>
        <v/>
      </c>
      <c r="I65" s="1" t="str">
        <f t="shared" si="2"/>
        <v/>
      </c>
      <c r="J65" s="1" t="str">
        <f t="shared" si="3"/>
        <v/>
      </c>
      <c r="K65" s="13" t="str">
        <f t="shared" si="4"/>
        <v/>
      </c>
      <c r="L65" s="9" t="str">
        <f t="shared" si="19"/>
        <v/>
      </c>
      <c r="M65" s="1" t="str">
        <f t="shared" si="6"/>
        <v/>
      </c>
      <c r="N65" s="1" t="str">
        <f t="shared" si="7"/>
        <v/>
      </c>
      <c r="O65" s="1" t="str">
        <f t="shared" si="8"/>
        <v/>
      </c>
      <c r="P65" s="1" t="str">
        <f t="shared" si="9"/>
        <v/>
      </c>
      <c r="Q65" s="1" t="str">
        <f t="shared" si="10"/>
        <v/>
      </c>
      <c r="R65" s="1" t="str">
        <f t="shared" si="11"/>
        <v/>
      </c>
      <c r="S65" s="1" t="str">
        <f t="shared" si="12"/>
        <v/>
      </c>
      <c r="T65" s="1" t="str">
        <f t="shared" si="13"/>
        <v/>
      </c>
      <c r="U65" s="1" t="str">
        <f t="shared" si="14"/>
        <v/>
      </c>
      <c r="V65" s="1" t="str">
        <f t="shared" si="15"/>
        <v/>
      </c>
      <c r="W65" s="26" t="str">
        <f t="shared" si="16"/>
        <v/>
      </c>
      <c r="X65" s="13" t="str">
        <f t="shared" si="17"/>
        <v/>
      </c>
      <c r="Y65" s="9">
        <f t="shared" si="18"/>
        <v>0</v>
      </c>
    </row>
    <row r="66" spans="1:25" x14ac:dyDescent="0.25">
      <c r="A66" s="28"/>
      <c r="B66" s="29"/>
      <c r="C66" s="30"/>
      <c r="D66" s="31"/>
      <c r="E66" s="29" t="s">
        <v>16</v>
      </c>
      <c r="F66" s="13" t="b">
        <f>IF($E66=Categories!$A$1,"",IF($E66=Categories!$A$2,Categories!$B$2,IF($E66=Categories!$A$3,Categories!$B$3,IF($E66=Categories!$A$4,Categories!$B$4,IF($E66=Categories!$A$5,Categories!$B$5,IF($E66=Categories!$A$6,Categories!$B$6,IF($E66=Categories!$A$7,Categories!$B$7,IF($E66=Categories!$A$8,Categories!$B$8,IF($E66=Categories!$A$9,Categories!$B$9,IF($E66=Categories!$A$10,Categories!$B$10,IF($E66=Categories!$A$11,Categories!$B$11,IF($E66=Categories!$A$12,Categories!$B$12,IF($E66=Categories!$A$13,Categories!$B$13,IF($E66=Categories!$A$14,Categories!$B$14,IF($E66=Categories!$A$15,Categories!$B$15,IF($E66=Categories!$A$16,Categories!$B$16,IF($E66=Categories!$A$17,Categories!$B$17,IF($E66=Categories!$A$18,Categories!$B$18,IF($E66=Categories!$A$19,Categories!$B$19)))))))))))))))))))</f>
        <v>0</v>
      </c>
      <c r="G66" s="9" t="str">
        <f t="shared" si="0"/>
        <v/>
      </c>
      <c r="H66" s="1" t="str">
        <f t="shared" si="1"/>
        <v/>
      </c>
      <c r="I66" s="1" t="str">
        <f t="shared" si="2"/>
        <v/>
      </c>
      <c r="J66" s="1" t="str">
        <f t="shared" si="3"/>
        <v/>
      </c>
      <c r="K66" s="13" t="str">
        <f t="shared" si="4"/>
        <v/>
      </c>
      <c r="L66" s="9" t="str">
        <f t="shared" si="19"/>
        <v/>
      </c>
      <c r="M66" s="1" t="str">
        <f t="shared" si="6"/>
        <v/>
      </c>
      <c r="N66" s="1" t="str">
        <f t="shared" si="7"/>
        <v/>
      </c>
      <c r="O66" s="1" t="str">
        <f t="shared" si="8"/>
        <v/>
      </c>
      <c r="P66" s="1" t="str">
        <f t="shared" si="9"/>
        <v/>
      </c>
      <c r="Q66" s="1" t="str">
        <f t="shared" si="10"/>
        <v/>
      </c>
      <c r="R66" s="1" t="str">
        <f t="shared" si="11"/>
        <v/>
      </c>
      <c r="S66" s="1" t="str">
        <f t="shared" si="12"/>
        <v/>
      </c>
      <c r="T66" s="1" t="str">
        <f t="shared" si="13"/>
        <v/>
      </c>
      <c r="U66" s="1" t="str">
        <f t="shared" si="14"/>
        <v/>
      </c>
      <c r="V66" s="1" t="str">
        <f t="shared" si="15"/>
        <v/>
      </c>
      <c r="W66" s="26" t="str">
        <f t="shared" si="16"/>
        <v/>
      </c>
      <c r="X66" s="13" t="str">
        <f t="shared" si="17"/>
        <v/>
      </c>
      <c r="Y66" s="9">
        <f t="shared" si="18"/>
        <v>0</v>
      </c>
    </row>
    <row r="67" spans="1:25" x14ac:dyDescent="0.25">
      <c r="A67" s="28"/>
      <c r="B67" s="29"/>
      <c r="C67" s="30"/>
      <c r="D67" s="31"/>
      <c r="E67" s="29" t="s">
        <v>16</v>
      </c>
      <c r="F67" s="13" t="b">
        <f>IF($E67=Categories!$A$1,"",IF($E67=Categories!$A$2,Categories!$B$2,IF($E67=Categories!$A$3,Categories!$B$3,IF($E67=Categories!$A$4,Categories!$B$4,IF($E67=Categories!$A$5,Categories!$B$5,IF($E67=Categories!$A$6,Categories!$B$6,IF($E67=Categories!$A$7,Categories!$B$7,IF($E67=Categories!$A$8,Categories!$B$8,IF($E67=Categories!$A$9,Categories!$B$9,IF($E67=Categories!$A$10,Categories!$B$10,IF($E67=Categories!$A$11,Categories!$B$11,IF($E67=Categories!$A$12,Categories!$B$12,IF($E67=Categories!$A$13,Categories!$B$13,IF($E67=Categories!$A$14,Categories!$B$14,IF($E67=Categories!$A$15,Categories!$B$15,IF($E67=Categories!$A$16,Categories!$B$16,IF($E67=Categories!$A$17,Categories!$B$17,IF($E67=Categories!$A$18,Categories!$B$18,IF($E67=Categories!$A$19,Categories!$B$19)))))))))))))))))))</f>
        <v>0</v>
      </c>
      <c r="G67" s="9" t="str">
        <f t="shared" si="0"/>
        <v/>
      </c>
      <c r="H67" s="1" t="str">
        <f t="shared" si="1"/>
        <v/>
      </c>
      <c r="I67" s="1" t="str">
        <f t="shared" si="2"/>
        <v/>
      </c>
      <c r="J67" s="1" t="str">
        <f t="shared" si="3"/>
        <v/>
      </c>
      <c r="K67" s="13" t="str">
        <f t="shared" si="4"/>
        <v/>
      </c>
      <c r="L67" s="9" t="str">
        <f t="shared" si="19"/>
        <v/>
      </c>
      <c r="M67" s="1" t="str">
        <f t="shared" si="6"/>
        <v/>
      </c>
      <c r="N67" s="1" t="str">
        <f t="shared" si="7"/>
        <v/>
      </c>
      <c r="O67" s="1" t="str">
        <f t="shared" si="8"/>
        <v/>
      </c>
      <c r="P67" s="1" t="str">
        <f t="shared" si="9"/>
        <v/>
      </c>
      <c r="Q67" s="1" t="str">
        <f t="shared" si="10"/>
        <v/>
      </c>
      <c r="R67" s="1" t="str">
        <f t="shared" si="11"/>
        <v/>
      </c>
      <c r="S67" s="1" t="str">
        <f t="shared" si="12"/>
        <v/>
      </c>
      <c r="T67" s="1" t="str">
        <f t="shared" si="13"/>
        <v/>
      </c>
      <c r="U67" s="1" t="str">
        <f t="shared" si="14"/>
        <v/>
      </c>
      <c r="V67" s="1" t="str">
        <f t="shared" si="15"/>
        <v/>
      </c>
      <c r="W67" s="26" t="str">
        <f t="shared" si="16"/>
        <v/>
      </c>
      <c r="X67" s="13" t="str">
        <f t="shared" si="17"/>
        <v/>
      </c>
      <c r="Y67" s="9">
        <f t="shared" si="18"/>
        <v>0</v>
      </c>
    </row>
    <row r="68" spans="1:25" x14ac:dyDescent="0.25">
      <c r="A68" s="28"/>
      <c r="B68" s="29"/>
      <c r="C68" s="30"/>
      <c r="D68" s="31"/>
      <c r="E68" s="29" t="s">
        <v>16</v>
      </c>
      <c r="F68" s="13" t="b">
        <f>IF($E68=Categories!$A$1,"",IF($E68=Categories!$A$2,Categories!$B$2,IF($E68=Categories!$A$3,Categories!$B$3,IF($E68=Categories!$A$4,Categories!$B$4,IF($E68=Categories!$A$5,Categories!$B$5,IF($E68=Categories!$A$6,Categories!$B$6,IF($E68=Categories!$A$7,Categories!$B$7,IF($E68=Categories!$A$8,Categories!$B$8,IF($E68=Categories!$A$9,Categories!$B$9,IF($E68=Categories!$A$10,Categories!$B$10,IF($E68=Categories!$A$11,Categories!$B$11,IF($E68=Categories!$A$12,Categories!$B$12,IF($E68=Categories!$A$13,Categories!$B$13,IF($E68=Categories!$A$14,Categories!$B$14,IF($E68=Categories!$A$15,Categories!$B$15,IF($E68=Categories!$A$16,Categories!$B$16,IF($E68=Categories!$A$17,Categories!$B$17,IF($E68=Categories!$A$18,Categories!$B$18,IF($E68=Categories!$A$19,Categories!$B$19)))))))))))))))))))</f>
        <v>0</v>
      </c>
      <c r="G68" s="9" t="str">
        <f t="shared" si="0"/>
        <v/>
      </c>
      <c r="H68" s="1" t="str">
        <f t="shared" si="1"/>
        <v/>
      </c>
      <c r="I68" s="1" t="str">
        <f t="shared" si="2"/>
        <v/>
      </c>
      <c r="J68" s="1" t="str">
        <f t="shared" si="3"/>
        <v/>
      </c>
      <c r="K68" s="13" t="str">
        <f t="shared" si="4"/>
        <v/>
      </c>
      <c r="L68" s="9" t="str">
        <f t="shared" si="19"/>
        <v/>
      </c>
      <c r="M68" s="1" t="str">
        <f t="shared" si="6"/>
        <v/>
      </c>
      <c r="N68" s="1" t="str">
        <f t="shared" si="7"/>
        <v/>
      </c>
      <c r="O68" s="1" t="str">
        <f t="shared" si="8"/>
        <v/>
      </c>
      <c r="P68" s="1" t="str">
        <f t="shared" si="9"/>
        <v/>
      </c>
      <c r="Q68" s="1" t="str">
        <f t="shared" si="10"/>
        <v/>
      </c>
      <c r="R68" s="1" t="str">
        <f t="shared" si="11"/>
        <v/>
      </c>
      <c r="S68" s="1" t="str">
        <f t="shared" si="12"/>
        <v/>
      </c>
      <c r="T68" s="1" t="str">
        <f t="shared" si="13"/>
        <v/>
      </c>
      <c r="U68" s="1" t="str">
        <f t="shared" si="14"/>
        <v/>
      </c>
      <c r="V68" s="1" t="str">
        <f t="shared" si="15"/>
        <v/>
      </c>
      <c r="W68" s="26" t="str">
        <f t="shared" si="16"/>
        <v/>
      </c>
      <c r="X68" s="13" t="str">
        <f t="shared" si="17"/>
        <v/>
      </c>
      <c r="Y68" s="9">
        <f t="shared" si="18"/>
        <v>0</v>
      </c>
    </row>
    <row r="69" spans="1:25" x14ac:dyDescent="0.25">
      <c r="A69" s="28"/>
      <c r="B69" s="29"/>
      <c r="C69" s="30"/>
      <c r="D69" s="31"/>
      <c r="E69" s="29" t="s">
        <v>16</v>
      </c>
      <c r="F69" s="13" t="b">
        <f>IF($E69=Categories!$A$1,"",IF($E69=Categories!$A$2,Categories!$B$2,IF($E69=Categories!$A$3,Categories!$B$3,IF($E69=Categories!$A$4,Categories!$B$4,IF($E69=Categories!$A$5,Categories!$B$5,IF($E69=Categories!$A$6,Categories!$B$6,IF($E69=Categories!$A$7,Categories!$B$7,IF($E69=Categories!$A$8,Categories!$B$8,IF($E69=Categories!$A$9,Categories!$B$9,IF($E69=Categories!$A$10,Categories!$B$10,IF($E69=Categories!$A$11,Categories!$B$11,IF($E69=Categories!$A$12,Categories!$B$12,IF($E69=Categories!$A$13,Categories!$B$13,IF($E69=Categories!$A$14,Categories!$B$14,IF($E69=Categories!$A$15,Categories!$B$15,IF($E69=Categories!$A$16,Categories!$B$16,IF($E69=Categories!$A$17,Categories!$B$17,IF($E69=Categories!$A$18,Categories!$B$18,IF($E69=Categories!$A$19,Categories!$B$19)))))))))))))))))))</f>
        <v>0</v>
      </c>
      <c r="G69" s="9" t="str">
        <f t="shared" si="0"/>
        <v/>
      </c>
      <c r="H69" s="1" t="str">
        <f t="shared" si="1"/>
        <v/>
      </c>
      <c r="I69" s="1" t="str">
        <f t="shared" si="2"/>
        <v/>
      </c>
      <c r="J69" s="1" t="str">
        <f t="shared" si="3"/>
        <v/>
      </c>
      <c r="K69" s="13" t="str">
        <f t="shared" si="4"/>
        <v/>
      </c>
      <c r="L69" s="9" t="str">
        <f t="shared" si="19"/>
        <v/>
      </c>
      <c r="M69" s="1" t="str">
        <f t="shared" si="6"/>
        <v/>
      </c>
      <c r="N69" s="1" t="str">
        <f t="shared" si="7"/>
        <v/>
      </c>
      <c r="O69" s="1" t="str">
        <f t="shared" si="8"/>
        <v/>
      </c>
      <c r="P69" s="1" t="str">
        <f t="shared" si="9"/>
        <v/>
      </c>
      <c r="Q69" s="1" t="str">
        <f t="shared" si="10"/>
        <v/>
      </c>
      <c r="R69" s="1" t="str">
        <f t="shared" si="11"/>
        <v/>
      </c>
      <c r="S69" s="1" t="str">
        <f t="shared" si="12"/>
        <v/>
      </c>
      <c r="T69" s="1" t="str">
        <f t="shared" si="13"/>
        <v/>
      </c>
      <c r="U69" s="1" t="str">
        <f t="shared" si="14"/>
        <v/>
      </c>
      <c r="V69" s="1" t="str">
        <f t="shared" si="15"/>
        <v/>
      </c>
      <c r="W69" s="26" t="str">
        <f t="shared" si="16"/>
        <v/>
      </c>
      <c r="X69" s="13" t="str">
        <f t="shared" si="17"/>
        <v/>
      </c>
      <c r="Y69" s="9">
        <f t="shared" si="18"/>
        <v>0</v>
      </c>
    </row>
    <row r="70" spans="1:25" x14ac:dyDescent="0.25">
      <c r="A70" s="28"/>
      <c r="B70" s="29"/>
      <c r="C70" s="30"/>
      <c r="D70" s="31"/>
      <c r="E70" s="29" t="s">
        <v>16</v>
      </c>
      <c r="F70" s="13" t="b">
        <f>IF($E70=Categories!$A$1,"",IF($E70=Categories!$A$2,Categories!$B$2,IF($E70=Categories!$A$3,Categories!$B$3,IF($E70=Categories!$A$4,Categories!$B$4,IF($E70=Categories!$A$5,Categories!$B$5,IF($E70=Categories!$A$6,Categories!$B$6,IF($E70=Categories!$A$7,Categories!$B$7,IF($E70=Categories!$A$8,Categories!$B$8,IF($E70=Categories!$A$9,Categories!$B$9,IF($E70=Categories!$A$10,Categories!$B$10,IF($E70=Categories!$A$11,Categories!$B$11,IF($E70=Categories!$A$12,Categories!$B$12,IF($E70=Categories!$A$13,Categories!$B$13,IF($E70=Categories!$A$14,Categories!$B$14,IF($E70=Categories!$A$15,Categories!$B$15,IF($E70=Categories!$A$16,Categories!$B$16,IF($E70=Categories!$A$17,Categories!$B$17,IF($E70=Categories!$A$18,Categories!$B$18,IF($E70=Categories!$A$19,Categories!$B$19)))))))))))))))))))</f>
        <v>0</v>
      </c>
      <c r="G70" s="9" t="str">
        <f t="shared" si="0"/>
        <v/>
      </c>
      <c r="H70" s="1" t="str">
        <f t="shared" si="1"/>
        <v/>
      </c>
      <c r="I70" s="1" t="str">
        <f t="shared" si="2"/>
        <v/>
      </c>
      <c r="J70" s="1" t="str">
        <f t="shared" si="3"/>
        <v/>
      </c>
      <c r="K70" s="13" t="str">
        <f t="shared" si="4"/>
        <v/>
      </c>
      <c r="L70" s="9" t="str">
        <f t="shared" si="19"/>
        <v/>
      </c>
      <c r="M70" s="1" t="str">
        <f t="shared" si="6"/>
        <v/>
      </c>
      <c r="N70" s="1" t="str">
        <f t="shared" si="7"/>
        <v/>
      </c>
      <c r="O70" s="1" t="str">
        <f t="shared" si="8"/>
        <v/>
      </c>
      <c r="P70" s="1" t="str">
        <f t="shared" si="9"/>
        <v/>
      </c>
      <c r="Q70" s="1" t="str">
        <f t="shared" si="10"/>
        <v/>
      </c>
      <c r="R70" s="1" t="str">
        <f t="shared" si="11"/>
        <v/>
      </c>
      <c r="S70" s="1" t="str">
        <f t="shared" si="12"/>
        <v/>
      </c>
      <c r="T70" s="1" t="str">
        <f t="shared" si="13"/>
        <v/>
      </c>
      <c r="U70" s="1" t="str">
        <f t="shared" si="14"/>
        <v/>
      </c>
      <c r="V70" s="1" t="str">
        <f t="shared" si="15"/>
        <v/>
      </c>
      <c r="W70" s="26" t="str">
        <f t="shared" si="16"/>
        <v/>
      </c>
      <c r="X70" s="13" t="str">
        <f t="shared" si="17"/>
        <v/>
      </c>
      <c r="Y70" s="9">
        <f t="shared" si="18"/>
        <v>0</v>
      </c>
    </row>
    <row r="71" spans="1:25" x14ac:dyDescent="0.25">
      <c r="A71" s="28"/>
      <c r="B71" s="29"/>
      <c r="C71" s="30"/>
      <c r="D71" s="31"/>
      <c r="E71" s="29" t="s">
        <v>16</v>
      </c>
      <c r="F71" s="13" t="b">
        <f>IF($E71=Categories!$A$1,"",IF($E71=Categories!$A$2,Categories!$B$2,IF($E71=Categories!$A$3,Categories!$B$3,IF($E71=Categories!$A$4,Categories!$B$4,IF($E71=Categories!$A$5,Categories!$B$5,IF($E71=Categories!$A$6,Categories!$B$6,IF($E71=Categories!$A$7,Categories!$B$7,IF($E71=Categories!$A$8,Categories!$B$8,IF($E71=Categories!$A$9,Categories!$B$9,IF($E71=Categories!$A$10,Categories!$B$10,IF($E71=Categories!$A$11,Categories!$B$11,IF($E71=Categories!$A$12,Categories!$B$12,IF($E71=Categories!$A$13,Categories!$B$13,IF($E71=Categories!$A$14,Categories!$B$14,IF($E71=Categories!$A$15,Categories!$B$15,IF($E71=Categories!$A$16,Categories!$B$16,IF($E71=Categories!$A$17,Categories!$B$17,IF($E71=Categories!$A$18,Categories!$B$18,IF($E71=Categories!$A$19,Categories!$B$19)))))))))))))))))))</f>
        <v>0</v>
      </c>
      <c r="G71" s="9" t="str">
        <f t="shared" ref="G71:G95" si="20">IF($F71="Inc1",$D71,"")</f>
        <v/>
      </c>
      <c r="H71" s="1" t="str">
        <f t="shared" ref="H71:H95" si="21">IF($F71="Inc2",$D71,"")</f>
        <v/>
      </c>
      <c r="I71" s="1" t="str">
        <f t="shared" ref="I71:I95" si="22">IF($F71="Int",$D71,"")</f>
        <v/>
      </c>
      <c r="J71" s="1" t="str">
        <f t="shared" ref="J71:J95" si="23">IF($F71="Inc4",$D71,"")</f>
        <v/>
      </c>
      <c r="K71" s="13" t="str">
        <f t="shared" ref="K71:K95" si="24">IF($F71="Inc5",$D71,"")</f>
        <v/>
      </c>
      <c r="L71" s="9" t="str">
        <f t="shared" si="19"/>
        <v/>
      </c>
      <c r="M71" s="1" t="str">
        <f t="shared" ref="M71:M95" si="25">IF($F71="ExpB",$D71,"")</f>
        <v/>
      </c>
      <c r="N71" s="1" t="str">
        <f t="shared" ref="N71:N95" si="26">IF($F71="ExpC",$D71,"")</f>
        <v/>
      </c>
      <c r="O71" s="1" t="str">
        <f t="shared" ref="O71:O95" si="27">IF($F71="ExpD",$D71,"")</f>
        <v/>
      </c>
      <c r="P71" s="1" t="str">
        <f t="shared" ref="P71:P95" si="28">IF($F71="ExpE",$D71,"")</f>
        <v/>
      </c>
      <c r="Q71" s="1" t="str">
        <f t="shared" ref="Q71:Q95" si="29">IF($F71="ExpF",$D71,"")</f>
        <v/>
      </c>
      <c r="R71" s="1" t="str">
        <f t="shared" ref="R71:R95" si="30">IF($F71="ExpG",$D71,"")</f>
        <v/>
      </c>
      <c r="S71" s="1" t="str">
        <f t="shared" ref="S71:S95" si="31">IF($F71="ExpH",$D71,"")</f>
        <v/>
      </c>
      <c r="T71" s="1" t="str">
        <f t="shared" ref="T71:T95" si="32">IF($F71="ExpI",$D71,"")</f>
        <v/>
      </c>
      <c r="U71" s="1" t="str">
        <f t="shared" ref="U71:U95" si="33">IF($F71="ExpJ",$D71,"")</f>
        <v/>
      </c>
      <c r="V71" s="1" t="str">
        <f t="shared" ref="V71:V95" si="34">IF($F71="ExpK",$D71,"")</f>
        <v/>
      </c>
      <c r="W71" s="26" t="str">
        <f t="shared" ref="W71:W95" si="35">IF($F71="ExpL",$D71,"")</f>
        <v/>
      </c>
      <c r="X71" s="13" t="str">
        <f t="shared" ref="X71:X95" si="36">IF($F71="Expm",$D71,"")</f>
        <v/>
      </c>
      <c r="Y71" s="9">
        <f t="shared" si="18"/>
        <v>0</v>
      </c>
    </row>
    <row r="72" spans="1:25" x14ac:dyDescent="0.25">
      <c r="A72" s="28"/>
      <c r="B72" s="29"/>
      <c r="C72" s="30"/>
      <c r="D72" s="31"/>
      <c r="E72" s="29" t="s">
        <v>16</v>
      </c>
      <c r="F72" s="13" t="b">
        <f>IF($E72=Categories!$A$1,"",IF($E72=Categories!$A$2,Categories!$B$2,IF($E72=Categories!$A$3,Categories!$B$3,IF($E72=Categories!$A$4,Categories!$B$4,IF($E72=Categories!$A$5,Categories!$B$5,IF($E72=Categories!$A$6,Categories!$B$6,IF($E72=Categories!$A$7,Categories!$B$7,IF($E72=Categories!$A$8,Categories!$B$8,IF($E72=Categories!$A$9,Categories!$B$9,IF($E72=Categories!$A$10,Categories!$B$10,IF($E72=Categories!$A$11,Categories!$B$11,IF($E72=Categories!$A$12,Categories!$B$12,IF($E72=Categories!$A$13,Categories!$B$13,IF($E72=Categories!$A$14,Categories!$B$14,IF($E72=Categories!$A$15,Categories!$B$15,IF($E72=Categories!$A$16,Categories!$B$16,IF($E72=Categories!$A$17,Categories!$B$17,IF($E72=Categories!$A$18,Categories!$B$18,IF($E72=Categories!$A$19,Categories!$B$19)))))))))))))))))))</f>
        <v>0</v>
      </c>
      <c r="G72" s="9" t="str">
        <f t="shared" si="20"/>
        <v/>
      </c>
      <c r="H72" s="1" t="str">
        <f t="shared" si="21"/>
        <v/>
      </c>
      <c r="I72" s="1" t="str">
        <f t="shared" si="22"/>
        <v/>
      </c>
      <c r="J72" s="1" t="str">
        <f t="shared" si="23"/>
        <v/>
      </c>
      <c r="K72" s="13" t="str">
        <f t="shared" si="24"/>
        <v/>
      </c>
      <c r="L72" s="9" t="str">
        <f t="shared" si="19"/>
        <v/>
      </c>
      <c r="M72" s="1" t="str">
        <f t="shared" si="25"/>
        <v/>
      </c>
      <c r="N72" s="1" t="str">
        <f t="shared" si="26"/>
        <v/>
      </c>
      <c r="O72" s="1" t="str">
        <f t="shared" si="27"/>
        <v/>
      </c>
      <c r="P72" s="1" t="str">
        <f t="shared" si="28"/>
        <v/>
      </c>
      <c r="Q72" s="1" t="str">
        <f t="shared" si="29"/>
        <v/>
      </c>
      <c r="R72" s="1" t="str">
        <f t="shared" si="30"/>
        <v/>
      </c>
      <c r="S72" s="1" t="str">
        <f t="shared" si="31"/>
        <v/>
      </c>
      <c r="T72" s="1" t="str">
        <f t="shared" si="32"/>
        <v/>
      </c>
      <c r="U72" s="1" t="str">
        <f t="shared" si="33"/>
        <v/>
      </c>
      <c r="V72" s="1" t="str">
        <f t="shared" si="34"/>
        <v/>
      </c>
      <c r="W72" s="26" t="str">
        <f t="shared" si="35"/>
        <v/>
      </c>
      <c r="X72" s="13" t="str">
        <f t="shared" si="36"/>
        <v/>
      </c>
      <c r="Y72" s="9">
        <f t="shared" ref="Y72:Y95" si="37">Y71+SUM(G72:K72)-SUM(L72:X72)</f>
        <v>0</v>
      </c>
    </row>
    <row r="73" spans="1:25" x14ac:dyDescent="0.25">
      <c r="A73" s="28"/>
      <c r="B73" s="29"/>
      <c r="C73" s="30"/>
      <c r="D73" s="31"/>
      <c r="E73" s="29" t="s">
        <v>16</v>
      </c>
      <c r="F73" s="13" t="b">
        <f>IF($E73=Categories!$A$1,"",IF($E73=Categories!$A$2,Categories!$B$2,IF($E73=Categories!$A$3,Categories!$B$3,IF($E73=Categories!$A$4,Categories!$B$4,IF($E73=Categories!$A$5,Categories!$B$5,IF($E73=Categories!$A$6,Categories!$B$6,IF($E73=Categories!$A$7,Categories!$B$7,IF($E73=Categories!$A$8,Categories!$B$8,IF($E73=Categories!$A$9,Categories!$B$9,IF($E73=Categories!$A$10,Categories!$B$10,IF($E73=Categories!$A$11,Categories!$B$11,IF($E73=Categories!$A$12,Categories!$B$12,IF($E73=Categories!$A$13,Categories!$B$13,IF($E73=Categories!$A$14,Categories!$B$14,IF($E73=Categories!$A$15,Categories!$B$15,IF($E73=Categories!$A$16,Categories!$B$16,IF($E73=Categories!$A$17,Categories!$B$17,IF($E73=Categories!$A$18,Categories!$B$18,IF($E73=Categories!$A$19,Categories!$B$19)))))))))))))))))))</f>
        <v>0</v>
      </c>
      <c r="G73" s="9" t="str">
        <f t="shared" si="20"/>
        <v/>
      </c>
      <c r="H73" s="1" t="str">
        <f t="shared" si="21"/>
        <v/>
      </c>
      <c r="I73" s="1" t="str">
        <f t="shared" si="22"/>
        <v/>
      </c>
      <c r="J73" s="1" t="str">
        <f t="shared" si="23"/>
        <v/>
      </c>
      <c r="K73" s="13" t="str">
        <f t="shared" si="24"/>
        <v/>
      </c>
      <c r="L73" s="9" t="str">
        <f t="shared" si="19"/>
        <v/>
      </c>
      <c r="M73" s="1" t="str">
        <f t="shared" si="25"/>
        <v/>
      </c>
      <c r="N73" s="1" t="str">
        <f t="shared" si="26"/>
        <v/>
      </c>
      <c r="O73" s="1" t="str">
        <f t="shared" si="27"/>
        <v/>
      </c>
      <c r="P73" s="1" t="str">
        <f t="shared" si="28"/>
        <v/>
      </c>
      <c r="Q73" s="1" t="str">
        <f t="shared" si="29"/>
        <v/>
      </c>
      <c r="R73" s="1" t="str">
        <f t="shared" si="30"/>
        <v/>
      </c>
      <c r="S73" s="1" t="str">
        <f t="shared" si="31"/>
        <v/>
      </c>
      <c r="T73" s="1" t="str">
        <f t="shared" si="32"/>
        <v/>
      </c>
      <c r="U73" s="1" t="str">
        <f t="shared" si="33"/>
        <v/>
      </c>
      <c r="V73" s="1" t="str">
        <f t="shared" si="34"/>
        <v/>
      </c>
      <c r="W73" s="26" t="str">
        <f t="shared" si="35"/>
        <v/>
      </c>
      <c r="X73" s="13" t="str">
        <f t="shared" si="36"/>
        <v/>
      </c>
      <c r="Y73" s="9">
        <f t="shared" si="37"/>
        <v>0</v>
      </c>
    </row>
    <row r="74" spans="1:25" x14ac:dyDescent="0.25">
      <c r="A74" s="28"/>
      <c r="B74" s="29"/>
      <c r="C74" s="30"/>
      <c r="D74" s="31"/>
      <c r="E74" s="29" t="s">
        <v>16</v>
      </c>
      <c r="F74" s="13" t="b">
        <f>IF($E74=Categories!$A$1,"",IF($E74=Categories!$A$2,Categories!$B$2,IF($E74=Categories!$A$3,Categories!$B$3,IF($E74=Categories!$A$4,Categories!$B$4,IF($E74=Categories!$A$5,Categories!$B$5,IF($E74=Categories!$A$6,Categories!$B$6,IF($E74=Categories!$A$7,Categories!$B$7,IF($E74=Categories!$A$8,Categories!$B$8,IF($E74=Categories!$A$9,Categories!$B$9,IF($E74=Categories!$A$10,Categories!$B$10,IF($E74=Categories!$A$11,Categories!$B$11,IF($E74=Categories!$A$12,Categories!$B$12,IF($E74=Categories!$A$13,Categories!$B$13,IF($E74=Categories!$A$14,Categories!$B$14,IF($E74=Categories!$A$15,Categories!$B$15,IF($E74=Categories!$A$16,Categories!$B$16,IF($E74=Categories!$A$17,Categories!$B$17,IF($E74=Categories!$A$18,Categories!$B$18,IF($E74=Categories!$A$19,Categories!$B$19)))))))))))))))))))</f>
        <v>0</v>
      </c>
      <c r="G74" s="9" t="str">
        <f t="shared" si="20"/>
        <v/>
      </c>
      <c r="H74" s="1" t="str">
        <f t="shared" si="21"/>
        <v/>
      </c>
      <c r="I74" s="1" t="str">
        <f t="shared" si="22"/>
        <v/>
      </c>
      <c r="J74" s="1" t="str">
        <f t="shared" si="23"/>
        <v/>
      </c>
      <c r="K74" s="13" t="str">
        <f t="shared" si="24"/>
        <v/>
      </c>
      <c r="L74" s="9" t="str">
        <f t="shared" si="19"/>
        <v/>
      </c>
      <c r="M74" s="1" t="str">
        <f t="shared" si="25"/>
        <v/>
      </c>
      <c r="N74" s="1" t="str">
        <f t="shared" si="26"/>
        <v/>
      </c>
      <c r="O74" s="1" t="str">
        <f t="shared" si="27"/>
        <v/>
      </c>
      <c r="P74" s="1" t="str">
        <f t="shared" si="28"/>
        <v/>
      </c>
      <c r="Q74" s="1" t="str">
        <f t="shared" si="29"/>
        <v/>
      </c>
      <c r="R74" s="1" t="str">
        <f t="shared" si="30"/>
        <v/>
      </c>
      <c r="S74" s="1" t="str">
        <f t="shared" si="31"/>
        <v/>
      </c>
      <c r="T74" s="1" t="str">
        <f t="shared" si="32"/>
        <v/>
      </c>
      <c r="U74" s="1" t="str">
        <f t="shared" si="33"/>
        <v/>
      </c>
      <c r="V74" s="1" t="str">
        <f t="shared" si="34"/>
        <v/>
      </c>
      <c r="W74" s="26" t="str">
        <f t="shared" si="35"/>
        <v/>
      </c>
      <c r="X74" s="13" t="str">
        <f t="shared" si="36"/>
        <v/>
      </c>
      <c r="Y74" s="9">
        <f t="shared" si="37"/>
        <v>0</v>
      </c>
    </row>
    <row r="75" spans="1:25" x14ac:dyDescent="0.25">
      <c r="A75" s="28"/>
      <c r="B75" s="29"/>
      <c r="C75" s="30"/>
      <c r="D75" s="31"/>
      <c r="E75" s="29" t="s">
        <v>16</v>
      </c>
      <c r="F75" s="13" t="b">
        <f>IF($E75=Categories!$A$1,"",IF($E75=Categories!$A$2,Categories!$B$2,IF($E75=Categories!$A$3,Categories!$B$3,IF($E75=Categories!$A$4,Categories!$B$4,IF($E75=Categories!$A$5,Categories!$B$5,IF($E75=Categories!$A$6,Categories!$B$6,IF($E75=Categories!$A$7,Categories!$B$7,IF($E75=Categories!$A$8,Categories!$B$8,IF($E75=Categories!$A$9,Categories!$B$9,IF($E75=Categories!$A$10,Categories!$B$10,IF($E75=Categories!$A$11,Categories!$B$11,IF($E75=Categories!$A$12,Categories!$B$12,IF($E75=Categories!$A$13,Categories!$B$13,IF($E75=Categories!$A$14,Categories!$B$14,IF($E75=Categories!$A$15,Categories!$B$15,IF($E75=Categories!$A$16,Categories!$B$16,IF($E75=Categories!$A$17,Categories!$B$17,IF($E75=Categories!$A$18,Categories!$B$18,IF($E75=Categories!$A$19,Categories!$B$19)))))))))))))))))))</f>
        <v>0</v>
      </c>
      <c r="G75" s="9" t="str">
        <f t="shared" si="20"/>
        <v/>
      </c>
      <c r="H75" s="1" t="str">
        <f t="shared" si="21"/>
        <v/>
      </c>
      <c r="I75" s="1" t="str">
        <f t="shared" si="22"/>
        <v/>
      </c>
      <c r="J75" s="1" t="str">
        <f t="shared" si="23"/>
        <v/>
      </c>
      <c r="K75" s="13" t="str">
        <f t="shared" si="24"/>
        <v/>
      </c>
      <c r="L75" s="9" t="str">
        <f t="shared" si="19"/>
        <v/>
      </c>
      <c r="M75" s="1" t="str">
        <f t="shared" si="25"/>
        <v/>
      </c>
      <c r="N75" s="1" t="str">
        <f t="shared" si="26"/>
        <v/>
      </c>
      <c r="O75" s="1" t="str">
        <f t="shared" si="27"/>
        <v/>
      </c>
      <c r="P75" s="1" t="str">
        <f t="shared" si="28"/>
        <v/>
      </c>
      <c r="Q75" s="1" t="str">
        <f t="shared" si="29"/>
        <v/>
      </c>
      <c r="R75" s="1" t="str">
        <f t="shared" si="30"/>
        <v/>
      </c>
      <c r="S75" s="1" t="str">
        <f t="shared" si="31"/>
        <v/>
      </c>
      <c r="T75" s="1" t="str">
        <f t="shared" si="32"/>
        <v/>
      </c>
      <c r="U75" s="1" t="str">
        <f t="shared" si="33"/>
        <v/>
      </c>
      <c r="V75" s="1" t="str">
        <f t="shared" si="34"/>
        <v/>
      </c>
      <c r="W75" s="26" t="str">
        <f t="shared" si="35"/>
        <v/>
      </c>
      <c r="X75" s="13" t="str">
        <f t="shared" si="36"/>
        <v/>
      </c>
      <c r="Y75" s="9">
        <f t="shared" si="37"/>
        <v>0</v>
      </c>
    </row>
    <row r="76" spans="1:25" x14ac:dyDescent="0.25">
      <c r="A76" s="28"/>
      <c r="B76" s="29"/>
      <c r="C76" s="30"/>
      <c r="D76" s="31"/>
      <c r="E76" s="29" t="s">
        <v>16</v>
      </c>
      <c r="F76" s="13" t="b">
        <f>IF($E76=Categories!$A$1,"",IF($E76=Categories!$A$2,Categories!$B$2,IF($E76=Categories!$A$3,Categories!$B$3,IF($E76=Categories!$A$4,Categories!$B$4,IF($E76=Categories!$A$5,Categories!$B$5,IF($E76=Categories!$A$6,Categories!$B$6,IF($E76=Categories!$A$7,Categories!$B$7,IF($E76=Categories!$A$8,Categories!$B$8,IF($E76=Categories!$A$9,Categories!$B$9,IF($E76=Categories!$A$10,Categories!$B$10,IF($E76=Categories!$A$11,Categories!$B$11,IF($E76=Categories!$A$12,Categories!$B$12,IF($E76=Categories!$A$13,Categories!$B$13,IF($E76=Categories!$A$14,Categories!$B$14,IF($E76=Categories!$A$15,Categories!$B$15,IF($E76=Categories!$A$16,Categories!$B$16,IF($E76=Categories!$A$17,Categories!$B$17,IF($E76=Categories!$A$18,Categories!$B$18,IF($E76=Categories!$A$19,Categories!$B$19)))))))))))))))))))</f>
        <v>0</v>
      </c>
      <c r="G76" s="9" t="str">
        <f t="shared" si="20"/>
        <v/>
      </c>
      <c r="H76" s="1" t="str">
        <f t="shared" si="21"/>
        <v/>
      </c>
      <c r="I76" s="1" t="str">
        <f t="shared" si="22"/>
        <v/>
      </c>
      <c r="J76" s="1" t="str">
        <f t="shared" si="23"/>
        <v/>
      </c>
      <c r="K76" s="13" t="str">
        <f t="shared" si="24"/>
        <v/>
      </c>
      <c r="L76" s="9" t="str">
        <f t="shared" si="19"/>
        <v/>
      </c>
      <c r="M76" s="1" t="str">
        <f t="shared" si="25"/>
        <v/>
      </c>
      <c r="N76" s="1" t="str">
        <f t="shared" si="26"/>
        <v/>
      </c>
      <c r="O76" s="1" t="str">
        <f t="shared" si="27"/>
        <v/>
      </c>
      <c r="P76" s="1" t="str">
        <f t="shared" si="28"/>
        <v/>
      </c>
      <c r="Q76" s="1" t="str">
        <f t="shared" si="29"/>
        <v/>
      </c>
      <c r="R76" s="1" t="str">
        <f t="shared" si="30"/>
        <v/>
      </c>
      <c r="S76" s="1" t="str">
        <f t="shared" si="31"/>
        <v/>
      </c>
      <c r="T76" s="1" t="str">
        <f t="shared" si="32"/>
        <v/>
      </c>
      <c r="U76" s="1" t="str">
        <f t="shared" si="33"/>
        <v/>
      </c>
      <c r="V76" s="1" t="str">
        <f t="shared" si="34"/>
        <v/>
      </c>
      <c r="W76" s="26" t="str">
        <f t="shared" si="35"/>
        <v/>
      </c>
      <c r="X76" s="13" t="str">
        <f t="shared" si="36"/>
        <v/>
      </c>
      <c r="Y76" s="9">
        <f t="shared" si="37"/>
        <v>0</v>
      </c>
    </row>
    <row r="77" spans="1:25" x14ac:dyDescent="0.25">
      <c r="A77" s="28"/>
      <c r="B77" s="29"/>
      <c r="C77" s="30"/>
      <c r="D77" s="31"/>
      <c r="E77" s="29" t="s">
        <v>16</v>
      </c>
      <c r="F77" s="13" t="b">
        <f>IF($E77=Categories!$A$1,"",IF($E77=Categories!$A$2,Categories!$B$2,IF($E77=Categories!$A$3,Categories!$B$3,IF($E77=Categories!$A$4,Categories!$B$4,IF($E77=Categories!$A$5,Categories!$B$5,IF($E77=Categories!$A$6,Categories!$B$6,IF($E77=Categories!$A$7,Categories!$B$7,IF($E77=Categories!$A$8,Categories!$B$8,IF($E77=Categories!$A$9,Categories!$B$9,IF($E77=Categories!$A$10,Categories!$B$10,IF($E77=Categories!$A$11,Categories!$B$11,IF($E77=Categories!$A$12,Categories!$B$12,IF($E77=Categories!$A$13,Categories!$B$13,IF($E77=Categories!$A$14,Categories!$B$14,IF($E77=Categories!$A$15,Categories!$B$15,IF($E77=Categories!$A$16,Categories!$B$16,IF($E77=Categories!$A$17,Categories!$B$17,IF($E77=Categories!$A$18,Categories!$B$18,IF($E77=Categories!$A$19,Categories!$B$19)))))))))))))))))))</f>
        <v>0</v>
      </c>
      <c r="G77" s="9" t="str">
        <f t="shared" si="20"/>
        <v/>
      </c>
      <c r="H77" s="1" t="str">
        <f t="shared" si="21"/>
        <v/>
      </c>
      <c r="I77" s="1" t="str">
        <f t="shared" si="22"/>
        <v/>
      </c>
      <c r="J77" s="1" t="str">
        <f t="shared" si="23"/>
        <v/>
      </c>
      <c r="K77" s="13" t="str">
        <f t="shared" si="24"/>
        <v/>
      </c>
      <c r="L77" s="9" t="str">
        <f t="shared" si="19"/>
        <v/>
      </c>
      <c r="M77" s="1" t="str">
        <f t="shared" si="25"/>
        <v/>
      </c>
      <c r="N77" s="1" t="str">
        <f t="shared" si="26"/>
        <v/>
      </c>
      <c r="O77" s="1" t="str">
        <f t="shared" si="27"/>
        <v/>
      </c>
      <c r="P77" s="1" t="str">
        <f t="shared" si="28"/>
        <v/>
      </c>
      <c r="Q77" s="1" t="str">
        <f t="shared" si="29"/>
        <v/>
      </c>
      <c r="R77" s="1" t="str">
        <f t="shared" si="30"/>
        <v/>
      </c>
      <c r="S77" s="1" t="str">
        <f t="shared" si="31"/>
        <v/>
      </c>
      <c r="T77" s="1" t="str">
        <f t="shared" si="32"/>
        <v/>
      </c>
      <c r="U77" s="1" t="str">
        <f t="shared" si="33"/>
        <v/>
      </c>
      <c r="V77" s="1" t="str">
        <f t="shared" si="34"/>
        <v/>
      </c>
      <c r="W77" s="26" t="str">
        <f t="shared" si="35"/>
        <v/>
      </c>
      <c r="X77" s="13" t="str">
        <f t="shared" si="36"/>
        <v/>
      </c>
      <c r="Y77" s="9">
        <f t="shared" si="37"/>
        <v>0</v>
      </c>
    </row>
    <row r="78" spans="1:25" x14ac:dyDescent="0.25">
      <c r="A78" s="28"/>
      <c r="B78" s="29"/>
      <c r="C78" s="30"/>
      <c r="D78" s="31"/>
      <c r="E78" s="29" t="s">
        <v>16</v>
      </c>
      <c r="F78" s="13" t="b">
        <f>IF($E78=Categories!$A$1,"",IF($E78=Categories!$A$2,Categories!$B$2,IF($E78=Categories!$A$3,Categories!$B$3,IF($E78=Categories!$A$4,Categories!$B$4,IF($E78=Categories!$A$5,Categories!$B$5,IF($E78=Categories!$A$6,Categories!$B$6,IF($E78=Categories!$A$7,Categories!$B$7,IF($E78=Categories!$A$8,Categories!$B$8,IF($E78=Categories!$A$9,Categories!$B$9,IF($E78=Categories!$A$10,Categories!$B$10,IF($E78=Categories!$A$11,Categories!$B$11,IF($E78=Categories!$A$12,Categories!$B$12,IF($E78=Categories!$A$13,Categories!$B$13,IF($E78=Categories!$A$14,Categories!$B$14,IF($E78=Categories!$A$15,Categories!$B$15,IF($E78=Categories!$A$16,Categories!$B$16,IF($E78=Categories!$A$17,Categories!$B$17,IF($E78=Categories!$A$18,Categories!$B$18,IF($E78=Categories!$A$19,Categories!$B$19)))))))))))))))))))</f>
        <v>0</v>
      </c>
      <c r="G78" s="9" t="str">
        <f t="shared" si="20"/>
        <v/>
      </c>
      <c r="H78" s="1" t="str">
        <f t="shared" si="21"/>
        <v/>
      </c>
      <c r="I78" s="1" t="str">
        <f t="shared" si="22"/>
        <v/>
      </c>
      <c r="J78" s="1" t="str">
        <f t="shared" si="23"/>
        <v/>
      </c>
      <c r="K78" s="13" t="str">
        <f t="shared" si="24"/>
        <v/>
      </c>
      <c r="L78" s="9" t="str">
        <f t="shared" si="19"/>
        <v/>
      </c>
      <c r="M78" s="1" t="str">
        <f t="shared" si="25"/>
        <v/>
      </c>
      <c r="N78" s="1" t="str">
        <f t="shared" si="26"/>
        <v/>
      </c>
      <c r="O78" s="1" t="str">
        <f t="shared" si="27"/>
        <v/>
      </c>
      <c r="P78" s="1" t="str">
        <f t="shared" si="28"/>
        <v/>
      </c>
      <c r="Q78" s="1" t="str">
        <f t="shared" si="29"/>
        <v/>
      </c>
      <c r="R78" s="1" t="str">
        <f t="shared" si="30"/>
        <v/>
      </c>
      <c r="S78" s="1" t="str">
        <f t="shared" si="31"/>
        <v/>
      </c>
      <c r="T78" s="1" t="str">
        <f t="shared" si="32"/>
        <v/>
      </c>
      <c r="U78" s="1" t="str">
        <f t="shared" si="33"/>
        <v/>
      </c>
      <c r="V78" s="1" t="str">
        <f t="shared" si="34"/>
        <v/>
      </c>
      <c r="W78" s="26" t="str">
        <f t="shared" si="35"/>
        <v/>
      </c>
      <c r="X78" s="13" t="str">
        <f t="shared" si="36"/>
        <v/>
      </c>
      <c r="Y78" s="9">
        <f t="shared" si="37"/>
        <v>0</v>
      </c>
    </row>
    <row r="79" spans="1:25" x14ac:dyDescent="0.25">
      <c r="A79" s="28"/>
      <c r="B79" s="29"/>
      <c r="C79" s="30"/>
      <c r="D79" s="31"/>
      <c r="E79" s="29" t="s">
        <v>16</v>
      </c>
      <c r="F79" s="13" t="b">
        <f>IF($E79=Categories!$A$1,"",IF($E79=Categories!$A$2,Categories!$B$2,IF($E79=Categories!$A$3,Categories!$B$3,IF($E79=Categories!$A$4,Categories!$B$4,IF($E79=Categories!$A$5,Categories!$B$5,IF($E79=Categories!$A$6,Categories!$B$6,IF($E79=Categories!$A$7,Categories!$B$7,IF($E79=Categories!$A$8,Categories!$B$8,IF($E79=Categories!$A$9,Categories!$B$9,IF($E79=Categories!$A$10,Categories!$B$10,IF($E79=Categories!$A$11,Categories!$B$11,IF($E79=Categories!$A$12,Categories!$B$12,IF($E79=Categories!$A$13,Categories!$B$13,IF($E79=Categories!$A$14,Categories!$B$14,IF($E79=Categories!$A$15,Categories!$B$15,IF($E79=Categories!$A$16,Categories!$B$16,IF($E79=Categories!$A$17,Categories!$B$17,IF($E79=Categories!$A$18,Categories!$B$18,IF($E79=Categories!$A$19,Categories!$B$19)))))))))))))))))))</f>
        <v>0</v>
      </c>
      <c r="G79" s="9" t="str">
        <f t="shared" si="20"/>
        <v/>
      </c>
      <c r="H79" s="1" t="str">
        <f t="shared" si="21"/>
        <v/>
      </c>
      <c r="I79" s="1" t="str">
        <f t="shared" si="22"/>
        <v/>
      </c>
      <c r="J79" s="1" t="str">
        <f t="shared" si="23"/>
        <v/>
      </c>
      <c r="K79" s="13" t="str">
        <f t="shared" si="24"/>
        <v/>
      </c>
      <c r="L79" s="9" t="str">
        <f t="shared" si="19"/>
        <v/>
      </c>
      <c r="M79" s="1" t="str">
        <f t="shared" si="25"/>
        <v/>
      </c>
      <c r="N79" s="1" t="str">
        <f t="shared" si="26"/>
        <v/>
      </c>
      <c r="O79" s="1" t="str">
        <f t="shared" si="27"/>
        <v/>
      </c>
      <c r="P79" s="1" t="str">
        <f t="shared" si="28"/>
        <v/>
      </c>
      <c r="Q79" s="1" t="str">
        <f t="shared" si="29"/>
        <v/>
      </c>
      <c r="R79" s="1" t="str">
        <f t="shared" si="30"/>
        <v/>
      </c>
      <c r="S79" s="1" t="str">
        <f t="shared" si="31"/>
        <v/>
      </c>
      <c r="T79" s="1" t="str">
        <f t="shared" si="32"/>
        <v/>
      </c>
      <c r="U79" s="1" t="str">
        <f t="shared" si="33"/>
        <v/>
      </c>
      <c r="V79" s="1" t="str">
        <f t="shared" si="34"/>
        <v/>
      </c>
      <c r="W79" s="26" t="str">
        <f t="shared" si="35"/>
        <v/>
      </c>
      <c r="X79" s="13" t="str">
        <f t="shared" si="36"/>
        <v/>
      </c>
      <c r="Y79" s="9">
        <f t="shared" si="37"/>
        <v>0</v>
      </c>
    </row>
    <row r="80" spans="1:25" x14ac:dyDescent="0.25">
      <c r="A80" s="28"/>
      <c r="B80" s="29"/>
      <c r="C80" s="30"/>
      <c r="D80" s="31"/>
      <c r="E80" s="29" t="s">
        <v>16</v>
      </c>
      <c r="F80" s="13" t="b">
        <f>IF($E80=Categories!$A$1,"",IF($E80=Categories!$A$2,Categories!$B$2,IF($E80=Categories!$A$3,Categories!$B$3,IF($E80=Categories!$A$4,Categories!$B$4,IF($E80=Categories!$A$5,Categories!$B$5,IF($E80=Categories!$A$6,Categories!$B$6,IF($E80=Categories!$A$7,Categories!$B$7,IF($E80=Categories!$A$8,Categories!$B$8,IF($E80=Categories!$A$9,Categories!$B$9,IF($E80=Categories!$A$10,Categories!$B$10,IF($E80=Categories!$A$11,Categories!$B$11,IF($E80=Categories!$A$12,Categories!$B$12,IF($E80=Categories!$A$13,Categories!$B$13,IF($E80=Categories!$A$14,Categories!$B$14,IF($E80=Categories!$A$15,Categories!$B$15,IF($E80=Categories!$A$16,Categories!$B$16,IF($E80=Categories!$A$17,Categories!$B$17,IF($E80=Categories!$A$18,Categories!$B$18,IF($E80=Categories!$A$19,Categories!$B$19)))))))))))))))))))</f>
        <v>0</v>
      </c>
      <c r="G80" s="9" t="str">
        <f t="shared" si="20"/>
        <v/>
      </c>
      <c r="H80" s="1" t="str">
        <f t="shared" si="21"/>
        <v/>
      </c>
      <c r="I80" s="1" t="str">
        <f t="shared" si="22"/>
        <v/>
      </c>
      <c r="J80" s="1" t="str">
        <f t="shared" si="23"/>
        <v/>
      </c>
      <c r="K80" s="13" t="str">
        <f t="shared" si="24"/>
        <v/>
      </c>
      <c r="L80" s="9" t="str">
        <f t="shared" si="19"/>
        <v/>
      </c>
      <c r="M80" s="1" t="str">
        <f t="shared" si="25"/>
        <v/>
      </c>
      <c r="N80" s="1" t="str">
        <f t="shared" si="26"/>
        <v/>
      </c>
      <c r="O80" s="1" t="str">
        <f t="shared" si="27"/>
        <v/>
      </c>
      <c r="P80" s="1" t="str">
        <f t="shared" si="28"/>
        <v/>
      </c>
      <c r="Q80" s="1" t="str">
        <f t="shared" si="29"/>
        <v/>
      </c>
      <c r="R80" s="1" t="str">
        <f t="shared" si="30"/>
        <v/>
      </c>
      <c r="S80" s="1" t="str">
        <f t="shared" si="31"/>
        <v/>
      </c>
      <c r="T80" s="1" t="str">
        <f t="shared" si="32"/>
        <v/>
      </c>
      <c r="U80" s="1" t="str">
        <f t="shared" si="33"/>
        <v/>
      </c>
      <c r="V80" s="1" t="str">
        <f t="shared" si="34"/>
        <v/>
      </c>
      <c r="W80" s="26" t="str">
        <f t="shared" si="35"/>
        <v/>
      </c>
      <c r="X80" s="13" t="str">
        <f t="shared" si="36"/>
        <v/>
      </c>
      <c r="Y80" s="9">
        <f t="shared" si="37"/>
        <v>0</v>
      </c>
    </row>
    <row r="81" spans="1:25" x14ac:dyDescent="0.25">
      <c r="A81" s="28"/>
      <c r="B81" s="29"/>
      <c r="C81" s="30"/>
      <c r="D81" s="31"/>
      <c r="E81" s="29" t="s">
        <v>16</v>
      </c>
      <c r="F81" s="13" t="b">
        <f>IF($E81=Categories!$A$1,"",IF($E81=Categories!$A$2,Categories!$B$2,IF($E81=Categories!$A$3,Categories!$B$3,IF($E81=Categories!$A$4,Categories!$B$4,IF($E81=Categories!$A$5,Categories!$B$5,IF($E81=Categories!$A$6,Categories!$B$6,IF($E81=Categories!$A$7,Categories!$B$7,IF($E81=Categories!$A$8,Categories!$B$8,IF($E81=Categories!$A$9,Categories!$B$9,IF($E81=Categories!$A$10,Categories!$B$10,IF($E81=Categories!$A$11,Categories!$B$11,IF($E81=Categories!$A$12,Categories!$B$12,IF($E81=Categories!$A$13,Categories!$B$13,IF($E81=Categories!$A$14,Categories!$B$14,IF($E81=Categories!$A$15,Categories!$B$15,IF($E81=Categories!$A$16,Categories!$B$16,IF($E81=Categories!$A$17,Categories!$B$17,IF($E81=Categories!$A$18,Categories!$B$18,IF($E81=Categories!$A$19,Categories!$B$19)))))))))))))))))))</f>
        <v>0</v>
      </c>
      <c r="G81" s="9" t="str">
        <f t="shared" si="20"/>
        <v/>
      </c>
      <c r="H81" s="1" t="str">
        <f t="shared" si="21"/>
        <v/>
      </c>
      <c r="I81" s="1" t="str">
        <f t="shared" si="22"/>
        <v/>
      </c>
      <c r="J81" s="1" t="str">
        <f t="shared" si="23"/>
        <v/>
      </c>
      <c r="K81" s="13" t="str">
        <f t="shared" si="24"/>
        <v/>
      </c>
      <c r="L81" s="9" t="str">
        <f t="shared" si="19"/>
        <v/>
      </c>
      <c r="M81" s="1" t="str">
        <f t="shared" si="25"/>
        <v/>
      </c>
      <c r="N81" s="1" t="str">
        <f t="shared" si="26"/>
        <v/>
      </c>
      <c r="O81" s="1" t="str">
        <f t="shared" si="27"/>
        <v/>
      </c>
      <c r="P81" s="1" t="str">
        <f t="shared" si="28"/>
        <v/>
      </c>
      <c r="Q81" s="1" t="str">
        <f t="shared" si="29"/>
        <v/>
      </c>
      <c r="R81" s="1" t="str">
        <f t="shared" si="30"/>
        <v/>
      </c>
      <c r="S81" s="1" t="str">
        <f t="shared" si="31"/>
        <v/>
      </c>
      <c r="T81" s="1" t="str">
        <f t="shared" si="32"/>
        <v/>
      </c>
      <c r="U81" s="1" t="str">
        <f t="shared" si="33"/>
        <v/>
      </c>
      <c r="V81" s="1" t="str">
        <f t="shared" si="34"/>
        <v/>
      </c>
      <c r="W81" s="26" t="str">
        <f t="shared" si="35"/>
        <v/>
      </c>
      <c r="X81" s="13" t="str">
        <f t="shared" si="36"/>
        <v/>
      </c>
      <c r="Y81" s="9">
        <f t="shared" si="37"/>
        <v>0</v>
      </c>
    </row>
    <row r="82" spans="1:25" x14ac:dyDescent="0.25">
      <c r="A82" s="28"/>
      <c r="B82" s="29"/>
      <c r="C82" s="30"/>
      <c r="D82" s="31"/>
      <c r="E82" s="29" t="s">
        <v>16</v>
      </c>
      <c r="F82" s="13" t="b">
        <f>IF($E82=Categories!$A$1,"",IF($E82=Categories!$A$2,Categories!$B$2,IF($E82=Categories!$A$3,Categories!$B$3,IF($E82=Categories!$A$4,Categories!$B$4,IF($E82=Categories!$A$5,Categories!$B$5,IF($E82=Categories!$A$6,Categories!$B$6,IF($E82=Categories!$A$7,Categories!$B$7,IF($E82=Categories!$A$8,Categories!$B$8,IF($E82=Categories!$A$9,Categories!$B$9,IF($E82=Categories!$A$10,Categories!$B$10,IF($E82=Categories!$A$11,Categories!$B$11,IF($E82=Categories!$A$12,Categories!$B$12,IF($E82=Categories!$A$13,Categories!$B$13,IF($E82=Categories!$A$14,Categories!$B$14,IF($E82=Categories!$A$15,Categories!$B$15,IF($E82=Categories!$A$16,Categories!$B$16,IF($E82=Categories!$A$17,Categories!$B$17,IF($E82=Categories!$A$18,Categories!$B$18,IF($E82=Categories!$A$19,Categories!$B$19)))))))))))))))))))</f>
        <v>0</v>
      </c>
      <c r="G82" s="9" t="str">
        <f t="shared" si="20"/>
        <v/>
      </c>
      <c r="H82" s="1" t="str">
        <f t="shared" si="21"/>
        <v/>
      </c>
      <c r="I82" s="1" t="str">
        <f t="shared" si="22"/>
        <v/>
      </c>
      <c r="J82" s="1" t="str">
        <f t="shared" si="23"/>
        <v/>
      </c>
      <c r="K82" s="13" t="str">
        <f t="shared" si="24"/>
        <v/>
      </c>
      <c r="L82" s="9" t="str">
        <f t="shared" si="19"/>
        <v/>
      </c>
      <c r="M82" s="1" t="str">
        <f t="shared" si="25"/>
        <v/>
      </c>
      <c r="N82" s="1" t="str">
        <f t="shared" si="26"/>
        <v/>
      </c>
      <c r="O82" s="1" t="str">
        <f t="shared" si="27"/>
        <v/>
      </c>
      <c r="P82" s="1" t="str">
        <f t="shared" si="28"/>
        <v/>
      </c>
      <c r="Q82" s="1" t="str">
        <f t="shared" si="29"/>
        <v/>
      </c>
      <c r="R82" s="1" t="str">
        <f t="shared" si="30"/>
        <v/>
      </c>
      <c r="S82" s="1" t="str">
        <f t="shared" si="31"/>
        <v/>
      </c>
      <c r="T82" s="1" t="str">
        <f t="shared" si="32"/>
        <v/>
      </c>
      <c r="U82" s="1" t="str">
        <f t="shared" si="33"/>
        <v/>
      </c>
      <c r="V82" s="1" t="str">
        <f t="shared" si="34"/>
        <v/>
      </c>
      <c r="W82" s="26" t="str">
        <f t="shared" si="35"/>
        <v/>
      </c>
      <c r="X82" s="13" t="str">
        <f t="shared" si="36"/>
        <v/>
      </c>
      <c r="Y82" s="9">
        <f t="shared" si="37"/>
        <v>0</v>
      </c>
    </row>
    <row r="83" spans="1:25" x14ac:dyDescent="0.25">
      <c r="A83" s="28"/>
      <c r="B83" s="29"/>
      <c r="C83" s="30"/>
      <c r="D83" s="31"/>
      <c r="E83" s="29" t="s">
        <v>16</v>
      </c>
      <c r="F83" s="13" t="b">
        <f>IF($E83=Categories!$A$1,"",IF($E83=Categories!$A$2,Categories!$B$2,IF($E83=Categories!$A$3,Categories!$B$3,IF($E83=Categories!$A$4,Categories!$B$4,IF($E83=Categories!$A$5,Categories!$B$5,IF($E83=Categories!$A$6,Categories!$B$6,IF($E83=Categories!$A$7,Categories!$B$7,IF($E83=Categories!$A$8,Categories!$B$8,IF($E83=Categories!$A$9,Categories!$B$9,IF($E83=Categories!$A$10,Categories!$B$10,IF($E83=Categories!$A$11,Categories!$B$11,IF($E83=Categories!$A$12,Categories!$B$12,IF($E83=Categories!$A$13,Categories!$B$13,IF($E83=Categories!$A$14,Categories!$B$14,IF($E83=Categories!$A$15,Categories!$B$15,IF($E83=Categories!$A$16,Categories!$B$16,IF($E83=Categories!$A$17,Categories!$B$17,IF($E83=Categories!$A$18,Categories!$B$18,IF($E83=Categories!$A$19,Categories!$B$19)))))))))))))))))))</f>
        <v>0</v>
      </c>
      <c r="G83" s="9" t="str">
        <f t="shared" si="20"/>
        <v/>
      </c>
      <c r="H83" s="1" t="str">
        <f t="shared" si="21"/>
        <v/>
      </c>
      <c r="I83" s="1" t="str">
        <f t="shared" si="22"/>
        <v/>
      </c>
      <c r="J83" s="1" t="str">
        <f t="shared" si="23"/>
        <v/>
      </c>
      <c r="K83" s="13" t="str">
        <f t="shared" si="24"/>
        <v/>
      </c>
      <c r="L83" s="9" t="str">
        <f t="shared" si="19"/>
        <v/>
      </c>
      <c r="M83" s="1" t="str">
        <f t="shared" si="25"/>
        <v/>
      </c>
      <c r="N83" s="1" t="str">
        <f t="shared" si="26"/>
        <v/>
      </c>
      <c r="O83" s="1" t="str">
        <f t="shared" si="27"/>
        <v/>
      </c>
      <c r="P83" s="1" t="str">
        <f t="shared" si="28"/>
        <v/>
      </c>
      <c r="Q83" s="1" t="str">
        <f t="shared" si="29"/>
        <v/>
      </c>
      <c r="R83" s="1" t="str">
        <f t="shared" si="30"/>
        <v/>
      </c>
      <c r="S83" s="1" t="str">
        <f t="shared" si="31"/>
        <v/>
      </c>
      <c r="T83" s="1" t="str">
        <f t="shared" si="32"/>
        <v/>
      </c>
      <c r="U83" s="1" t="str">
        <f t="shared" si="33"/>
        <v/>
      </c>
      <c r="V83" s="1" t="str">
        <f t="shared" si="34"/>
        <v/>
      </c>
      <c r="W83" s="26" t="str">
        <f t="shared" si="35"/>
        <v/>
      </c>
      <c r="X83" s="13" t="str">
        <f t="shared" si="36"/>
        <v/>
      </c>
      <c r="Y83" s="9">
        <f t="shared" si="37"/>
        <v>0</v>
      </c>
    </row>
    <row r="84" spans="1:25" x14ac:dyDescent="0.25">
      <c r="A84" s="28"/>
      <c r="B84" s="29"/>
      <c r="C84" s="30"/>
      <c r="D84" s="31"/>
      <c r="E84" s="29" t="s">
        <v>16</v>
      </c>
      <c r="F84" s="13" t="b">
        <f>IF($E84=Categories!$A$1,"",IF($E84=Categories!$A$2,Categories!$B$2,IF($E84=Categories!$A$3,Categories!$B$3,IF($E84=Categories!$A$4,Categories!$B$4,IF($E84=Categories!$A$5,Categories!$B$5,IF($E84=Categories!$A$6,Categories!$B$6,IF($E84=Categories!$A$7,Categories!$B$7,IF($E84=Categories!$A$8,Categories!$B$8,IF($E84=Categories!$A$9,Categories!$B$9,IF($E84=Categories!$A$10,Categories!$B$10,IF($E84=Categories!$A$11,Categories!$B$11,IF($E84=Categories!$A$12,Categories!$B$12,IF($E84=Categories!$A$13,Categories!$B$13,IF($E84=Categories!$A$14,Categories!$B$14,IF($E84=Categories!$A$15,Categories!$B$15,IF($E84=Categories!$A$16,Categories!$B$16,IF($E84=Categories!$A$17,Categories!$B$17,IF($E84=Categories!$A$18,Categories!$B$18,IF($E84=Categories!$A$19,Categories!$B$19)))))))))))))))))))</f>
        <v>0</v>
      </c>
      <c r="G84" s="9" t="str">
        <f t="shared" si="20"/>
        <v/>
      </c>
      <c r="H84" s="1" t="str">
        <f t="shared" si="21"/>
        <v/>
      </c>
      <c r="I84" s="1" t="str">
        <f t="shared" si="22"/>
        <v/>
      </c>
      <c r="J84" s="1" t="str">
        <f t="shared" si="23"/>
        <v/>
      </c>
      <c r="K84" s="13" t="str">
        <f t="shared" si="24"/>
        <v/>
      </c>
      <c r="L84" s="9" t="str">
        <f t="shared" si="19"/>
        <v/>
      </c>
      <c r="M84" s="1" t="str">
        <f t="shared" si="25"/>
        <v/>
      </c>
      <c r="N84" s="1" t="str">
        <f t="shared" si="26"/>
        <v/>
      </c>
      <c r="O84" s="1" t="str">
        <f t="shared" si="27"/>
        <v/>
      </c>
      <c r="P84" s="1" t="str">
        <f t="shared" si="28"/>
        <v/>
      </c>
      <c r="Q84" s="1" t="str">
        <f t="shared" si="29"/>
        <v/>
      </c>
      <c r="R84" s="1" t="str">
        <f t="shared" si="30"/>
        <v/>
      </c>
      <c r="S84" s="1" t="str">
        <f t="shared" si="31"/>
        <v/>
      </c>
      <c r="T84" s="1" t="str">
        <f t="shared" si="32"/>
        <v/>
      </c>
      <c r="U84" s="1" t="str">
        <f t="shared" si="33"/>
        <v/>
      </c>
      <c r="V84" s="1" t="str">
        <f t="shared" si="34"/>
        <v/>
      </c>
      <c r="W84" s="26" t="str">
        <f t="shared" si="35"/>
        <v/>
      </c>
      <c r="X84" s="13" t="str">
        <f t="shared" si="36"/>
        <v/>
      </c>
      <c r="Y84" s="9">
        <f t="shared" si="37"/>
        <v>0</v>
      </c>
    </row>
    <row r="85" spans="1:25" x14ac:dyDescent="0.25">
      <c r="A85" s="28"/>
      <c r="B85" s="29"/>
      <c r="C85" s="30"/>
      <c r="D85" s="31"/>
      <c r="E85" s="29" t="s">
        <v>16</v>
      </c>
      <c r="F85" s="13" t="b">
        <f>IF($E85=Categories!$A$1,"",IF($E85=Categories!$A$2,Categories!$B$2,IF($E85=Categories!$A$3,Categories!$B$3,IF($E85=Categories!$A$4,Categories!$B$4,IF($E85=Categories!$A$5,Categories!$B$5,IF($E85=Categories!$A$6,Categories!$B$6,IF($E85=Categories!$A$7,Categories!$B$7,IF($E85=Categories!$A$8,Categories!$B$8,IF($E85=Categories!$A$9,Categories!$B$9,IF($E85=Categories!$A$10,Categories!$B$10,IF($E85=Categories!$A$11,Categories!$B$11,IF($E85=Categories!$A$12,Categories!$B$12,IF($E85=Categories!$A$13,Categories!$B$13,IF($E85=Categories!$A$14,Categories!$B$14,IF($E85=Categories!$A$15,Categories!$B$15,IF($E85=Categories!$A$16,Categories!$B$16,IF($E85=Categories!$A$17,Categories!$B$17,IF($E85=Categories!$A$18,Categories!$B$18,IF($E85=Categories!$A$19,Categories!$B$19)))))))))))))))))))</f>
        <v>0</v>
      </c>
      <c r="G85" s="9" t="str">
        <f t="shared" si="20"/>
        <v/>
      </c>
      <c r="H85" s="1" t="str">
        <f t="shared" si="21"/>
        <v/>
      </c>
      <c r="I85" s="1" t="str">
        <f t="shared" si="22"/>
        <v/>
      </c>
      <c r="J85" s="1" t="str">
        <f t="shared" si="23"/>
        <v/>
      </c>
      <c r="K85" s="13" t="str">
        <f t="shared" si="24"/>
        <v/>
      </c>
      <c r="L85" s="9" t="str">
        <f t="shared" si="19"/>
        <v/>
      </c>
      <c r="M85" s="1" t="str">
        <f t="shared" si="25"/>
        <v/>
      </c>
      <c r="N85" s="1" t="str">
        <f t="shared" si="26"/>
        <v/>
      </c>
      <c r="O85" s="1" t="str">
        <f t="shared" si="27"/>
        <v/>
      </c>
      <c r="P85" s="1" t="str">
        <f t="shared" si="28"/>
        <v/>
      </c>
      <c r="Q85" s="1" t="str">
        <f t="shared" si="29"/>
        <v/>
      </c>
      <c r="R85" s="1" t="str">
        <f t="shared" si="30"/>
        <v/>
      </c>
      <c r="S85" s="1" t="str">
        <f t="shared" si="31"/>
        <v/>
      </c>
      <c r="T85" s="1" t="str">
        <f t="shared" si="32"/>
        <v/>
      </c>
      <c r="U85" s="1" t="str">
        <f t="shared" si="33"/>
        <v/>
      </c>
      <c r="V85" s="1" t="str">
        <f t="shared" si="34"/>
        <v/>
      </c>
      <c r="W85" s="26" t="str">
        <f t="shared" si="35"/>
        <v/>
      </c>
      <c r="X85" s="13" t="str">
        <f t="shared" si="36"/>
        <v/>
      </c>
      <c r="Y85" s="9">
        <f t="shared" si="37"/>
        <v>0</v>
      </c>
    </row>
    <row r="86" spans="1:25" x14ac:dyDescent="0.25">
      <c r="A86" s="28"/>
      <c r="B86" s="29"/>
      <c r="C86" s="30"/>
      <c r="D86" s="31"/>
      <c r="E86" s="29" t="s">
        <v>16</v>
      </c>
      <c r="F86" s="13" t="b">
        <f>IF($E86=Categories!$A$1,"",IF($E86=Categories!$A$2,Categories!$B$2,IF($E86=Categories!$A$3,Categories!$B$3,IF($E86=Categories!$A$4,Categories!$B$4,IF($E86=Categories!$A$5,Categories!$B$5,IF($E86=Categories!$A$6,Categories!$B$6,IF($E86=Categories!$A$7,Categories!$B$7,IF($E86=Categories!$A$8,Categories!$B$8,IF($E86=Categories!$A$9,Categories!$B$9,IF($E86=Categories!$A$10,Categories!$B$10,IF($E86=Categories!$A$11,Categories!$B$11,IF($E86=Categories!$A$12,Categories!$B$12,IF($E86=Categories!$A$13,Categories!$B$13,IF($E86=Categories!$A$14,Categories!$B$14,IF($E86=Categories!$A$15,Categories!$B$15,IF($E86=Categories!$A$16,Categories!$B$16,IF($E86=Categories!$A$17,Categories!$B$17,IF($E86=Categories!$A$18,Categories!$B$18,IF($E86=Categories!$A$19,Categories!$B$19)))))))))))))))))))</f>
        <v>0</v>
      </c>
      <c r="G86" s="9" t="str">
        <f t="shared" si="20"/>
        <v/>
      </c>
      <c r="H86" s="1" t="str">
        <f t="shared" si="21"/>
        <v/>
      </c>
      <c r="I86" s="1" t="str">
        <f t="shared" si="22"/>
        <v/>
      </c>
      <c r="J86" s="1" t="str">
        <f t="shared" si="23"/>
        <v/>
      </c>
      <c r="K86" s="13" t="str">
        <f t="shared" si="24"/>
        <v/>
      </c>
      <c r="L86" s="9" t="str">
        <f t="shared" si="19"/>
        <v/>
      </c>
      <c r="M86" s="1" t="str">
        <f t="shared" si="25"/>
        <v/>
      </c>
      <c r="N86" s="1" t="str">
        <f t="shared" si="26"/>
        <v/>
      </c>
      <c r="O86" s="1" t="str">
        <f t="shared" si="27"/>
        <v/>
      </c>
      <c r="P86" s="1" t="str">
        <f t="shared" si="28"/>
        <v/>
      </c>
      <c r="Q86" s="1" t="str">
        <f t="shared" si="29"/>
        <v/>
      </c>
      <c r="R86" s="1" t="str">
        <f t="shared" si="30"/>
        <v/>
      </c>
      <c r="S86" s="1" t="str">
        <f t="shared" si="31"/>
        <v/>
      </c>
      <c r="T86" s="1" t="str">
        <f t="shared" si="32"/>
        <v/>
      </c>
      <c r="U86" s="1" t="str">
        <f t="shared" si="33"/>
        <v/>
      </c>
      <c r="V86" s="1" t="str">
        <f t="shared" si="34"/>
        <v/>
      </c>
      <c r="W86" s="26" t="str">
        <f t="shared" si="35"/>
        <v/>
      </c>
      <c r="X86" s="13" t="str">
        <f t="shared" si="36"/>
        <v/>
      </c>
      <c r="Y86" s="9">
        <f t="shared" si="37"/>
        <v>0</v>
      </c>
    </row>
    <row r="87" spans="1:25" x14ac:dyDescent="0.25">
      <c r="A87" s="28"/>
      <c r="B87" s="29"/>
      <c r="C87" s="30"/>
      <c r="D87" s="31"/>
      <c r="E87" s="29" t="s">
        <v>16</v>
      </c>
      <c r="F87" s="13" t="b">
        <f>IF($E87=Categories!$A$1,"",IF($E87=Categories!$A$2,Categories!$B$2,IF($E87=Categories!$A$3,Categories!$B$3,IF($E87=Categories!$A$4,Categories!$B$4,IF($E87=Categories!$A$5,Categories!$B$5,IF($E87=Categories!$A$6,Categories!$B$6,IF($E87=Categories!$A$7,Categories!$B$7,IF($E87=Categories!$A$8,Categories!$B$8,IF($E87=Categories!$A$9,Categories!$B$9,IF($E87=Categories!$A$10,Categories!$B$10,IF($E87=Categories!$A$11,Categories!$B$11,IF($E87=Categories!$A$12,Categories!$B$12,IF($E87=Categories!$A$13,Categories!$B$13,IF($E87=Categories!$A$14,Categories!$B$14,IF($E87=Categories!$A$15,Categories!$B$15,IF($E87=Categories!$A$16,Categories!$B$16,IF($E87=Categories!$A$17,Categories!$B$17,IF($E87=Categories!$A$18,Categories!$B$18,IF($E87=Categories!$A$19,Categories!$B$19)))))))))))))))))))</f>
        <v>0</v>
      </c>
      <c r="G87" s="9" t="str">
        <f t="shared" si="20"/>
        <v/>
      </c>
      <c r="H87" s="1" t="str">
        <f t="shared" si="21"/>
        <v/>
      </c>
      <c r="I87" s="1" t="str">
        <f t="shared" si="22"/>
        <v/>
      </c>
      <c r="J87" s="1" t="str">
        <f t="shared" si="23"/>
        <v/>
      </c>
      <c r="K87" s="13" t="str">
        <f t="shared" si="24"/>
        <v/>
      </c>
      <c r="L87" s="9" t="str">
        <f t="shared" si="19"/>
        <v/>
      </c>
      <c r="M87" s="1" t="str">
        <f t="shared" si="25"/>
        <v/>
      </c>
      <c r="N87" s="1" t="str">
        <f t="shared" si="26"/>
        <v/>
      </c>
      <c r="O87" s="1" t="str">
        <f t="shared" si="27"/>
        <v/>
      </c>
      <c r="P87" s="1" t="str">
        <f t="shared" si="28"/>
        <v/>
      </c>
      <c r="Q87" s="1" t="str">
        <f t="shared" si="29"/>
        <v/>
      </c>
      <c r="R87" s="1" t="str">
        <f t="shared" si="30"/>
        <v/>
      </c>
      <c r="S87" s="1" t="str">
        <f t="shared" si="31"/>
        <v/>
      </c>
      <c r="T87" s="1" t="str">
        <f t="shared" si="32"/>
        <v/>
      </c>
      <c r="U87" s="1" t="str">
        <f t="shared" si="33"/>
        <v/>
      </c>
      <c r="V87" s="1" t="str">
        <f t="shared" si="34"/>
        <v/>
      </c>
      <c r="W87" s="26" t="str">
        <f t="shared" si="35"/>
        <v/>
      </c>
      <c r="X87" s="13" t="str">
        <f t="shared" si="36"/>
        <v/>
      </c>
      <c r="Y87" s="9">
        <f t="shared" si="37"/>
        <v>0</v>
      </c>
    </row>
    <row r="88" spans="1:25" x14ac:dyDescent="0.25">
      <c r="A88" s="28"/>
      <c r="B88" s="29"/>
      <c r="C88" s="30"/>
      <c r="D88" s="31"/>
      <c r="E88" s="29" t="s">
        <v>16</v>
      </c>
      <c r="F88" s="13" t="b">
        <f>IF($E88=Categories!$A$1,"",IF($E88=Categories!$A$2,Categories!$B$2,IF($E88=Categories!$A$3,Categories!$B$3,IF($E88=Categories!$A$4,Categories!$B$4,IF($E88=Categories!$A$5,Categories!$B$5,IF($E88=Categories!$A$6,Categories!$B$6,IF($E88=Categories!$A$7,Categories!$B$7,IF($E88=Categories!$A$8,Categories!$B$8,IF($E88=Categories!$A$9,Categories!$B$9,IF($E88=Categories!$A$10,Categories!$B$10,IF($E88=Categories!$A$11,Categories!$B$11,IF($E88=Categories!$A$12,Categories!$B$12,IF($E88=Categories!$A$13,Categories!$B$13,IF($E88=Categories!$A$14,Categories!$B$14,IF($E88=Categories!$A$15,Categories!$B$15,IF($E88=Categories!$A$16,Categories!$B$16,IF($E88=Categories!$A$17,Categories!$B$17,IF($E88=Categories!$A$18,Categories!$B$18,IF($E88=Categories!$A$19,Categories!$B$19)))))))))))))))))))</f>
        <v>0</v>
      </c>
      <c r="G88" s="9" t="str">
        <f t="shared" si="20"/>
        <v/>
      </c>
      <c r="H88" s="1" t="str">
        <f t="shared" si="21"/>
        <v/>
      </c>
      <c r="I88" s="1" t="str">
        <f t="shared" si="22"/>
        <v/>
      </c>
      <c r="J88" s="1" t="str">
        <f t="shared" si="23"/>
        <v/>
      </c>
      <c r="K88" s="13" t="str">
        <f t="shared" si="24"/>
        <v/>
      </c>
      <c r="L88" s="9" t="str">
        <f t="shared" si="19"/>
        <v/>
      </c>
      <c r="M88" s="1" t="str">
        <f t="shared" si="25"/>
        <v/>
      </c>
      <c r="N88" s="1" t="str">
        <f t="shared" si="26"/>
        <v/>
      </c>
      <c r="O88" s="1" t="str">
        <f t="shared" si="27"/>
        <v/>
      </c>
      <c r="P88" s="1" t="str">
        <f t="shared" si="28"/>
        <v/>
      </c>
      <c r="Q88" s="1" t="str">
        <f t="shared" si="29"/>
        <v/>
      </c>
      <c r="R88" s="1" t="str">
        <f t="shared" si="30"/>
        <v/>
      </c>
      <c r="S88" s="1" t="str">
        <f t="shared" si="31"/>
        <v/>
      </c>
      <c r="T88" s="1" t="str">
        <f t="shared" si="32"/>
        <v/>
      </c>
      <c r="U88" s="1" t="str">
        <f t="shared" si="33"/>
        <v/>
      </c>
      <c r="V88" s="1" t="str">
        <f t="shared" si="34"/>
        <v/>
      </c>
      <c r="W88" s="26" t="str">
        <f t="shared" si="35"/>
        <v/>
      </c>
      <c r="X88" s="13" t="str">
        <f t="shared" si="36"/>
        <v/>
      </c>
      <c r="Y88" s="9">
        <f t="shared" si="37"/>
        <v>0</v>
      </c>
    </row>
    <row r="89" spans="1:25" x14ac:dyDescent="0.25">
      <c r="A89" s="28"/>
      <c r="B89" s="29"/>
      <c r="C89" s="30"/>
      <c r="D89" s="31"/>
      <c r="E89" s="29" t="s">
        <v>16</v>
      </c>
      <c r="F89" s="13" t="b">
        <f>IF($E89=Categories!$A$1,"",IF($E89=Categories!$A$2,Categories!$B$2,IF($E89=Categories!$A$3,Categories!$B$3,IF($E89=Categories!$A$4,Categories!$B$4,IF($E89=Categories!$A$5,Categories!$B$5,IF($E89=Categories!$A$6,Categories!$B$6,IF($E89=Categories!$A$7,Categories!$B$7,IF($E89=Categories!$A$8,Categories!$B$8,IF($E89=Categories!$A$9,Categories!$B$9,IF($E89=Categories!$A$10,Categories!$B$10,IF($E89=Categories!$A$11,Categories!$B$11,IF($E89=Categories!$A$12,Categories!$B$12,IF($E89=Categories!$A$13,Categories!$B$13,IF($E89=Categories!$A$14,Categories!$B$14,IF($E89=Categories!$A$15,Categories!$B$15,IF($E89=Categories!$A$16,Categories!$B$16,IF($E89=Categories!$A$17,Categories!$B$17,IF($E89=Categories!$A$18,Categories!$B$18,IF($E89=Categories!$A$19,Categories!$B$19)))))))))))))))))))</f>
        <v>0</v>
      </c>
      <c r="G89" s="9" t="str">
        <f t="shared" si="20"/>
        <v/>
      </c>
      <c r="H89" s="1" t="str">
        <f t="shared" si="21"/>
        <v/>
      </c>
      <c r="I89" s="1" t="str">
        <f t="shared" si="22"/>
        <v/>
      </c>
      <c r="J89" s="1" t="str">
        <f t="shared" si="23"/>
        <v/>
      </c>
      <c r="K89" s="13" t="str">
        <f t="shared" si="24"/>
        <v/>
      </c>
      <c r="L89" s="9" t="str">
        <f t="shared" si="19"/>
        <v/>
      </c>
      <c r="M89" s="1" t="str">
        <f t="shared" si="25"/>
        <v/>
      </c>
      <c r="N89" s="1" t="str">
        <f t="shared" si="26"/>
        <v/>
      </c>
      <c r="O89" s="1" t="str">
        <f t="shared" si="27"/>
        <v/>
      </c>
      <c r="P89" s="1" t="str">
        <f t="shared" si="28"/>
        <v/>
      </c>
      <c r="Q89" s="1" t="str">
        <f t="shared" si="29"/>
        <v/>
      </c>
      <c r="R89" s="1" t="str">
        <f t="shared" si="30"/>
        <v/>
      </c>
      <c r="S89" s="1" t="str">
        <f t="shared" si="31"/>
        <v/>
      </c>
      <c r="T89" s="1" t="str">
        <f t="shared" si="32"/>
        <v/>
      </c>
      <c r="U89" s="1" t="str">
        <f t="shared" si="33"/>
        <v/>
      </c>
      <c r="V89" s="1" t="str">
        <f t="shared" si="34"/>
        <v/>
      </c>
      <c r="W89" s="26" t="str">
        <f t="shared" si="35"/>
        <v/>
      </c>
      <c r="X89" s="13" t="str">
        <f t="shared" si="36"/>
        <v/>
      </c>
      <c r="Y89" s="9">
        <f t="shared" si="37"/>
        <v>0</v>
      </c>
    </row>
    <row r="90" spans="1:25" x14ac:dyDescent="0.25">
      <c r="A90" s="28"/>
      <c r="B90" s="29"/>
      <c r="C90" s="30"/>
      <c r="D90" s="31"/>
      <c r="E90" s="29" t="s">
        <v>16</v>
      </c>
      <c r="F90" s="13" t="b">
        <f>IF($E90=Categories!$A$1,"",IF($E90=Categories!$A$2,Categories!$B$2,IF($E90=Categories!$A$3,Categories!$B$3,IF($E90=Categories!$A$4,Categories!$B$4,IF($E90=Categories!$A$5,Categories!$B$5,IF($E90=Categories!$A$6,Categories!$B$6,IF($E90=Categories!$A$7,Categories!$B$7,IF($E90=Categories!$A$8,Categories!$B$8,IF($E90=Categories!$A$9,Categories!$B$9,IF($E90=Categories!$A$10,Categories!$B$10,IF($E90=Categories!$A$11,Categories!$B$11,IF($E90=Categories!$A$12,Categories!$B$12,IF($E90=Categories!$A$13,Categories!$B$13,IF($E90=Categories!$A$14,Categories!$B$14,IF($E90=Categories!$A$15,Categories!$B$15,IF($E90=Categories!$A$16,Categories!$B$16,IF($E90=Categories!$A$17,Categories!$B$17,IF($E90=Categories!$A$18,Categories!$B$18,IF($E90=Categories!$A$19,Categories!$B$19)))))))))))))))))))</f>
        <v>0</v>
      </c>
      <c r="G90" s="9" t="str">
        <f t="shared" si="20"/>
        <v/>
      </c>
      <c r="H90" s="1" t="str">
        <f t="shared" si="21"/>
        <v/>
      </c>
      <c r="I90" s="1" t="str">
        <f t="shared" si="22"/>
        <v/>
      </c>
      <c r="J90" s="1" t="str">
        <f t="shared" si="23"/>
        <v/>
      </c>
      <c r="K90" s="13" t="str">
        <f t="shared" si="24"/>
        <v/>
      </c>
      <c r="L90" s="9" t="str">
        <f t="shared" si="19"/>
        <v/>
      </c>
      <c r="M90" s="1" t="str">
        <f t="shared" si="25"/>
        <v/>
      </c>
      <c r="N90" s="1" t="str">
        <f t="shared" si="26"/>
        <v/>
      </c>
      <c r="O90" s="1" t="str">
        <f t="shared" si="27"/>
        <v/>
      </c>
      <c r="P90" s="1" t="str">
        <f t="shared" si="28"/>
        <v/>
      </c>
      <c r="Q90" s="1" t="str">
        <f t="shared" si="29"/>
        <v/>
      </c>
      <c r="R90" s="1" t="str">
        <f t="shared" si="30"/>
        <v/>
      </c>
      <c r="S90" s="1" t="str">
        <f t="shared" si="31"/>
        <v/>
      </c>
      <c r="T90" s="1" t="str">
        <f t="shared" si="32"/>
        <v/>
      </c>
      <c r="U90" s="1" t="str">
        <f t="shared" si="33"/>
        <v/>
      </c>
      <c r="V90" s="1" t="str">
        <f t="shared" si="34"/>
        <v/>
      </c>
      <c r="W90" s="26" t="str">
        <f t="shared" si="35"/>
        <v/>
      </c>
      <c r="X90" s="13" t="str">
        <f t="shared" si="36"/>
        <v/>
      </c>
      <c r="Y90" s="9">
        <f t="shared" si="37"/>
        <v>0</v>
      </c>
    </row>
    <row r="91" spans="1:25" x14ac:dyDescent="0.25">
      <c r="A91" s="28"/>
      <c r="B91" s="29"/>
      <c r="C91" s="30"/>
      <c r="D91" s="31"/>
      <c r="E91" s="29" t="s">
        <v>16</v>
      </c>
      <c r="F91" s="13" t="b">
        <f>IF($E91=Categories!$A$1,"",IF($E91=Categories!$A$2,Categories!$B$2,IF($E91=Categories!$A$3,Categories!$B$3,IF($E91=Categories!$A$4,Categories!$B$4,IF($E91=Categories!$A$5,Categories!$B$5,IF($E91=Categories!$A$6,Categories!$B$6,IF($E91=Categories!$A$7,Categories!$B$7,IF($E91=Categories!$A$8,Categories!$B$8,IF($E91=Categories!$A$9,Categories!$B$9,IF($E91=Categories!$A$10,Categories!$B$10,IF($E91=Categories!$A$11,Categories!$B$11,IF($E91=Categories!$A$12,Categories!$B$12,IF($E91=Categories!$A$13,Categories!$B$13,IF($E91=Categories!$A$14,Categories!$B$14,IF($E91=Categories!$A$15,Categories!$B$15,IF($E91=Categories!$A$16,Categories!$B$16,IF($E91=Categories!$A$17,Categories!$B$17,IF($E91=Categories!$A$18,Categories!$B$18,IF($E91=Categories!$A$19,Categories!$B$19)))))))))))))))))))</f>
        <v>0</v>
      </c>
      <c r="G91" s="9" t="str">
        <f t="shared" si="20"/>
        <v/>
      </c>
      <c r="H91" s="1" t="str">
        <f t="shared" si="21"/>
        <v/>
      </c>
      <c r="I91" s="1" t="str">
        <f t="shared" si="22"/>
        <v/>
      </c>
      <c r="J91" s="1" t="str">
        <f t="shared" si="23"/>
        <v/>
      </c>
      <c r="K91" s="13" t="str">
        <f t="shared" si="24"/>
        <v/>
      </c>
      <c r="L91" s="9" t="str">
        <f t="shared" si="19"/>
        <v/>
      </c>
      <c r="M91" s="1" t="str">
        <f t="shared" si="25"/>
        <v/>
      </c>
      <c r="N91" s="1" t="str">
        <f t="shared" si="26"/>
        <v/>
      </c>
      <c r="O91" s="1" t="str">
        <f t="shared" si="27"/>
        <v/>
      </c>
      <c r="P91" s="1" t="str">
        <f t="shared" si="28"/>
        <v/>
      </c>
      <c r="Q91" s="1" t="str">
        <f t="shared" si="29"/>
        <v/>
      </c>
      <c r="R91" s="1" t="str">
        <f t="shared" si="30"/>
        <v/>
      </c>
      <c r="S91" s="1" t="str">
        <f t="shared" si="31"/>
        <v/>
      </c>
      <c r="T91" s="1" t="str">
        <f t="shared" si="32"/>
        <v/>
      </c>
      <c r="U91" s="1" t="str">
        <f t="shared" si="33"/>
        <v/>
      </c>
      <c r="V91" s="1" t="str">
        <f t="shared" si="34"/>
        <v/>
      </c>
      <c r="W91" s="26" t="str">
        <f t="shared" si="35"/>
        <v/>
      </c>
      <c r="X91" s="13" t="str">
        <f t="shared" si="36"/>
        <v/>
      </c>
      <c r="Y91" s="9">
        <f t="shared" si="37"/>
        <v>0</v>
      </c>
    </row>
    <row r="92" spans="1:25" x14ac:dyDescent="0.25">
      <c r="A92" s="28"/>
      <c r="B92" s="29"/>
      <c r="C92" s="30"/>
      <c r="D92" s="31"/>
      <c r="E92" s="29" t="s">
        <v>16</v>
      </c>
      <c r="F92" s="13" t="b">
        <f>IF($E92=Categories!$A$1,"",IF($E92=Categories!$A$2,Categories!$B$2,IF($E92=Categories!$A$3,Categories!$B$3,IF($E92=Categories!$A$4,Categories!$B$4,IF($E92=Categories!$A$5,Categories!$B$5,IF($E92=Categories!$A$6,Categories!$B$6,IF($E92=Categories!$A$7,Categories!$B$7,IF($E92=Categories!$A$8,Categories!$B$8,IF($E92=Categories!$A$9,Categories!$B$9,IF($E92=Categories!$A$10,Categories!$B$10,IF($E92=Categories!$A$11,Categories!$B$11,IF($E92=Categories!$A$12,Categories!$B$12,IF($E92=Categories!$A$13,Categories!$B$13,IF($E92=Categories!$A$14,Categories!$B$14,IF($E92=Categories!$A$15,Categories!$B$15,IF($E92=Categories!$A$16,Categories!$B$16,IF($E92=Categories!$A$17,Categories!$B$17,IF($E92=Categories!$A$18,Categories!$B$18,IF($E92=Categories!$A$19,Categories!$B$19)))))))))))))))))))</f>
        <v>0</v>
      </c>
      <c r="G92" s="9" t="str">
        <f t="shared" si="20"/>
        <v/>
      </c>
      <c r="H92" s="1" t="str">
        <f t="shared" si="21"/>
        <v/>
      </c>
      <c r="I92" s="1" t="str">
        <f t="shared" si="22"/>
        <v/>
      </c>
      <c r="J92" s="1" t="str">
        <f t="shared" si="23"/>
        <v/>
      </c>
      <c r="K92" s="13" t="str">
        <f t="shared" si="24"/>
        <v/>
      </c>
      <c r="L92" s="9" t="str">
        <f t="shared" si="19"/>
        <v/>
      </c>
      <c r="M92" s="1" t="str">
        <f t="shared" si="25"/>
        <v/>
      </c>
      <c r="N92" s="1" t="str">
        <f t="shared" si="26"/>
        <v/>
      </c>
      <c r="O92" s="1" t="str">
        <f t="shared" si="27"/>
        <v/>
      </c>
      <c r="P92" s="1" t="str">
        <f t="shared" si="28"/>
        <v/>
      </c>
      <c r="Q92" s="1" t="str">
        <f t="shared" si="29"/>
        <v/>
      </c>
      <c r="R92" s="1" t="str">
        <f t="shared" si="30"/>
        <v/>
      </c>
      <c r="S92" s="1" t="str">
        <f t="shared" si="31"/>
        <v/>
      </c>
      <c r="T92" s="1" t="str">
        <f t="shared" si="32"/>
        <v/>
      </c>
      <c r="U92" s="1" t="str">
        <f t="shared" si="33"/>
        <v/>
      </c>
      <c r="V92" s="1" t="str">
        <f t="shared" si="34"/>
        <v/>
      </c>
      <c r="W92" s="26" t="str">
        <f t="shared" si="35"/>
        <v/>
      </c>
      <c r="X92" s="13" t="str">
        <f t="shared" si="36"/>
        <v/>
      </c>
      <c r="Y92" s="9">
        <f t="shared" si="37"/>
        <v>0</v>
      </c>
    </row>
    <row r="93" spans="1:25" x14ac:dyDescent="0.25">
      <c r="A93" s="28"/>
      <c r="B93" s="29"/>
      <c r="C93" s="30"/>
      <c r="D93" s="31"/>
      <c r="E93" s="29" t="s">
        <v>16</v>
      </c>
      <c r="F93" s="13" t="b">
        <f>IF($E93=Categories!$A$1,"",IF($E93=Categories!$A$2,Categories!$B$2,IF($E93=Categories!$A$3,Categories!$B$3,IF($E93=Categories!$A$4,Categories!$B$4,IF($E93=Categories!$A$5,Categories!$B$5,IF($E93=Categories!$A$6,Categories!$B$6,IF($E93=Categories!$A$7,Categories!$B$7,IF($E93=Categories!$A$8,Categories!$B$8,IF($E93=Categories!$A$9,Categories!$B$9,IF($E93=Categories!$A$10,Categories!$B$10,IF($E93=Categories!$A$11,Categories!$B$11,IF($E93=Categories!$A$12,Categories!$B$12,IF($E93=Categories!$A$13,Categories!$B$13,IF($E93=Categories!$A$14,Categories!$B$14,IF($E93=Categories!$A$15,Categories!$B$15,IF($E93=Categories!$A$16,Categories!$B$16,IF($E93=Categories!$A$17,Categories!$B$17,IF($E93=Categories!$A$18,Categories!$B$18,IF($E93=Categories!$A$19,Categories!$B$19)))))))))))))))))))</f>
        <v>0</v>
      </c>
      <c r="G93" s="9" t="str">
        <f t="shared" si="20"/>
        <v/>
      </c>
      <c r="H93" s="1" t="str">
        <f t="shared" si="21"/>
        <v/>
      </c>
      <c r="I93" s="1" t="str">
        <f t="shared" si="22"/>
        <v/>
      </c>
      <c r="J93" s="1" t="str">
        <f t="shared" si="23"/>
        <v/>
      </c>
      <c r="K93" s="13" t="str">
        <f t="shared" si="24"/>
        <v/>
      </c>
      <c r="L93" s="9" t="str">
        <f t="shared" si="19"/>
        <v/>
      </c>
      <c r="M93" s="1" t="str">
        <f t="shared" si="25"/>
        <v/>
      </c>
      <c r="N93" s="1" t="str">
        <f t="shared" si="26"/>
        <v/>
      </c>
      <c r="O93" s="1" t="str">
        <f t="shared" si="27"/>
        <v/>
      </c>
      <c r="P93" s="1" t="str">
        <f t="shared" si="28"/>
        <v/>
      </c>
      <c r="Q93" s="1" t="str">
        <f t="shared" si="29"/>
        <v/>
      </c>
      <c r="R93" s="1" t="str">
        <f t="shared" si="30"/>
        <v/>
      </c>
      <c r="S93" s="1" t="str">
        <f t="shared" si="31"/>
        <v/>
      </c>
      <c r="T93" s="1" t="str">
        <f t="shared" si="32"/>
        <v/>
      </c>
      <c r="U93" s="1" t="str">
        <f t="shared" si="33"/>
        <v/>
      </c>
      <c r="V93" s="1" t="str">
        <f t="shared" si="34"/>
        <v/>
      </c>
      <c r="W93" s="26" t="str">
        <f t="shared" si="35"/>
        <v/>
      </c>
      <c r="X93" s="13" t="str">
        <f t="shared" si="36"/>
        <v/>
      </c>
      <c r="Y93" s="9">
        <f t="shared" si="37"/>
        <v>0</v>
      </c>
    </row>
    <row r="94" spans="1:25" x14ac:dyDescent="0.25">
      <c r="A94" s="28"/>
      <c r="B94" s="29"/>
      <c r="C94" s="30"/>
      <c r="D94" s="31"/>
      <c r="E94" s="29" t="s">
        <v>16</v>
      </c>
      <c r="F94" s="13" t="b">
        <f>IF($E94=Categories!$A$1,"",IF($E94=Categories!$A$2,Categories!$B$2,IF($E94=Categories!$A$3,Categories!$B$3,IF($E94=Categories!$A$4,Categories!$B$4,IF($E94=Categories!$A$5,Categories!$B$5,IF($E94=Categories!$A$6,Categories!$B$6,IF($E94=Categories!$A$7,Categories!$B$7,IF($E94=Categories!$A$8,Categories!$B$8,IF($E94=Categories!$A$9,Categories!$B$9,IF($E94=Categories!$A$10,Categories!$B$10,IF($E94=Categories!$A$11,Categories!$B$11,IF($E94=Categories!$A$12,Categories!$B$12,IF($E94=Categories!$A$13,Categories!$B$13,IF($E94=Categories!$A$14,Categories!$B$14,IF($E94=Categories!$A$15,Categories!$B$15,IF($E94=Categories!$A$16,Categories!$B$16,IF($E94=Categories!$A$17,Categories!$B$17,IF($E94=Categories!$A$18,Categories!$B$18,IF($E94=Categories!$A$19,Categories!$B$19)))))))))))))))))))</f>
        <v>0</v>
      </c>
      <c r="G94" s="9" t="str">
        <f t="shared" si="20"/>
        <v/>
      </c>
      <c r="H94" s="1" t="str">
        <f t="shared" si="21"/>
        <v/>
      </c>
      <c r="I94" s="1" t="str">
        <f t="shared" si="22"/>
        <v/>
      </c>
      <c r="J94" s="1" t="str">
        <f t="shared" si="23"/>
        <v/>
      </c>
      <c r="K94" s="13" t="str">
        <f t="shared" si="24"/>
        <v/>
      </c>
      <c r="L94" s="9" t="str">
        <f t="shared" si="19"/>
        <v/>
      </c>
      <c r="M94" s="1" t="str">
        <f t="shared" si="25"/>
        <v/>
      </c>
      <c r="N94" s="1" t="str">
        <f t="shared" si="26"/>
        <v/>
      </c>
      <c r="O94" s="1" t="str">
        <f t="shared" si="27"/>
        <v/>
      </c>
      <c r="P94" s="1" t="str">
        <f t="shared" si="28"/>
        <v/>
      </c>
      <c r="Q94" s="1" t="str">
        <f t="shared" si="29"/>
        <v/>
      </c>
      <c r="R94" s="1" t="str">
        <f t="shared" si="30"/>
        <v/>
      </c>
      <c r="S94" s="1" t="str">
        <f t="shared" si="31"/>
        <v/>
      </c>
      <c r="T94" s="1" t="str">
        <f t="shared" si="32"/>
        <v/>
      </c>
      <c r="U94" s="1" t="str">
        <f t="shared" si="33"/>
        <v/>
      </c>
      <c r="V94" s="1" t="str">
        <f t="shared" si="34"/>
        <v/>
      </c>
      <c r="W94" s="26" t="str">
        <f t="shared" si="35"/>
        <v/>
      </c>
      <c r="X94" s="13" t="str">
        <f t="shared" si="36"/>
        <v/>
      </c>
      <c r="Y94" s="9">
        <f t="shared" si="37"/>
        <v>0</v>
      </c>
    </row>
    <row r="95" spans="1:25" x14ac:dyDescent="0.25">
      <c r="A95" s="28"/>
      <c r="B95" s="29"/>
      <c r="C95" s="30"/>
      <c r="D95" s="31"/>
      <c r="E95" s="29" t="s">
        <v>16</v>
      </c>
      <c r="F95" s="13" t="b">
        <f>IF($E95=Categories!$A$1,"",IF($E95=Categories!$A$2,Categories!$B$2,IF($E95=Categories!$A$3,Categories!$B$3,IF($E95=Categories!$A$4,Categories!$B$4,IF($E95=Categories!$A$5,Categories!$B$5,IF($E95=Categories!$A$6,Categories!$B$6,IF($E95=Categories!$A$7,Categories!$B$7,IF($E95=Categories!$A$8,Categories!$B$8,IF($E95=Categories!$A$9,Categories!$B$9,IF($E95=Categories!$A$10,Categories!$B$10,IF($E95=Categories!$A$11,Categories!$B$11,IF($E95=Categories!$A$12,Categories!$B$12,IF($E95=Categories!$A$13,Categories!$B$13,IF($E95=Categories!$A$14,Categories!$B$14,IF($E95=Categories!$A$15,Categories!$B$15,IF($E95=Categories!$A$16,Categories!$B$16,IF($E95=Categories!$A$17,Categories!$B$17,IF($E95=Categories!$A$18,Categories!$B$18,IF($E95=Categories!$A$19,Categories!$B$19)))))))))))))))))))</f>
        <v>0</v>
      </c>
      <c r="G95" s="9" t="str">
        <f t="shared" si="20"/>
        <v/>
      </c>
      <c r="H95" s="1" t="str">
        <f t="shared" si="21"/>
        <v/>
      </c>
      <c r="I95" s="1" t="str">
        <f t="shared" si="22"/>
        <v/>
      </c>
      <c r="J95" s="1" t="str">
        <f t="shared" si="23"/>
        <v/>
      </c>
      <c r="K95" s="13" t="str">
        <f t="shared" si="24"/>
        <v/>
      </c>
      <c r="L95" s="9" t="str">
        <f t="shared" si="19"/>
        <v/>
      </c>
      <c r="M95" s="1" t="str">
        <f t="shared" si="25"/>
        <v/>
      </c>
      <c r="N95" s="1" t="str">
        <f t="shared" si="26"/>
        <v/>
      </c>
      <c r="O95" s="1" t="str">
        <f t="shared" si="27"/>
        <v/>
      </c>
      <c r="P95" s="1" t="str">
        <f t="shared" si="28"/>
        <v/>
      </c>
      <c r="Q95" s="1" t="str">
        <f t="shared" si="29"/>
        <v/>
      </c>
      <c r="R95" s="1" t="str">
        <f t="shared" si="30"/>
        <v/>
      </c>
      <c r="S95" s="1" t="str">
        <f t="shared" si="31"/>
        <v/>
      </c>
      <c r="T95" s="1" t="str">
        <f t="shared" si="32"/>
        <v/>
      </c>
      <c r="U95" s="1" t="str">
        <f t="shared" si="33"/>
        <v/>
      </c>
      <c r="V95" s="1" t="str">
        <f t="shared" si="34"/>
        <v/>
      </c>
      <c r="W95" s="26" t="str">
        <f t="shared" si="35"/>
        <v/>
      </c>
      <c r="X95" s="13" t="str">
        <f t="shared" si="36"/>
        <v/>
      </c>
      <c r="Y95" s="9">
        <f t="shared" si="37"/>
        <v>0</v>
      </c>
    </row>
    <row r="96" spans="1:25" x14ac:dyDescent="0.25">
      <c r="A96" s="11"/>
      <c r="B96" s="16" t="s">
        <v>30</v>
      </c>
      <c r="C96" s="11"/>
      <c r="D96" s="11"/>
      <c r="E96" s="11"/>
      <c r="F96" s="21"/>
      <c r="G96" s="18">
        <f>SUM(G6:G95)</f>
        <v>0</v>
      </c>
      <c r="H96" s="18">
        <f t="shared" ref="H96:X96" si="38">SUM(H6:H95)</f>
        <v>0</v>
      </c>
      <c r="I96" s="18">
        <f t="shared" si="38"/>
        <v>0</v>
      </c>
      <c r="J96" s="18">
        <f t="shared" si="38"/>
        <v>0</v>
      </c>
      <c r="K96" s="19">
        <f t="shared" si="38"/>
        <v>0</v>
      </c>
      <c r="L96" s="20">
        <f t="shared" si="38"/>
        <v>0</v>
      </c>
      <c r="M96" s="18">
        <f t="shared" si="38"/>
        <v>0</v>
      </c>
      <c r="N96" s="18">
        <f t="shared" si="38"/>
        <v>0</v>
      </c>
      <c r="O96" s="18">
        <f t="shared" si="38"/>
        <v>0</v>
      </c>
      <c r="P96" s="18">
        <f t="shared" si="38"/>
        <v>0</v>
      </c>
      <c r="Q96" s="18">
        <f t="shared" si="38"/>
        <v>0</v>
      </c>
      <c r="R96" s="18">
        <f t="shared" si="38"/>
        <v>0</v>
      </c>
      <c r="S96" s="18">
        <f t="shared" si="38"/>
        <v>0</v>
      </c>
      <c r="T96" s="18">
        <f t="shared" si="38"/>
        <v>0</v>
      </c>
      <c r="U96" s="18">
        <f t="shared" si="38"/>
        <v>0</v>
      </c>
      <c r="V96" s="18">
        <f t="shared" si="38"/>
        <v>0</v>
      </c>
      <c r="W96" s="18">
        <f t="shared" si="38"/>
        <v>0</v>
      </c>
      <c r="X96" s="18">
        <f t="shared" si="38"/>
        <v>0</v>
      </c>
      <c r="Y96" s="18"/>
    </row>
  </sheetData>
  <mergeCells count="1">
    <mergeCell ref="A4:E4"/>
  </mergeCells>
  <pageMargins left="0.23622047244094491" right="0.23622047244094491" top="0.74803149606299213" bottom="0.74803149606299213" header="0.31496062992125984" footer="0.31496062992125984"/>
  <pageSetup paperSize="9" scale="50" fitToHeight="0" orientation="landscape" r:id="rId1"/>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Categories!$A$1:$A$19</xm:f>
          </x14:formula1>
          <xm:sqref>E6:E95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Y96"/>
  <sheetViews>
    <sheetView workbookViewId="0">
      <pane xSplit="6" ySplit="5" topLeftCell="G6" activePane="bottomRight" state="frozen"/>
      <selection activeCell="B78" sqref="B78"/>
      <selection pane="topRight" activeCell="B78" sqref="B78"/>
      <selection pane="bottomLeft" activeCell="B78" sqref="B78"/>
      <selection pane="bottomRight" activeCell="B78" sqref="B78"/>
    </sheetView>
  </sheetViews>
  <sheetFormatPr defaultRowHeight="15" x14ac:dyDescent="0.25"/>
  <cols>
    <col min="1" max="1" width="10.7109375" bestFit="1" customWidth="1"/>
    <col min="2" max="2" width="13.7109375" customWidth="1"/>
    <col min="3" max="3" width="12" customWidth="1"/>
    <col min="5" max="5" width="15.28515625" customWidth="1"/>
    <col min="6" max="6" width="12.7109375" hidden="1" customWidth="1"/>
    <col min="7" max="25" width="11.7109375" customWidth="1"/>
  </cols>
  <sheetData>
    <row r="1" spans="1:25" ht="23.25" x14ac:dyDescent="0.35">
      <c r="A1" s="3" t="s">
        <v>41</v>
      </c>
      <c r="D1" s="8" t="str">
        <f>Instructions!C3</f>
        <v>Lucy's Tailored Tails</v>
      </c>
      <c r="Y1" s="9"/>
    </row>
    <row r="2" spans="1:25" ht="15" customHeight="1" x14ac:dyDescent="0.35">
      <c r="A2" s="3"/>
      <c r="D2" s="8"/>
      <c r="Y2" s="9"/>
    </row>
    <row r="3" spans="1:25" x14ac:dyDescent="0.25">
      <c r="R3" t="s">
        <v>0</v>
      </c>
      <c r="Y3" s="9">
        <f>IF(Instructions!C7="February",Instructions!C6,Jan!Y95)</f>
        <v>0</v>
      </c>
    </row>
    <row r="4" spans="1:25" x14ac:dyDescent="0.25">
      <c r="A4" s="39" t="s">
        <v>111</v>
      </c>
      <c r="B4" s="40"/>
      <c r="C4" s="40"/>
      <c r="D4" s="40"/>
      <c r="E4" s="41"/>
      <c r="F4" s="12"/>
      <c r="G4" s="17" t="s">
        <v>31</v>
      </c>
      <c r="H4" s="11"/>
      <c r="I4" s="11"/>
      <c r="J4" s="11"/>
      <c r="K4" s="12"/>
      <c r="L4" s="17" t="s">
        <v>33</v>
      </c>
      <c r="M4" s="11"/>
      <c r="N4" s="11"/>
      <c r="O4" s="11"/>
      <c r="P4" s="11"/>
      <c r="Q4" s="11"/>
      <c r="R4" s="11"/>
      <c r="S4" s="11"/>
      <c r="T4" s="11"/>
      <c r="U4" s="11"/>
      <c r="V4" s="11"/>
      <c r="W4" s="21"/>
      <c r="X4" s="12"/>
      <c r="Y4" s="10"/>
    </row>
    <row r="5" spans="1:25" ht="30" x14ac:dyDescent="0.25">
      <c r="A5" s="34" t="s">
        <v>1</v>
      </c>
      <c r="B5" s="35" t="s">
        <v>39</v>
      </c>
      <c r="C5" s="34" t="s">
        <v>2</v>
      </c>
      <c r="D5" s="34" t="s">
        <v>3</v>
      </c>
      <c r="E5" s="34" t="s">
        <v>105</v>
      </c>
      <c r="F5" s="12"/>
      <c r="G5" s="10" t="str">
        <f>Categories!A2</f>
        <v>Shop Sales</v>
      </c>
      <c r="H5" s="11" t="str">
        <f>Categories!A3</f>
        <v>Income 2</v>
      </c>
      <c r="I5" s="11" t="str">
        <f>Categories!A4</f>
        <v>Income 3</v>
      </c>
      <c r="J5" s="11" t="str">
        <f>Categories!A5</f>
        <v>Income 4</v>
      </c>
      <c r="K5" s="12" t="str">
        <f>Categories!A6</f>
        <v>Income 5</v>
      </c>
      <c r="L5" s="10" t="str">
        <f>Categories!A7</f>
        <v>Website Fees</v>
      </c>
      <c r="M5" s="11" t="str">
        <f>Categories!A8</f>
        <v>Exp 2</v>
      </c>
      <c r="N5" s="11" t="str">
        <f>Categories!A9</f>
        <v>Exp 3</v>
      </c>
      <c r="O5" s="11" t="str">
        <f>Categories!A10</f>
        <v>Exp 4</v>
      </c>
      <c r="P5" s="11" t="str">
        <f>Categories!A11</f>
        <v>Exp 5</v>
      </c>
      <c r="Q5" s="11" t="str">
        <f>Categories!A12</f>
        <v>Exp 6</v>
      </c>
      <c r="R5" s="11" t="str">
        <f>Categories!A13</f>
        <v>Exp 7</v>
      </c>
      <c r="S5" s="11" t="str">
        <f>Categories!A14</f>
        <v>Exp 8</v>
      </c>
      <c r="T5" s="11" t="str">
        <f>Categories!A15</f>
        <v>Exp 9</v>
      </c>
      <c r="U5" s="11" t="str">
        <f>Categories!A16</f>
        <v>Exp 10</v>
      </c>
      <c r="V5" s="11" t="str">
        <f>Categories!A17</f>
        <v>Exp 11</v>
      </c>
      <c r="W5" s="21" t="str">
        <f>Categories!A18</f>
        <v>Exp 12</v>
      </c>
      <c r="X5" s="12" t="str">
        <f>Categories!A19</f>
        <v>Exp 13</v>
      </c>
      <c r="Y5" s="10" t="s">
        <v>4</v>
      </c>
    </row>
    <row r="6" spans="1:25" x14ac:dyDescent="0.25">
      <c r="A6" s="28"/>
      <c r="B6" s="29"/>
      <c r="C6" s="30"/>
      <c r="D6" s="31"/>
      <c r="E6" s="29" t="s">
        <v>16</v>
      </c>
      <c r="F6" s="13" t="b">
        <f>IF($E6=Categories!$A$1,"",IF($E6=Categories!$A$2,Categories!$B$2,IF($E6=Categories!$A$3,Categories!$B$3,IF($E6=Categories!$A$4,Categories!$B$4,IF($E6=Categories!$A$5,Categories!$B$5,IF($E6=Categories!$A$6,Categories!$B$6,IF($E6=Categories!$A$7,Categories!$B$7,IF($E6=Categories!$A$8,Categories!$B$8,IF($E6=Categories!$A$9,Categories!$B$9,IF($E6=Categories!$A$10,Categories!$B$10,IF($E6=Categories!$A$11,Categories!$B$11,IF($E6=Categories!$A$12,Categories!$B$12,IF($E6=Categories!$A$13,Categories!$B$13,IF($E6=Categories!$A$14,Categories!$B$14,IF($E6=Categories!$A$15,Categories!$B$15,IF($E6=Categories!$A$16,Categories!$B$16,IF($E6=Categories!$A$17,Categories!$B$17,IF($E6=Categories!$A$18,Categories!$B$18,IF($E6=Categories!$A$19,Categories!$B$19)))))))))))))))))))</f>
        <v>0</v>
      </c>
      <c r="G6" s="9" t="str">
        <f>IF($F6="Inc1",$D6,"")</f>
        <v/>
      </c>
      <c r="H6" s="1" t="str">
        <f>IF($F6="Inc2",$D6,"")</f>
        <v/>
      </c>
      <c r="I6" s="1" t="str">
        <f>IF($F6="Int",$D6,"")</f>
        <v/>
      </c>
      <c r="J6" s="1" t="str">
        <f>IF($F6="Inc4",$D6,"")</f>
        <v/>
      </c>
      <c r="K6" s="13" t="str">
        <f>IF($F6="Inc5",$D6,"")</f>
        <v/>
      </c>
      <c r="L6" s="9" t="str">
        <f>IF($F6="ExpA",$D6,"")</f>
        <v/>
      </c>
      <c r="M6" s="1" t="str">
        <f>IF($F6="ExpB",$D6,"")</f>
        <v/>
      </c>
      <c r="N6" s="1" t="str">
        <f>IF($F6="ExpC",$D6,"")</f>
        <v/>
      </c>
      <c r="O6" s="1" t="str">
        <f>IF($F6="ExpD",$D6,"")</f>
        <v/>
      </c>
      <c r="P6" s="1" t="str">
        <f>IF($F6="ExpE",$D6,"")</f>
        <v/>
      </c>
      <c r="Q6" s="1" t="str">
        <f>IF($F6="ExpF",$D6,"")</f>
        <v/>
      </c>
      <c r="R6" s="1" t="str">
        <f>IF($F6="ExpG",$D6,"")</f>
        <v/>
      </c>
      <c r="S6" s="1" t="str">
        <f>IF($F6="ExpH",$D6,"")</f>
        <v/>
      </c>
      <c r="T6" s="1" t="str">
        <f>IF($F6="ExpI",$D6,"")</f>
        <v/>
      </c>
      <c r="U6" s="1" t="str">
        <f>IF($F6="ExpJ",$D6,"")</f>
        <v/>
      </c>
      <c r="V6" s="1" t="str">
        <f>IF($F6="ExpK",$D6,"")</f>
        <v/>
      </c>
      <c r="W6" s="26" t="str">
        <f>IF($F6="ExpL",$D6,"")</f>
        <v/>
      </c>
      <c r="X6" s="13" t="str">
        <f>IF($F6="Expm",$D6,"")</f>
        <v/>
      </c>
      <c r="Y6" s="9">
        <f>$Y$3+SUM(G6:K6)-SUM(L6:X6)</f>
        <v>0</v>
      </c>
    </row>
    <row r="7" spans="1:25" x14ac:dyDescent="0.25">
      <c r="A7" s="28"/>
      <c r="B7" s="29"/>
      <c r="C7" s="30"/>
      <c r="D7" s="31"/>
      <c r="E7" s="29" t="s">
        <v>16</v>
      </c>
      <c r="F7" s="13" t="b">
        <f>IF($E7=Categories!$A$1,"",IF($E7=Categories!$A$2,Categories!$B$2,IF($E7=Categories!$A$3,Categories!$B$3,IF($E7=Categories!$A$4,Categories!$B$4,IF($E7=Categories!$A$5,Categories!$B$5,IF($E7=Categories!$A$6,Categories!$B$6,IF($E7=Categories!$A$7,Categories!$B$7,IF($E7=Categories!$A$8,Categories!$B$8,IF($E7=Categories!$A$9,Categories!$B$9,IF($E7=Categories!$A$10,Categories!$B$10,IF($E7=Categories!$A$11,Categories!$B$11,IF($E7=Categories!$A$12,Categories!$B$12,IF($E7=Categories!$A$13,Categories!$B$13,IF($E7=Categories!$A$14,Categories!$B$14,IF($E7=Categories!$A$15,Categories!$B$15,IF($E7=Categories!$A$16,Categories!$B$16,IF($E7=Categories!$A$17,Categories!$B$17,IF($E7=Categories!$A$18,Categories!$B$18,IF($E7=Categories!$A$19,Categories!$B$19)))))))))))))))))))</f>
        <v>0</v>
      </c>
      <c r="G7" s="9" t="str">
        <f t="shared" ref="G7:G70" si="0">IF($F7="Inc1",$D7,"")</f>
        <v/>
      </c>
      <c r="H7" s="1" t="str">
        <f t="shared" ref="H7:H70" si="1">IF($F7="Inc2",$D7,"")</f>
        <v/>
      </c>
      <c r="I7" s="1" t="str">
        <f t="shared" ref="I7:I70" si="2">IF($F7="Int",$D7,"")</f>
        <v/>
      </c>
      <c r="J7" s="1" t="str">
        <f t="shared" ref="J7:J70" si="3">IF($F7="Inc4",$D7,"")</f>
        <v/>
      </c>
      <c r="K7" s="13" t="str">
        <f t="shared" ref="K7:K70" si="4">IF($F7="Inc5",$D7,"")</f>
        <v/>
      </c>
      <c r="L7" s="9" t="str">
        <f t="shared" ref="L7:L70" si="5">IF($F7="ExpA",$D7,"")</f>
        <v/>
      </c>
      <c r="M7" s="1" t="str">
        <f t="shared" ref="M7:M70" si="6">IF($F7="ExpB",$D7,"")</f>
        <v/>
      </c>
      <c r="N7" s="1" t="str">
        <f t="shared" ref="N7:N70" si="7">IF($F7="ExpC",$D7,"")</f>
        <v/>
      </c>
      <c r="O7" s="1" t="str">
        <f t="shared" ref="O7:O70" si="8">IF($F7="ExpD",$D7,"")</f>
        <v/>
      </c>
      <c r="P7" s="1" t="str">
        <f t="shared" ref="P7:P70" si="9">IF($F7="ExpE",$D7,"")</f>
        <v/>
      </c>
      <c r="Q7" s="1" t="str">
        <f t="shared" ref="Q7:Q70" si="10">IF($F7="ExpF",$D7,"")</f>
        <v/>
      </c>
      <c r="R7" s="1" t="str">
        <f t="shared" ref="R7:R70" si="11">IF($F7="ExpG",$D7,"")</f>
        <v/>
      </c>
      <c r="S7" s="1" t="str">
        <f t="shared" ref="S7:S70" si="12">IF($F7="ExpH",$D7,"")</f>
        <v/>
      </c>
      <c r="T7" s="1" t="str">
        <f t="shared" ref="T7:T70" si="13">IF($F7="ExpI",$D7,"")</f>
        <v/>
      </c>
      <c r="U7" s="1" t="str">
        <f t="shared" ref="U7:U70" si="14">IF($F7="ExpJ",$D7,"")</f>
        <v/>
      </c>
      <c r="V7" s="1" t="str">
        <f t="shared" ref="V7:V70" si="15">IF($F7="ExpK",$D7,"")</f>
        <v/>
      </c>
      <c r="W7" s="26" t="str">
        <f t="shared" ref="W7:W70" si="16">IF($F7="ExpL",$D7,"")</f>
        <v/>
      </c>
      <c r="X7" s="13" t="str">
        <f t="shared" ref="X7:X70" si="17">IF($F7="Expm",$D7,"")</f>
        <v/>
      </c>
      <c r="Y7" s="9">
        <f>Y6+SUM(G7:K7)-SUM(L7:X7)</f>
        <v>0</v>
      </c>
    </row>
    <row r="8" spans="1:25" x14ac:dyDescent="0.25">
      <c r="A8" s="28"/>
      <c r="B8" s="29"/>
      <c r="C8" s="30"/>
      <c r="D8" s="31"/>
      <c r="E8" s="29" t="s">
        <v>16</v>
      </c>
      <c r="F8" s="13" t="b">
        <f>IF($E8=Categories!$A$1,"",IF($E8=Categories!$A$2,Categories!$B$2,IF($E8=Categories!$A$3,Categories!$B$3,IF($E8=Categories!$A$4,Categories!$B$4,IF($E8=Categories!$A$5,Categories!$B$5,IF($E8=Categories!$A$6,Categories!$B$6,IF($E8=Categories!$A$7,Categories!$B$7,IF($E8=Categories!$A$8,Categories!$B$8,IF($E8=Categories!$A$9,Categories!$B$9,IF($E8=Categories!$A$10,Categories!$B$10,IF($E8=Categories!$A$11,Categories!$B$11,IF($E8=Categories!$A$12,Categories!$B$12,IF($E8=Categories!$A$13,Categories!$B$13,IF($E8=Categories!$A$14,Categories!$B$14,IF($E8=Categories!$A$15,Categories!$B$15,IF($E8=Categories!$A$16,Categories!$B$16,IF($E8=Categories!$A$17,Categories!$B$17,IF($E8=Categories!$A$18,Categories!$B$18,IF($E8=Categories!$A$19,Categories!$B$19)))))))))))))))))))</f>
        <v>0</v>
      </c>
      <c r="G8" s="9" t="str">
        <f t="shared" si="0"/>
        <v/>
      </c>
      <c r="H8" s="1" t="str">
        <f t="shared" si="1"/>
        <v/>
      </c>
      <c r="I8" s="1" t="str">
        <f t="shared" si="2"/>
        <v/>
      </c>
      <c r="J8" s="1" t="str">
        <f t="shared" si="3"/>
        <v/>
      </c>
      <c r="K8" s="13" t="str">
        <f t="shared" si="4"/>
        <v/>
      </c>
      <c r="L8" s="9" t="str">
        <f t="shared" si="5"/>
        <v/>
      </c>
      <c r="M8" s="1" t="str">
        <f t="shared" si="6"/>
        <v/>
      </c>
      <c r="N8" s="1" t="str">
        <f t="shared" si="7"/>
        <v/>
      </c>
      <c r="O8" s="1" t="str">
        <f t="shared" si="8"/>
        <v/>
      </c>
      <c r="P8" s="1" t="str">
        <f t="shared" si="9"/>
        <v/>
      </c>
      <c r="Q8" s="1" t="str">
        <f t="shared" si="10"/>
        <v/>
      </c>
      <c r="R8" s="1" t="str">
        <f t="shared" si="11"/>
        <v/>
      </c>
      <c r="S8" s="1" t="str">
        <f t="shared" si="12"/>
        <v/>
      </c>
      <c r="T8" s="1" t="str">
        <f t="shared" si="13"/>
        <v/>
      </c>
      <c r="U8" s="1" t="str">
        <f t="shared" si="14"/>
        <v/>
      </c>
      <c r="V8" s="1" t="str">
        <f t="shared" si="15"/>
        <v/>
      </c>
      <c r="W8" s="26" t="str">
        <f t="shared" si="16"/>
        <v/>
      </c>
      <c r="X8" s="13" t="str">
        <f t="shared" si="17"/>
        <v/>
      </c>
      <c r="Y8" s="9">
        <f t="shared" ref="Y8:Y71" si="18">Y7+SUM(G8:K8)-SUM(L8:X8)</f>
        <v>0</v>
      </c>
    </row>
    <row r="9" spans="1:25" x14ac:dyDescent="0.25">
      <c r="A9" s="28"/>
      <c r="B9" s="29"/>
      <c r="C9" s="30"/>
      <c r="D9" s="31"/>
      <c r="E9" s="29" t="s">
        <v>16</v>
      </c>
      <c r="F9" s="13" t="b">
        <f>IF($E9=Categories!$A$1,"",IF($E9=Categories!$A$2,Categories!$B$2,IF($E9=Categories!$A$3,Categories!$B$3,IF($E9=Categories!$A$4,Categories!$B$4,IF($E9=Categories!$A$5,Categories!$B$5,IF($E9=Categories!$A$6,Categories!$B$6,IF($E9=Categories!$A$7,Categories!$B$7,IF($E9=Categories!$A$8,Categories!$B$8,IF($E9=Categories!$A$9,Categories!$B$9,IF($E9=Categories!$A$10,Categories!$B$10,IF($E9=Categories!$A$11,Categories!$B$11,IF($E9=Categories!$A$12,Categories!$B$12,IF($E9=Categories!$A$13,Categories!$B$13,IF($E9=Categories!$A$14,Categories!$B$14,IF($E9=Categories!$A$15,Categories!$B$15,IF($E9=Categories!$A$16,Categories!$B$16,IF($E9=Categories!$A$17,Categories!$B$17,IF($E9=Categories!$A$18,Categories!$B$18,IF($E9=Categories!$A$19,Categories!$B$19)))))))))))))))))))</f>
        <v>0</v>
      </c>
      <c r="G9" s="9" t="str">
        <f t="shared" si="0"/>
        <v/>
      </c>
      <c r="H9" s="1" t="str">
        <f t="shared" si="1"/>
        <v/>
      </c>
      <c r="I9" s="1" t="str">
        <f t="shared" si="2"/>
        <v/>
      </c>
      <c r="J9" s="1" t="str">
        <f t="shared" si="3"/>
        <v/>
      </c>
      <c r="K9" s="13" t="str">
        <f t="shared" si="4"/>
        <v/>
      </c>
      <c r="L9" s="9" t="str">
        <f t="shared" si="5"/>
        <v/>
      </c>
      <c r="M9" s="1" t="str">
        <f t="shared" si="6"/>
        <v/>
      </c>
      <c r="N9" s="1" t="str">
        <f t="shared" si="7"/>
        <v/>
      </c>
      <c r="O9" s="1" t="str">
        <f t="shared" si="8"/>
        <v/>
      </c>
      <c r="P9" s="1" t="str">
        <f t="shared" si="9"/>
        <v/>
      </c>
      <c r="Q9" s="1" t="str">
        <f t="shared" si="10"/>
        <v/>
      </c>
      <c r="R9" s="1" t="str">
        <f t="shared" si="11"/>
        <v/>
      </c>
      <c r="S9" s="1" t="str">
        <f t="shared" si="12"/>
        <v/>
      </c>
      <c r="T9" s="1" t="str">
        <f t="shared" si="13"/>
        <v/>
      </c>
      <c r="U9" s="1" t="str">
        <f t="shared" si="14"/>
        <v/>
      </c>
      <c r="V9" s="1" t="str">
        <f t="shared" si="15"/>
        <v/>
      </c>
      <c r="W9" s="26" t="str">
        <f t="shared" si="16"/>
        <v/>
      </c>
      <c r="X9" s="13" t="str">
        <f t="shared" si="17"/>
        <v/>
      </c>
      <c r="Y9" s="9">
        <f t="shared" si="18"/>
        <v>0</v>
      </c>
    </row>
    <row r="10" spans="1:25" x14ac:dyDescent="0.25">
      <c r="A10" s="28"/>
      <c r="B10" s="29"/>
      <c r="C10" s="30"/>
      <c r="D10" s="31"/>
      <c r="E10" s="29" t="s">
        <v>16</v>
      </c>
      <c r="F10" s="13" t="b">
        <f>IF($E10=Categories!$A$1,"",IF($E10=Categories!$A$2,Categories!$B$2,IF($E10=Categories!$A$3,Categories!$B$3,IF($E10=Categories!$A$4,Categories!$B$4,IF($E10=Categories!$A$5,Categories!$B$5,IF($E10=Categories!$A$6,Categories!$B$6,IF($E10=Categories!$A$7,Categories!$B$7,IF($E10=Categories!$A$8,Categories!$B$8,IF($E10=Categories!$A$9,Categories!$B$9,IF($E10=Categories!$A$10,Categories!$B$10,IF($E10=Categories!$A$11,Categories!$B$11,IF($E10=Categories!$A$12,Categories!$B$12,IF($E10=Categories!$A$13,Categories!$B$13,IF($E10=Categories!$A$14,Categories!$B$14,IF($E10=Categories!$A$15,Categories!$B$15,IF($E10=Categories!$A$16,Categories!$B$16,IF($E10=Categories!$A$17,Categories!$B$17,IF($E10=Categories!$A$18,Categories!$B$18,IF($E10=Categories!$A$19,Categories!$B$19)))))))))))))))))))</f>
        <v>0</v>
      </c>
      <c r="G10" s="9" t="str">
        <f t="shared" si="0"/>
        <v/>
      </c>
      <c r="H10" s="1" t="str">
        <f t="shared" si="1"/>
        <v/>
      </c>
      <c r="I10" s="1" t="str">
        <f t="shared" si="2"/>
        <v/>
      </c>
      <c r="J10" s="1" t="str">
        <f t="shared" si="3"/>
        <v/>
      </c>
      <c r="K10" s="13" t="str">
        <f t="shared" si="4"/>
        <v/>
      </c>
      <c r="L10" s="9" t="str">
        <f t="shared" si="5"/>
        <v/>
      </c>
      <c r="M10" s="1" t="str">
        <f t="shared" si="6"/>
        <v/>
      </c>
      <c r="N10" s="1" t="str">
        <f t="shared" si="7"/>
        <v/>
      </c>
      <c r="O10" s="1" t="str">
        <f t="shared" si="8"/>
        <v/>
      </c>
      <c r="P10" s="1" t="str">
        <f t="shared" si="9"/>
        <v/>
      </c>
      <c r="Q10" s="1" t="str">
        <f t="shared" si="10"/>
        <v/>
      </c>
      <c r="R10" s="1" t="str">
        <f t="shared" si="11"/>
        <v/>
      </c>
      <c r="S10" s="1" t="str">
        <f t="shared" si="12"/>
        <v/>
      </c>
      <c r="T10" s="1" t="str">
        <f t="shared" si="13"/>
        <v/>
      </c>
      <c r="U10" s="1" t="str">
        <f t="shared" si="14"/>
        <v/>
      </c>
      <c r="V10" s="1" t="str">
        <f t="shared" si="15"/>
        <v/>
      </c>
      <c r="W10" s="26" t="str">
        <f t="shared" si="16"/>
        <v/>
      </c>
      <c r="X10" s="13" t="str">
        <f t="shared" si="17"/>
        <v/>
      </c>
      <c r="Y10" s="9">
        <f t="shared" si="18"/>
        <v>0</v>
      </c>
    </row>
    <row r="11" spans="1:25" x14ac:dyDescent="0.25">
      <c r="A11" s="28"/>
      <c r="B11" s="29"/>
      <c r="C11" s="30"/>
      <c r="D11" s="31"/>
      <c r="E11" s="29" t="s">
        <v>16</v>
      </c>
      <c r="F11" s="13" t="b">
        <f>IF($E11=Categories!$A$1,"",IF($E11=Categories!$A$2,Categories!$B$2,IF($E11=Categories!$A$3,Categories!$B$3,IF($E11=Categories!$A$4,Categories!$B$4,IF($E11=Categories!$A$5,Categories!$B$5,IF($E11=Categories!$A$6,Categories!$B$6,IF($E11=Categories!$A$7,Categories!$B$7,IF($E11=Categories!$A$8,Categories!$B$8,IF($E11=Categories!$A$9,Categories!$B$9,IF($E11=Categories!$A$10,Categories!$B$10,IF($E11=Categories!$A$11,Categories!$B$11,IF($E11=Categories!$A$12,Categories!$B$12,IF($E11=Categories!$A$13,Categories!$B$13,IF($E11=Categories!$A$14,Categories!$B$14,IF($E11=Categories!$A$15,Categories!$B$15,IF($E11=Categories!$A$16,Categories!$B$16,IF($E11=Categories!$A$17,Categories!$B$17,IF($E11=Categories!$A$18,Categories!$B$18,IF($E11=Categories!$A$19,Categories!$B$19)))))))))))))))))))</f>
        <v>0</v>
      </c>
      <c r="G11" s="9" t="str">
        <f t="shared" si="0"/>
        <v/>
      </c>
      <c r="H11" s="1" t="str">
        <f t="shared" si="1"/>
        <v/>
      </c>
      <c r="I11" s="1" t="str">
        <f t="shared" si="2"/>
        <v/>
      </c>
      <c r="J11" s="1" t="str">
        <f t="shared" si="3"/>
        <v/>
      </c>
      <c r="K11" s="13" t="str">
        <f t="shared" si="4"/>
        <v/>
      </c>
      <c r="L11" s="9" t="str">
        <f t="shared" si="5"/>
        <v/>
      </c>
      <c r="M11" s="1" t="str">
        <f t="shared" si="6"/>
        <v/>
      </c>
      <c r="N11" s="1" t="str">
        <f t="shared" si="7"/>
        <v/>
      </c>
      <c r="O11" s="1" t="str">
        <f t="shared" si="8"/>
        <v/>
      </c>
      <c r="P11" s="1" t="str">
        <f t="shared" si="9"/>
        <v/>
      </c>
      <c r="Q11" s="1" t="str">
        <f t="shared" si="10"/>
        <v/>
      </c>
      <c r="R11" s="1" t="str">
        <f t="shared" si="11"/>
        <v/>
      </c>
      <c r="S11" s="1" t="str">
        <f t="shared" si="12"/>
        <v/>
      </c>
      <c r="T11" s="1" t="str">
        <f t="shared" si="13"/>
        <v/>
      </c>
      <c r="U11" s="1" t="str">
        <f t="shared" si="14"/>
        <v/>
      </c>
      <c r="V11" s="1" t="str">
        <f t="shared" si="15"/>
        <v/>
      </c>
      <c r="W11" s="26" t="str">
        <f t="shared" si="16"/>
        <v/>
      </c>
      <c r="X11" s="13" t="str">
        <f t="shared" si="17"/>
        <v/>
      </c>
      <c r="Y11" s="9">
        <f t="shared" si="18"/>
        <v>0</v>
      </c>
    </row>
    <row r="12" spans="1:25" x14ac:dyDescent="0.25">
      <c r="A12" s="28"/>
      <c r="B12" s="29"/>
      <c r="C12" s="30"/>
      <c r="D12" s="31"/>
      <c r="E12" s="29" t="s">
        <v>16</v>
      </c>
      <c r="F12" s="13" t="b">
        <f>IF($E12=Categories!$A$1,"",IF($E12=Categories!$A$2,Categories!$B$2,IF($E12=Categories!$A$3,Categories!$B$3,IF($E12=Categories!$A$4,Categories!$B$4,IF($E12=Categories!$A$5,Categories!$B$5,IF($E12=Categories!$A$6,Categories!$B$6,IF($E12=Categories!$A$7,Categories!$B$7,IF($E12=Categories!$A$8,Categories!$B$8,IF($E12=Categories!$A$9,Categories!$B$9,IF($E12=Categories!$A$10,Categories!$B$10,IF($E12=Categories!$A$11,Categories!$B$11,IF($E12=Categories!$A$12,Categories!$B$12,IF($E12=Categories!$A$13,Categories!$B$13,IF($E12=Categories!$A$14,Categories!$B$14,IF($E12=Categories!$A$15,Categories!$B$15,IF($E12=Categories!$A$16,Categories!$B$16,IF($E12=Categories!$A$17,Categories!$B$17,IF($E12=Categories!$A$18,Categories!$B$18,IF($E12=Categories!$A$19,Categories!$B$19)))))))))))))))))))</f>
        <v>0</v>
      </c>
      <c r="G12" s="9" t="str">
        <f t="shared" si="0"/>
        <v/>
      </c>
      <c r="H12" s="1" t="str">
        <f t="shared" si="1"/>
        <v/>
      </c>
      <c r="I12" s="1" t="str">
        <f t="shared" si="2"/>
        <v/>
      </c>
      <c r="J12" s="1" t="str">
        <f t="shared" si="3"/>
        <v/>
      </c>
      <c r="K12" s="13" t="str">
        <f t="shared" si="4"/>
        <v/>
      </c>
      <c r="L12" s="9" t="str">
        <f t="shared" si="5"/>
        <v/>
      </c>
      <c r="M12" s="1" t="str">
        <f t="shared" si="6"/>
        <v/>
      </c>
      <c r="N12" s="1" t="str">
        <f t="shared" si="7"/>
        <v/>
      </c>
      <c r="O12" s="1" t="str">
        <f t="shared" si="8"/>
        <v/>
      </c>
      <c r="P12" s="1" t="str">
        <f t="shared" si="9"/>
        <v/>
      </c>
      <c r="Q12" s="1" t="str">
        <f t="shared" si="10"/>
        <v/>
      </c>
      <c r="R12" s="1" t="str">
        <f t="shared" si="11"/>
        <v/>
      </c>
      <c r="S12" s="1" t="str">
        <f t="shared" si="12"/>
        <v/>
      </c>
      <c r="T12" s="1" t="str">
        <f t="shared" si="13"/>
        <v/>
      </c>
      <c r="U12" s="1" t="str">
        <f t="shared" si="14"/>
        <v/>
      </c>
      <c r="V12" s="1" t="str">
        <f t="shared" si="15"/>
        <v/>
      </c>
      <c r="W12" s="26" t="str">
        <f t="shared" si="16"/>
        <v/>
      </c>
      <c r="X12" s="13" t="str">
        <f t="shared" si="17"/>
        <v/>
      </c>
      <c r="Y12" s="9">
        <f t="shared" si="18"/>
        <v>0</v>
      </c>
    </row>
    <row r="13" spans="1:25" x14ac:dyDescent="0.25">
      <c r="A13" s="28"/>
      <c r="B13" s="29"/>
      <c r="C13" s="30"/>
      <c r="D13" s="31"/>
      <c r="E13" s="29" t="s">
        <v>16</v>
      </c>
      <c r="F13" s="13" t="b">
        <f>IF($E13=Categories!$A$1,"",IF($E13=Categories!$A$2,Categories!$B$2,IF($E13=Categories!$A$3,Categories!$B$3,IF($E13=Categories!$A$4,Categories!$B$4,IF($E13=Categories!$A$5,Categories!$B$5,IF($E13=Categories!$A$6,Categories!$B$6,IF($E13=Categories!$A$7,Categories!$B$7,IF($E13=Categories!$A$8,Categories!$B$8,IF($E13=Categories!$A$9,Categories!$B$9,IF($E13=Categories!$A$10,Categories!$B$10,IF($E13=Categories!$A$11,Categories!$B$11,IF($E13=Categories!$A$12,Categories!$B$12,IF($E13=Categories!$A$13,Categories!$B$13,IF($E13=Categories!$A$14,Categories!$B$14,IF($E13=Categories!$A$15,Categories!$B$15,IF($E13=Categories!$A$16,Categories!$B$16,IF($E13=Categories!$A$17,Categories!$B$17,IF($E13=Categories!$A$18,Categories!$B$18,IF($E13=Categories!$A$19,Categories!$B$19)))))))))))))))))))</f>
        <v>0</v>
      </c>
      <c r="G13" s="9" t="str">
        <f t="shared" si="0"/>
        <v/>
      </c>
      <c r="H13" s="1" t="str">
        <f t="shared" si="1"/>
        <v/>
      </c>
      <c r="I13" s="1" t="str">
        <f t="shared" si="2"/>
        <v/>
      </c>
      <c r="J13" s="1" t="str">
        <f t="shared" si="3"/>
        <v/>
      </c>
      <c r="K13" s="13" t="str">
        <f t="shared" si="4"/>
        <v/>
      </c>
      <c r="L13" s="9" t="str">
        <f t="shared" si="5"/>
        <v/>
      </c>
      <c r="M13" s="1" t="str">
        <f t="shared" si="6"/>
        <v/>
      </c>
      <c r="N13" s="1" t="str">
        <f t="shared" si="7"/>
        <v/>
      </c>
      <c r="O13" s="1" t="str">
        <f t="shared" si="8"/>
        <v/>
      </c>
      <c r="P13" s="1" t="str">
        <f t="shared" si="9"/>
        <v/>
      </c>
      <c r="Q13" s="1" t="str">
        <f t="shared" si="10"/>
        <v/>
      </c>
      <c r="R13" s="1" t="str">
        <f t="shared" si="11"/>
        <v/>
      </c>
      <c r="S13" s="1" t="str">
        <f t="shared" si="12"/>
        <v/>
      </c>
      <c r="T13" s="1" t="str">
        <f t="shared" si="13"/>
        <v/>
      </c>
      <c r="U13" s="1" t="str">
        <f t="shared" si="14"/>
        <v/>
      </c>
      <c r="V13" s="1" t="str">
        <f t="shared" si="15"/>
        <v/>
      </c>
      <c r="W13" s="26" t="str">
        <f t="shared" si="16"/>
        <v/>
      </c>
      <c r="X13" s="13" t="str">
        <f t="shared" si="17"/>
        <v/>
      </c>
      <c r="Y13" s="9">
        <f t="shared" si="18"/>
        <v>0</v>
      </c>
    </row>
    <row r="14" spans="1:25" x14ac:dyDescent="0.25">
      <c r="A14" s="28"/>
      <c r="B14" s="29"/>
      <c r="C14" s="30"/>
      <c r="D14" s="31"/>
      <c r="E14" s="29" t="s">
        <v>16</v>
      </c>
      <c r="F14" s="13" t="b">
        <f>IF($E14=Categories!$A$1,"",IF($E14=Categories!$A$2,Categories!$B$2,IF($E14=Categories!$A$3,Categories!$B$3,IF($E14=Categories!$A$4,Categories!$B$4,IF($E14=Categories!$A$5,Categories!$B$5,IF($E14=Categories!$A$6,Categories!$B$6,IF($E14=Categories!$A$7,Categories!$B$7,IF($E14=Categories!$A$8,Categories!$B$8,IF($E14=Categories!$A$9,Categories!$B$9,IF($E14=Categories!$A$10,Categories!$B$10,IF($E14=Categories!$A$11,Categories!$B$11,IF($E14=Categories!$A$12,Categories!$B$12,IF($E14=Categories!$A$13,Categories!$B$13,IF($E14=Categories!$A$14,Categories!$B$14,IF($E14=Categories!$A$15,Categories!$B$15,IF($E14=Categories!$A$16,Categories!$B$16,IF($E14=Categories!$A$17,Categories!$B$17,IF($E14=Categories!$A$18,Categories!$B$18,IF($E14=Categories!$A$19,Categories!$B$19)))))))))))))))))))</f>
        <v>0</v>
      </c>
      <c r="G14" s="9" t="str">
        <f t="shared" si="0"/>
        <v/>
      </c>
      <c r="H14" s="1" t="str">
        <f t="shared" si="1"/>
        <v/>
      </c>
      <c r="I14" s="1" t="str">
        <f t="shared" si="2"/>
        <v/>
      </c>
      <c r="J14" s="1" t="str">
        <f t="shared" si="3"/>
        <v/>
      </c>
      <c r="K14" s="13" t="str">
        <f t="shared" si="4"/>
        <v/>
      </c>
      <c r="L14" s="9" t="str">
        <f t="shared" si="5"/>
        <v/>
      </c>
      <c r="M14" s="1" t="str">
        <f t="shared" si="6"/>
        <v/>
      </c>
      <c r="N14" s="1" t="str">
        <f t="shared" si="7"/>
        <v/>
      </c>
      <c r="O14" s="1" t="str">
        <f t="shared" si="8"/>
        <v/>
      </c>
      <c r="P14" s="1" t="str">
        <f t="shared" si="9"/>
        <v/>
      </c>
      <c r="Q14" s="1" t="str">
        <f t="shared" si="10"/>
        <v/>
      </c>
      <c r="R14" s="1" t="str">
        <f t="shared" si="11"/>
        <v/>
      </c>
      <c r="S14" s="1" t="str">
        <f t="shared" si="12"/>
        <v/>
      </c>
      <c r="T14" s="1" t="str">
        <f t="shared" si="13"/>
        <v/>
      </c>
      <c r="U14" s="1" t="str">
        <f t="shared" si="14"/>
        <v/>
      </c>
      <c r="V14" s="1" t="str">
        <f t="shared" si="15"/>
        <v/>
      </c>
      <c r="W14" s="26" t="str">
        <f t="shared" si="16"/>
        <v/>
      </c>
      <c r="X14" s="13" t="str">
        <f t="shared" si="17"/>
        <v/>
      </c>
      <c r="Y14" s="9">
        <f t="shared" si="18"/>
        <v>0</v>
      </c>
    </row>
    <row r="15" spans="1:25" x14ac:dyDescent="0.25">
      <c r="A15" s="28"/>
      <c r="B15" s="29"/>
      <c r="C15" s="30"/>
      <c r="D15" s="31"/>
      <c r="E15" s="29" t="s">
        <v>16</v>
      </c>
      <c r="F15" s="13" t="b">
        <f>IF($E15=Categories!$A$1,"",IF($E15=Categories!$A$2,Categories!$B$2,IF($E15=Categories!$A$3,Categories!$B$3,IF($E15=Categories!$A$4,Categories!$B$4,IF($E15=Categories!$A$5,Categories!$B$5,IF($E15=Categories!$A$6,Categories!$B$6,IF($E15=Categories!$A$7,Categories!$B$7,IF($E15=Categories!$A$8,Categories!$B$8,IF($E15=Categories!$A$9,Categories!$B$9,IF($E15=Categories!$A$10,Categories!$B$10,IF($E15=Categories!$A$11,Categories!$B$11,IF($E15=Categories!$A$12,Categories!$B$12,IF($E15=Categories!$A$13,Categories!$B$13,IF($E15=Categories!$A$14,Categories!$B$14,IF($E15=Categories!$A$15,Categories!$B$15,IF($E15=Categories!$A$16,Categories!$B$16,IF($E15=Categories!$A$17,Categories!$B$17,IF($E15=Categories!$A$18,Categories!$B$18,IF($E15=Categories!$A$19,Categories!$B$19)))))))))))))))))))</f>
        <v>0</v>
      </c>
      <c r="G15" s="9" t="str">
        <f t="shared" si="0"/>
        <v/>
      </c>
      <c r="H15" s="1" t="str">
        <f t="shared" si="1"/>
        <v/>
      </c>
      <c r="I15" s="1" t="str">
        <f t="shared" si="2"/>
        <v/>
      </c>
      <c r="J15" s="1" t="str">
        <f t="shared" si="3"/>
        <v/>
      </c>
      <c r="K15" s="13" t="str">
        <f t="shared" si="4"/>
        <v/>
      </c>
      <c r="L15" s="9" t="str">
        <f t="shared" si="5"/>
        <v/>
      </c>
      <c r="M15" s="1" t="str">
        <f t="shared" si="6"/>
        <v/>
      </c>
      <c r="N15" s="1" t="str">
        <f t="shared" si="7"/>
        <v/>
      </c>
      <c r="O15" s="1" t="str">
        <f t="shared" si="8"/>
        <v/>
      </c>
      <c r="P15" s="1" t="str">
        <f t="shared" si="9"/>
        <v/>
      </c>
      <c r="Q15" s="1" t="str">
        <f t="shared" si="10"/>
        <v/>
      </c>
      <c r="R15" s="1" t="str">
        <f t="shared" si="11"/>
        <v/>
      </c>
      <c r="S15" s="1" t="str">
        <f t="shared" si="12"/>
        <v/>
      </c>
      <c r="T15" s="1" t="str">
        <f t="shared" si="13"/>
        <v/>
      </c>
      <c r="U15" s="1" t="str">
        <f t="shared" si="14"/>
        <v/>
      </c>
      <c r="V15" s="1" t="str">
        <f t="shared" si="15"/>
        <v/>
      </c>
      <c r="W15" s="26" t="str">
        <f t="shared" si="16"/>
        <v/>
      </c>
      <c r="X15" s="13" t="str">
        <f t="shared" si="17"/>
        <v/>
      </c>
      <c r="Y15" s="9">
        <f t="shared" si="18"/>
        <v>0</v>
      </c>
    </row>
    <row r="16" spans="1:25" x14ac:dyDescent="0.25">
      <c r="A16" s="28"/>
      <c r="B16" s="29"/>
      <c r="C16" s="30"/>
      <c r="D16" s="31"/>
      <c r="E16" s="29" t="s">
        <v>16</v>
      </c>
      <c r="F16" s="13" t="b">
        <f>IF($E16=Categories!$A$1,"",IF($E16=Categories!$A$2,Categories!$B$2,IF($E16=Categories!$A$3,Categories!$B$3,IF($E16=Categories!$A$4,Categories!$B$4,IF($E16=Categories!$A$5,Categories!$B$5,IF($E16=Categories!$A$6,Categories!$B$6,IF($E16=Categories!$A$7,Categories!$B$7,IF($E16=Categories!$A$8,Categories!$B$8,IF($E16=Categories!$A$9,Categories!$B$9,IF($E16=Categories!$A$10,Categories!$B$10,IF($E16=Categories!$A$11,Categories!$B$11,IF($E16=Categories!$A$12,Categories!$B$12,IF($E16=Categories!$A$13,Categories!$B$13,IF($E16=Categories!$A$14,Categories!$B$14,IF($E16=Categories!$A$15,Categories!$B$15,IF($E16=Categories!$A$16,Categories!$B$16,IF($E16=Categories!$A$17,Categories!$B$17,IF($E16=Categories!$A$18,Categories!$B$18,IF($E16=Categories!$A$19,Categories!$B$19)))))))))))))))))))</f>
        <v>0</v>
      </c>
      <c r="G16" s="9" t="str">
        <f t="shared" si="0"/>
        <v/>
      </c>
      <c r="H16" s="1" t="str">
        <f t="shared" si="1"/>
        <v/>
      </c>
      <c r="I16" s="1" t="str">
        <f t="shared" si="2"/>
        <v/>
      </c>
      <c r="J16" s="1" t="str">
        <f t="shared" si="3"/>
        <v/>
      </c>
      <c r="K16" s="13" t="str">
        <f t="shared" si="4"/>
        <v/>
      </c>
      <c r="L16" s="9" t="str">
        <f t="shared" si="5"/>
        <v/>
      </c>
      <c r="M16" s="1" t="str">
        <f t="shared" si="6"/>
        <v/>
      </c>
      <c r="N16" s="1" t="str">
        <f t="shared" si="7"/>
        <v/>
      </c>
      <c r="O16" s="1" t="str">
        <f t="shared" si="8"/>
        <v/>
      </c>
      <c r="P16" s="1" t="str">
        <f t="shared" si="9"/>
        <v/>
      </c>
      <c r="Q16" s="1" t="str">
        <f t="shared" si="10"/>
        <v/>
      </c>
      <c r="R16" s="1" t="str">
        <f t="shared" si="11"/>
        <v/>
      </c>
      <c r="S16" s="1" t="str">
        <f t="shared" si="12"/>
        <v/>
      </c>
      <c r="T16" s="1" t="str">
        <f t="shared" si="13"/>
        <v/>
      </c>
      <c r="U16" s="1" t="str">
        <f t="shared" si="14"/>
        <v/>
      </c>
      <c r="V16" s="1" t="str">
        <f t="shared" si="15"/>
        <v/>
      </c>
      <c r="W16" s="26" t="str">
        <f t="shared" si="16"/>
        <v/>
      </c>
      <c r="X16" s="13" t="str">
        <f t="shared" si="17"/>
        <v/>
      </c>
      <c r="Y16" s="9">
        <f t="shared" si="18"/>
        <v>0</v>
      </c>
    </row>
    <row r="17" spans="1:25" x14ac:dyDescent="0.25">
      <c r="A17" s="28"/>
      <c r="B17" s="29"/>
      <c r="C17" s="30"/>
      <c r="D17" s="31"/>
      <c r="E17" s="29" t="s">
        <v>16</v>
      </c>
      <c r="F17" s="13" t="b">
        <f>IF($E17=Categories!$A$1,"",IF($E17=Categories!$A$2,Categories!$B$2,IF($E17=Categories!$A$3,Categories!$B$3,IF($E17=Categories!$A$4,Categories!$B$4,IF($E17=Categories!$A$5,Categories!$B$5,IF($E17=Categories!$A$6,Categories!$B$6,IF($E17=Categories!$A$7,Categories!$B$7,IF($E17=Categories!$A$8,Categories!$B$8,IF($E17=Categories!$A$9,Categories!$B$9,IF($E17=Categories!$A$10,Categories!$B$10,IF($E17=Categories!$A$11,Categories!$B$11,IF($E17=Categories!$A$12,Categories!$B$12,IF($E17=Categories!$A$13,Categories!$B$13,IF($E17=Categories!$A$14,Categories!$B$14,IF($E17=Categories!$A$15,Categories!$B$15,IF($E17=Categories!$A$16,Categories!$B$16,IF($E17=Categories!$A$17,Categories!$B$17,IF($E17=Categories!$A$18,Categories!$B$18,IF($E17=Categories!$A$19,Categories!$B$19)))))))))))))))))))</f>
        <v>0</v>
      </c>
      <c r="G17" s="9" t="str">
        <f t="shared" si="0"/>
        <v/>
      </c>
      <c r="H17" s="1" t="str">
        <f t="shared" si="1"/>
        <v/>
      </c>
      <c r="I17" s="1" t="str">
        <f t="shared" si="2"/>
        <v/>
      </c>
      <c r="J17" s="1" t="str">
        <f t="shared" si="3"/>
        <v/>
      </c>
      <c r="K17" s="13" t="str">
        <f t="shared" si="4"/>
        <v/>
      </c>
      <c r="L17" s="9" t="str">
        <f t="shared" si="5"/>
        <v/>
      </c>
      <c r="M17" s="1" t="str">
        <f t="shared" si="6"/>
        <v/>
      </c>
      <c r="N17" s="1" t="str">
        <f t="shared" si="7"/>
        <v/>
      </c>
      <c r="O17" s="1" t="str">
        <f t="shared" si="8"/>
        <v/>
      </c>
      <c r="P17" s="1" t="str">
        <f t="shared" si="9"/>
        <v/>
      </c>
      <c r="Q17" s="1" t="str">
        <f t="shared" si="10"/>
        <v/>
      </c>
      <c r="R17" s="1" t="str">
        <f t="shared" si="11"/>
        <v/>
      </c>
      <c r="S17" s="1" t="str">
        <f t="shared" si="12"/>
        <v/>
      </c>
      <c r="T17" s="1" t="str">
        <f t="shared" si="13"/>
        <v/>
      </c>
      <c r="U17" s="1" t="str">
        <f t="shared" si="14"/>
        <v/>
      </c>
      <c r="V17" s="1" t="str">
        <f t="shared" si="15"/>
        <v/>
      </c>
      <c r="W17" s="26" t="str">
        <f t="shared" si="16"/>
        <v/>
      </c>
      <c r="X17" s="13" t="str">
        <f t="shared" si="17"/>
        <v/>
      </c>
      <c r="Y17" s="9">
        <f t="shared" si="18"/>
        <v>0</v>
      </c>
    </row>
    <row r="18" spans="1:25" x14ac:dyDescent="0.25">
      <c r="A18" s="28"/>
      <c r="B18" s="29"/>
      <c r="C18" s="30"/>
      <c r="D18" s="31"/>
      <c r="E18" s="29" t="s">
        <v>16</v>
      </c>
      <c r="F18" s="13" t="b">
        <f>IF($E18=Categories!$A$1,"",IF($E18=Categories!$A$2,Categories!$B$2,IF($E18=Categories!$A$3,Categories!$B$3,IF($E18=Categories!$A$4,Categories!$B$4,IF($E18=Categories!$A$5,Categories!$B$5,IF($E18=Categories!$A$6,Categories!$B$6,IF($E18=Categories!$A$7,Categories!$B$7,IF($E18=Categories!$A$8,Categories!$B$8,IF($E18=Categories!$A$9,Categories!$B$9,IF($E18=Categories!$A$10,Categories!$B$10,IF($E18=Categories!$A$11,Categories!$B$11,IF($E18=Categories!$A$12,Categories!$B$12,IF($E18=Categories!$A$13,Categories!$B$13,IF($E18=Categories!$A$14,Categories!$B$14,IF($E18=Categories!$A$15,Categories!$B$15,IF($E18=Categories!$A$16,Categories!$B$16,IF($E18=Categories!$A$17,Categories!$B$17,IF($E18=Categories!$A$18,Categories!$B$18,IF($E18=Categories!$A$19,Categories!$B$19)))))))))))))))))))</f>
        <v>0</v>
      </c>
      <c r="G18" s="9" t="str">
        <f t="shared" si="0"/>
        <v/>
      </c>
      <c r="H18" s="1" t="str">
        <f t="shared" si="1"/>
        <v/>
      </c>
      <c r="I18" s="1" t="str">
        <f t="shared" si="2"/>
        <v/>
      </c>
      <c r="J18" s="1" t="str">
        <f t="shared" si="3"/>
        <v/>
      </c>
      <c r="K18" s="13" t="str">
        <f t="shared" si="4"/>
        <v/>
      </c>
      <c r="L18" s="9" t="str">
        <f t="shared" si="5"/>
        <v/>
      </c>
      <c r="M18" s="1" t="str">
        <f t="shared" si="6"/>
        <v/>
      </c>
      <c r="N18" s="1" t="str">
        <f t="shared" si="7"/>
        <v/>
      </c>
      <c r="O18" s="1" t="str">
        <f t="shared" si="8"/>
        <v/>
      </c>
      <c r="P18" s="1" t="str">
        <f t="shared" si="9"/>
        <v/>
      </c>
      <c r="Q18" s="1" t="str">
        <f t="shared" si="10"/>
        <v/>
      </c>
      <c r="R18" s="1" t="str">
        <f t="shared" si="11"/>
        <v/>
      </c>
      <c r="S18" s="1" t="str">
        <f t="shared" si="12"/>
        <v/>
      </c>
      <c r="T18" s="1" t="str">
        <f t="shared" si="13"/>
        <v/>
      </c>
      <c r="U18" s="1" t="str">
        <f t="shared" si="14"/>
        <v/>
      </c>
      <c r="V18" s="1" t="str">
        <f t="shared" si="15"/>
        <v/>
      </c>
      <c r="W18" s="26" t="str">
        <f t="shared" si="16"/>
        <v/>
      </c>
      <c r="X18" s="13" t="str">
        <f t="shared" si="17"/>
        <v/>
      </c>
      <c r="Y18" s="9">
        <f t="shared" si="18"/>
        <v>0</v>
      </c>
    </row>
    <row r="19" spans="1:25" x14ac:dyDescent="0.25">
      <c r="A19" s="28"/>
      <c r="B19" s="29"/>
      <c r="C19" s="30"/>
      <c r="D19" s="31"/>
      <c r="E19" s="29" t="s">
        <v>16</v>
      </c>
      <c r="F19" s="13" t="b">
        <f>IF($E19=Categories!$A$1,"",IF($E19=Categories!$A$2,Categories!$B$2,IF($E19=Categories!$A$3,Categories!$B$3,IF($E19=Categories!$A$4,Categories!$B$4,IF($E19=Categories!$A$5,Categories!$B$5,IF($E19=Categories!$A$6,Categories!$B$6,IF($E19=Categories!$A$7,Categories!$B$7,IF($E19=Categories!$A$8,Categories!$B$8,IF($E19=Categories!$A$9,Categories!$B$9,IF($E19=Categories!$A$10,Categories!$B$10,IF($E19=Categories!$A$11,Categories!$B$11,IF($E19=Categories!$A$12,Categories!$B$12,IF($E19=Categories!$A$13,Categories!$B$13,IF($E19=Categories!$A$14,Categories!$B$14,IF($E19=Categories!$A$15,Categories!$B$15,IF($E19=Categories!$A$16,Categories!$B$16,IF($E19=Categories!$A$17,Categories!$B$17,IF($E19=Categories!$A$18,Categories!$B$18,IF($E19=Categories!$A$19,Categories!$B$19)))))))))))))))))))</f>
        <v>0</v>
      </c>
      <c r="G19" s="9" t="str">
        <f t="shared" si="0"/>
        <v/>
      </c>
      <c r="H19" s="1" t="str">
        <f t="shared" si="1"/>
        <v/>
      </c>
      <c r="I19" s="1" t="str">
        <f t="shared" si="2"/>
        <v/>
      </c>
      <c r="J19" s="1" t="str">
        <f t="shared" si="3"/>
        <v/>
      </c>
      <c r="K19" s="13" t="str">
        <f t="shared" si="4"/>
        <v/>
      </c>
      <c r="L19" s="9" t="str">
        <f t="shared" si="5"/>
        <v/>
      </c>
      <c r="M19" s="1" t="str">
        <f t="shared" si="6"/>
        <v/>
      </c>
      <c r="N19" s="1" t="str">
        <f t="shared" si="7"/>
        <v/>
      </c>
      <c r="O19" s="1" t="str">
        <f t="shared" si="8"/>
        <v/>
      </c>
      <c r="P19" s="1" t="str">
        <f t="shared" si="9"/>
        <v/>
      </c>
      <c r="Q19" s="1" t="str">
        <f t="shared" si="10"/>
        <v/>
      </c>
      <c r="R19" s="1" t="str">
        <f t="shared" si="11"/>
        <v/>
      </c>
      <c r="S19" s="1" t="str">
        <f t="shared" si="12"/>
        <v/>
      </c>
      <c r="T19" s="1" t="str">
        <f t="shared" si="13"/>
        <v/>
      </c>
      <c r="U19" s="1" t="str">
        <f t="shared" si="14"/>
        <v/>
      </c>
      <c r="V19" s="1" t="str">
        <f t="shared" si="15"/>
        <v/>
      </c>
      <c r="W19" s="26" t="str">
        <f t="shared" si="16"/>
        <v/>
      </c>
      <c r="X19" s="13" t="str">
        <f t="shared" si="17"/>
        <v/>
      </c>
      <c r="Y19" s="9">
        <f t="shared" si="18"/>
        <v>0</v>
      </c>
    </row>
    <row r="20" spans="1:25" x14ac:dyDescent="0.25">
      <c r="A20" s="28"/>
      <c r="B20" s="29"/>
      <c r="C20" s="30"/>
      <c r="D20" s="31"/>
      <c r="E20" s="29" t="s">
        <v>16</v>
      </c>
      <c r="F20" s="13" t="b">
        <f>IF($E20=Categories!$A$1,"",IF($E20=Categories!$A$2,Categories!$B$2,IF($E20=Categories!$A$3,Categories!$B$3,IF($E20=Categories!$A$4,Categories!$B$4,IF($E20=Categories!$A$5,Categories!$B$5,IF($E20=Categories!$A$6,Categories!$B$6,IF($E20=Categories!$A$7,Categories!$B$7,IF($E20=Categories!$A$8,Categories!$B$8,IF($E20=Categories!$A$9,Categories!$B$9,IF($E20=Categories!$A$10,Categories!$B$10,IF($E20=Categories!$A$11,Categories!$B$11,IF($E20=Categories!$A$12,Categories!$B$12,IF($E20=Categories!$A$13,Categories!$B$13,IF($E20=Categories!$A$14,Categories!$B$14,IF($E20=Categories!$A$15,Categories!$B$15,IF($E20=Categories!$A$16,Categories!$B$16,IF($E20=Categories!$A$17,Categories!$B$17,IF($E20=Categories!$A$18,Categories!$B$18,IF($E20=Categories!$A$19,Categories!$B$19)))))))))))))))))))</f>
        <v>0</v>
      </c>
      <c r="G20" s="9" t="str">
        <f t="shared" si="0"/>
        <v/>
      </c>
      <c r="H20" s="1" t="str">
        <f t="shared" si="1"/>
        <v/>
      </c>
      <c r="I20" s="1" t="str">
        <f t="shared" si="2"/>
        <v/>
      </c>
      <c r="J20" s="1" t="str">
        <f t="shared" si="3"/>
        <v/>
      </c>
      <c r="K20" s="13" t="str">
        <f t="shared" si="4"/>
        <v/>
      </c>
      <c r="L20" s="9" t="str">
        <f t="shared" si="5"/>
        <v/>
      </c>
      <c r="M20" s="1" t="str">
        <f t="shared" si="6"/>
        <v/>
      </c>
      <c r="N20" s="1" t="str">
        <f t="shared" si="7"/>
        <v/>
      </c>
      <c r="O20" s="1" t="str">
        <f t="shared" si="8"/>
        <v/>
      </c>
      <c r="P20" s="1" t="str">
        <f t="shared" si="9"/>
        <v/>
      </c>
      <c r="Q20" s="1" t="str">
        <f t="shared" si="10"/>
        <v/>
      </c>
      <c r="R20" s="1" t="str">
        <f t="shared" si="11"/>
        <v/>
      </c>
      <c r="S20" s="1" t="str">
        <f t="shared" si="12"/>
        <v/>
      </c>
      <c r="T20" s="1" t="str">
        <f t="shared" si="13"/>
        <v/>
      </c>
      <c r="U20" s="1" t="str">
        <f t="shared" si="14"/>
        <v/>
      </c>
      <c r="V20" s="1" t="str">
        <f t="shared" si="15"/>
        <v/>
      </c>
      <c r="W20" s="26" t="str">
        <f t="shared" si="16"/>
        <v/>
      </c>
      <c r="X20" s="13" t="str">
        <f t="shared" si="17"/>
        <v/>
      </c>
      <c r="Y20" s="9">
        <f t="shared" si="18"/>
        <v>0</v>
      </c>
    </row>
    <row r="21" spans="1:25" x14ac:dyDescent="0.25">
      <c r="A21" s="28"/>
      <c r="B21" s="29"/>
      <c r="C21" s="30"/>
      <c r="D21" s="31"/>
      <c r="E21" s="29" t="s">
        <v>16</v>
      </c>
      <c r="F21" s="13" t="b">
        <f>IF($E21=Categories!$A$1,"",IF($E21=Categories!$A$2,Categories!$B$2,IF($E21=Categories!$A$3,Categories!$B$3,IF($E21=Categories!$A$4,Categories!$B$4,IF($E21=Categories!$A$5,Categories!$B$5,IF($E21=Categories!$A$6,Categories!$B$6,IF($E21=Categories!$A$7,Categories!$B$7,IF($E21=Categories!$A$8,Categories!$B$8,IF($E21=Categories!$A$9,Categories!$B$9,IF($E21=Categories!$A$10,Categories!$B$10,IF($E21=Categories!$A$11,Categories!$B$11,IF($E21=Categories!$A$12,Categories!$B$12,IF($E21=Categories!$A$13,Categories!$B$13,IF($E21=Categories!$A$14,Categories!$B$14,IF($E21=Categories!$A$15,Categories!$B$15,IF($E21=Categories!$A$16,Categories!$B$16,IF($E21=Categories!$A$17,Categories!$B$17,IF($E21=Categories!$A$18,Categories!$B$18,IF($E21=Categories!$A$19,Categories!$B$19)))))))))))))))))))</f>
        <v>0</v>
      </c>
      <c r="G21" s="9" t="str">
        <f t="shared" si="0"/>
        <v/>
      </c>
      <c r="H21" s="1" t="str">
        <f t="shared" si="1"/>
        <v/>
      </c>
      <c r="I21" s="1" t="str">
        <f t="shared" si="2"/>
        <v/>
      </c>
      <c r="J21" s="1" t="str">
        <f t="shared" si="3"/>
        <v/>
      </c>
      <c r="K21" s="13" t="str">
        <f t="shared" si="4"/>
        <v/>
      </c>
      <c r="L21" s="9" t="str">
        <f t="shared" si="5"/>
        <v/>
      </c>
      <c r="M21" s="1" t="str">
        <f t="shared" si="6"/>
        <v/>
      </c>
      <c r="N21" s="1" t="str">
        <f t="shared" si="7"/>
        <v/>
      </c>
      <c r="O21" s="1" t="str">
        <f t="shared" si="8"/>
        <v/>
      </c>
      <c r="P21" s="1" t="str">
        <f t="shared" si="9"/>
        <v/>
      </c>
      <c r="Q21" s="1" t="str">
        <f t="shared" si="10"/>
        <v/>
      </c>
      <c r="R21" s="1" t="str">
        <f t="shared" si="11"/>
        <v/>
      </c>
      <c r="S21" s="1" t="str">
        <f t="shared" si="12"/>
        <v/>
      </c>
      <c r="T21" s="1" t="str">
        <f t="shared" si="13"/>
        <v/>
      </c>
      <c r="U21" s="1" t="str">
        <f t="shared" si="14"/>
        <v/>
      </c>
      <c r="V21" s="1" t="str">
        <f t="shared" si="15"/>
        <v/>
      </c>
      <c r="W21" s="26" t="str">
        <f t="shared" si="16"/>
        <v/>
      </c>
      <c r="X21" s="13" t="str">
        <f t="shared" si="17"/>
        <v/>
      </c>
      <c r="Y21" s="9">
        <f t="shared" si="18"/>
        <v>0</v>
      </c>
    </row>
    <row r="22" spans="1:25" x14ac:dyDescent="0.25">
      <c r="A22" s="28"/>
      <c r="B22" s="29"/>
      <c r="C22" s="30"/>
      <c r="D22" s="31"/>
      <c r="E22" s="29" t="s">
        <v>16</v>
      </c>
      <c r="F22" s="13" t="b">
        <f>IF($E22=Categories!$A$1,"",IF($E22=Categories!$A$2,Categories!$B$2,IF($E22=Categories!$A$3,Categories!$B$3,IF($E22=Categories!$A$4,Categories!$B$4,IF($E22=Categories!$A$5,Categories!$B$5,IF($E22=Categories!$A$6,Categories!$B$6,IF($E22=Categories!$A$7,Categories!$B$7,IF($E22=Categories!$A$8,Categories!$B$8,IF($E22=Categories!$A$9,Categories!$B$9,IF($E22=Categories!$A$10,Categories!$B$10,IF($E22=Categories!$A$11,Categories!$B$11,IF($E22=Categories!$A$12,Categories!$B$12,IF($E22=Categories!$A$13,Categories!$B$13,IF($E22=Categories!$A$14,Categories!$B$14,IF($E22=Categories!$A$15,Categories!$B$15,IF($E22=Categories!$A$16,Categories!$B$16,IF($E22=Categories!$A$17,Categories!$B$17,IF($E22=Categories!$A$18,Categories!$B$18,IF($E22=Categories!$A$19,Categories!$B$19)))))))))))))))))))</f>
        <v>0</v>
      </c>
      <c r="G22" s="9" t="str">
        <f t="shared" si="0"/>
        <v/>
      </c>
      <c r="H22" s="1" t="str">
        <f t="shared" si="1"/>
        <v/>
      </c>
      <c r="I22" s="1" t="str">
        <f t="shared" si="2"/>
        <v/>
      </c>
      <c r="J22" s="1" t="str">
        <f t="shared" si="3"/>
        <v/>
      </c>
      <c r="K22" s="13" t="str">
        <f t="shared" si="4"/>
        <v/>
      </c>
      <c r="L22" s="9" t="str">
        <f t="shared" si="5"/>
        <v/>
      </c>
      <c r="M22" s="1" t="str">
        <f t="shared" si="6"/>
        <v/>
      </c>
      <c r="N22" s="1" t="str">
        <f t="shared" si="7"/>
        <v/>
      </c>
      <c r="O22" s="1" t="str">
        <f t="shared" si="8"/>
        <v/>
      </c>
      <c r="P22" s="1" t="str">
        <f t="shared" si="9"/>
        <v/>
      </c>
      <c r="Q22" s="1" t="str">
        <f t="shared" si="10"/>
        <v/>
      </c>
      <c r="R22" s="1" t="str">
        <f t="shared" si="11"/>
        <v/>
      </c>
      <c r="S22" s="1" t="str">
        <f t="shared" si="12"/>
        <v/>
      </c>
      <c r="T22" s="1" t="str">
        <f t="shared" si="13"/>
        <v/>
      </c>
      <c r="U22" s="1" t="str">
        <f t="shared" si="14"/>
        <v/>
      </c>
      <c r="V22" s="1" t="str">
        <f t="shared" si="15"/>
        <v/>
      </c>
      <c r="W22" s="26" t="str">
        <f t="shared" si="16"/>
        <v/>
      </c>
      <c r="X22" s="13" t="str">
        <f t="shared" si="17"/>
        <v/>
      </c>
      <c r="Y22" s="9">
        <f t="shared" si="18"/>
        <v>0</v>
      </c>
    </row>
    <row r="23" spans="1:25" x14ac:dyDescent="0.25">
      <c r="A23" s="28"/>
      <c r="B23" s="29"/>
      <c r="C23" s="30"/>
      <c r="D23" s="31"/>
      <c r="E23" s="29" t="s">
        <v>16</v>
      </c>
      <c r="F23" s="13" t="b">
        <f>IF($E23=Categories!$A$1,"",IF($E23=Categories!$A$2,Categories!$B$2,IF($E23=Categories!$A$3,Categories!$B$3,IF($E23=Categories!$A$4,Categories!$B$4,IF($E23=Categories!$A$5,Categories!$B$5,IF($E23=Categories!$A$6,Categories!$B$6,IF($E23=Categories!$A$7,Categories!$B$7,IF($E23=Categories!$A$8,Categories!$B$8,IF($E23=Categories!$A$9,Categories!$B$9,IF($E23=Categories!$A$10,Categories!$B$10,IF($E23=Categories!$A$11,Categories!$B$11,IF($E23=Categories!$A$12,Categories!$B$12,IF($E23=Categories!$A$13,Categories!$B$13,IF($E23=Categories!$A$14,Categories!$B$14,IF($E23=Categories!$A$15,Categories!$B$15,IF($E23=Categories!$A$16,Categories!$B$16,IF($E23=Categories!$A$17,Categories!$B$17,IF($E23=Categories!$A$18,Categories!$B$18,IF($E23=Categories!$A$19,Categories!$B$19)))))))))))))))))))</f>
        <v>0</v>
      </c>
      <c r="G23" s="9" t="str">
        <f t="shared" si="0"/>
        <v/>
      </c>
      <c r="H23" s="1" t="str">
        <f t="shared" si="1"/>
        <v/>
      </c>
      <c r="I23" s="1" t="str">
        <f t="shared" si="2"/>
        <v/>
      </c>
      <c r="J23" s="1" t="str">
        <f t="shared" si="3"/>
        <v/>
      </c>
      <c r="K23" s="13" t="str">
        <f t="shared" si="4"/>
        <v/>
      </c>
      <c r="L23" s="9" t="str">
        <f t="shared" si="5"/>
        <v/>
      </c>
      <c r="M23" s="1" t="str">
        <f t="shared" si="6"/>
        <v/>
      </c>
      <c r="N23" s="1" t="str">
        <f t="shared" si="7"/>
        <v/>
      </c>
      <c r="O23" s="1" t="str">
        <f t="shared" si="8"/>
        <v/>
      </c>
      <c r="P23" s="1" t="str">
        <f t="shared" si="9"/>
        <v/>
      </c>
      <c r="Q23" s="1" t="str">
        <f t="shared" si="10"/>
        <v/>
      </c>
      <c r="R23" s="1" t="str">
        <f t="shared" si="11"/>
        <v/>
      </c>
      <c r="S23" s="1" t="str">
        <f t="shared" si="12"/>
        <v/>
      </c>
      <c r="T23" s="1" t="str">
        <f t="shared" si="13"/>
        <v/>
      </c>
      <c r="U23" s="1" t="str">
        <f t="shared" si="14"/>
        <v/>
      </c>
      <c r="V23" s="1" t="str">
        <f t="shared" si="15"/>
        <v/>
      </c>
      <c r="W23" s="26" t="str">
        <f t="shared" si="16"/>
        <v/>
      </c>
      <c r="X23" s="13" t="str">
        <f t="shared" si="17"/>
        <v/>
      </c>
      <c r="Y23" s="9">
        <f t="shared" si="18"/>
        <v>0</v>
      </c>
    </row>
    <row r="24" spans="1:25" x14ac:dyDescent="0.25">
      <c r="A24" s="28"/>
      <c r="B24" s="29"/>
      <c r="C24" s="30"/>
      <c r="D24" s="31"/>
      <c r="E24" s="29" t="s">
        <v>16</v>
      </c>
      <c r="F24" s="13" t="b">
        <f>IF($E24=Categories!$A$1,"",IF($E24=Categories!$A$2,Categories!$B$2,IF($E24=Categories!$A$3,Categories!$B$3,IF($E24=Categories!$A$4,Categories!$B$4,IF($E24=Categories!$A$5,Categories!$B$5,IF($E24=Categories!$A$6,Categories!$B$6,IF($E24=Categories!$A$7,Categories!$B$7,IF($E24=Categories!$A$8,Categories!$B$8,IF($E24=Categories!$A$9,Categories!$B$9,IF($E24=Categories!$A$10,Categories!$B$10,IF($E24=Categories!$A$11,Categories!$B$11,IF($E24=Categories!$A$12,Categories!$B$12,IF($E24=Categories!$A$13,Categories!$B$13,IF($E24=Categories!$A$14,Categories!$B$14,IF($E24=Categories!$A$15,Categories!$B$15,IF($E24=Categories!$A$16,Categories!$B$16,IF($E24=Categories!$A$17,Categories!$B$17,IF($E24=Categories!$A$18,Categories!$B$18,IF($E24=Categories!$A$19,Categories!$B$19)))))))))))))))))))</f>
        <v>0</v>
      </c>
      <c r="G24" s="9" t="str">
        <f t="shared" si="0"/>
        <v/>
      </c>
      <c r="H24" s="1" t="str">
        <f t="shared" si="1"/>
        <v/>
      </c>
      <c r="I24" s="1" t="str">
        <f t="shared" si="2"/>
        <v/>
      </c>
      <c r="J24" s="1" t="str">
        <f t="shared" si="3"/>
        <v/>
      </c>
      <c r="K24" s="13" t="str">
        <f t="shared" si="4"/>
        <v/>
      </c>
      <c r="L24" s="9" t="str">
        <f t="shared" si="5"/>
        <v/>
      </c>
      <c r="M24" s="1" t="str">
        <f t="shared" si="6"/>
        <v/>
      </c>
      <c r="N24" s="1" t="str">
        <f t="shared" si="7"/>
        <v/>
      </c>
      <c r="O24" s="1" t="str">
        <f t="shared" si="8"/>
        <v/>
      </c>
      <c r="P24" s="1" t="str">
        <f t="shared" si="9"/>
        <v/>
      </c>
      <c r="Q24" s="1" t="str">
        <f t="shared" si="10"/>
        <v/>
      </c>
      <c r="R24" s="1" t="str">
        <f t="shared" si="11"/>
        <v/>
      </c>
      <c r="S24" s="1" t="str">
        <f t="shared" si="12"/>
        <v/>
      </c>
      <c r="T24" s="1" t="str">
        <f t="shared" si="13"/>
        <v/>
      </c>
      <c r="U24" s="1" t="str">
        <f t="shared" si="14"/>
        <v/>
      </c>
      <c r="V24" s="1" t="str">
        <f t="shared" si="15"/>
        <v/>
      </c>
      <c r="W24" s="26" t="str">
        <f t="shared" si="16"/>
        <v/>
      </c>
      <c r="X24" s="13" t="str">
        <f t="shared" si="17"/>
        <v/>
      </c>
      <c r="Y24" s="9">
        <f t="shared" si="18"/>
        <v>0</v>
      </c>
    </row>
    <row r="25" spans="1:25" x14ac:dyDescent="0.25">
      <c r="A25" s="28"/>
      <c r="B25" s="29"/>
      <c r="C25" s="30"/>
      <c r="D25" s="31"/>
      <c r="E25" s="29" t="s">
        <v>16</v>
      </c>
      <c r="F25" s="13" t="b">
        <f>IF($E25=Categories!$A$1,"",IF($E25=Categories!$A$2,Categories!$B$2,IF($E25=Categories!$A$3,Categories!$B$3,IF($E25=Categories!$A$4,Categories!$B$4,IF($E25=Categories!$A$5,Categories!$B$5,IF($E25=Categories!$A$6,Categories!$B$6,IF($E25=Categories!$A$7,Categories!$B$7,IF($E25=Categories!$A$8,Categories!$B$8,IF($E25=Categories!$A$9,Categories!$B$9,IF($E25=Categories!$A$10,Categories!$B$10,IF($E25=Categories!$A$11,Categories!$B$11,IF($E25=Categories!$A$12,Categories!$B$12,IF($E25=Categories!$A$13,Categories!$B$13,IF($E25=Categories!$A$14,Categories!$B$14,IF($E25=Categories!$A$15,Categories!$B$15,IF($E25=Categories!$A$16,Categories!$B$16,IF($E25=Categories!$A$17,Categories!$B$17,IF($E25=Categories!$A$18,Categories!$B$18,IF($E25=Categories!$A$19,Categories!$B$19)))))))))))))))))))</f>
        <v>0</v>
      </c>
      <c r="G25" s="9" t="str">
        <f t="shared" si="0"/>
        <v/>
      </c>
      <c r="H25" s="1" t="str">
        <f t="shared" si="1"/>
        <v/>
      </c>
      <c r="I25" s="1" t="str">
        <f t="shared" si="2"/>
        <v/>
      </c>
      <c r="J25" s="1" t="str">
        <f t="shared" si="3"/>
        <v/>
      </c>
      <c r="K25" s="13" t="str">
        <f t="shared" si="4"/>
        <v/>
      </c>
      <c r="L25" s="9" t="str">
        <f t="shared" si="5"/>
        <v/>
      </c>
      <c r="M25" s="1" t="str">
        <f t="shared" si="6"/>
        <v/>
      </c>
      <c r="N25" s="1" t="str">
        <f t="shared" si="7"/>
        <v/>
      </c>
      <c r="O25" s="1" t="str">
        <f t="shared" si="8"/>
        <v/>
      </c>
      <c r="P25" s="1" t="str">
        <f t="shared" si="9"/>
        <v/>
      </c>
      <c r="Q25" s="1" t="str">
        <f t="shared" si="10"/>
        <v/>
      </c>
      <c r="R25" s="1" t="str">
        <f t="shared" si="11"/>
        <v/>
      </c>
      <c r="S25" s="1" t="str">
        <f t="shared" si="12"/>
        <v/>
      </c>
      <c r="T25" s="1" t="str">
        <f t="shared" si="13"/>
        <v/>
      </c>
      <c r="U25" s="1" t="str">
        <f t="shared" si="14"/>
        <v/>
      </c>
      <c r="V25" s="1" t="str">
        <f t="shared" si="15"/>
        <v/>
      </c>
      <c r="W25" s="26" t="str">
        <f t="shared" si="16"/>
        <v/>
      </c>
      <c r="X25" s="13" t="str">
        <f t="shared" si="17"/>
        <v/>
      </c>
      <c r="Y25" s="9">
        <f t="shared" si="18"/>
        <v>0</v>
      </c>
    </row>
    <row r="26" spans="1:25" x14ac:dyDescent="0.25">
      <c r="A26" s="28"/>
      <c r="B26" s="29"/>
      <c r="C26" s="30"/>
      <c r="D26" s="31"/>
      <c r="E26" s="29" t="s">
        <v>16</v>
      </c>
      <c r="F26" s="13" t="b">
        <f>IF($E26=Categories!$A$1,"",IF($E26=Categories!$A$2,Categories!$B$2,IF($E26=Categories!$A$3,Categories!$B$3,IF($E26=Categories!$A$4,Categories!$B$4,IF($E26=Categories!$A$5,Categories!$B$5,IF($E26=Categories!$A$6,Categories!$B$6,IF($E26=Categories!$A$7,Categories!$B$7,IF($E26=Categories!$A$8,Categories!$B$8,IF($E26=Categories!$A$9,Categories!$B$9,IF($E26=Categories!$A$10,Categories!$B$10,IF($E26=Categories!$A$11,Categories!$B$11,IF($E26=Categories!$A$12,Categories!$B$12,IF($E26=Categories!$A$13,Categories!$B$13,IF($E26=Categories!$A$14,Categories!$B$14,IF($E26=Categories!$A$15,Categories!$B$15,IF($E26=Categories!$A$16,Categories!$B$16,IF($E26=Categories!$A$17,Categories!$B$17,IF($E26=Categories!$A$18,Categories!$B$18,IF($E26=Categories!$A$19,Categories!$B$19)))))))))))))))))))</f>
        <v>0</v>
      </c>
      <c r="G26" s="9" t="str">
        <f t="shared" si="0"/>
        <v/>
      </c>
      <c r="H26" s="1" t="str">
        <f t="shared" si="1"/>
        <v/>
      </c>
      <c r="I26" s="1" t="str">
        <f t="shared" si="2"/>
        <v/>
      </c>
      <c r="J26" s="1" t="str">
        <f t="shared" si="3"/>
        <v/>
      </c>
      <c r="K26" s="13" t="str">
        <f t="shared" si="4"/>
        <v/>
      </c>
      <c r="L26" s="9" t="str">
        <f t="shared" si="5"/>
        <v/>
      </c>
      <c r="M26" s="1" t="str">
        <f t="shared" si="6"/>
        <v/>
      </c>
      <c r="N26" s="1" t="str">
        <f t="shared" si="7"/>
        <v/>
      </c>
      <c r="O26" s="1" t="str">
        <f t="shared" si="8"/>
        <v/>
      </c>
      <c r="P26" s="1" t="str">
        <f t="shared" si="9"/>
        <v/>
      </c>
      <c r="Q26" s="1" t="str">
        <f t="shared" si="10"/>
        <v/>
      </c>
      <c r="R26" s="1" t="str">
        <f t="shared" si="11"/>
        <v/>
      </c>
      <c r="S26" s="1" t="str">
        <f t="shared" si="12"/>
        <v/>
      </c>
      <c r="T26" s="1" t="str">
        <f t="shared" si="13"/>
        <v/>
      </c>
      <c r="U26" s="1" t="str">
        <f t="shared" si="14"/>
        <v/>
      </c>
      <c r="V26" s="1" t="str">
        <f t="shared" si="15"/>
        <v/>
      </c>
      <c r="W26" s="26" t="str">
        <f t="shared" si="16"/>
        <v/>
      </c>
      <c r="X26" s="13" t="str">
        <f t="shared" si="17"/>
        <v/>
      </c>
      <c r="Y26" s="9">
        <f t="shared" si="18"/>
        <v>0</v>
      </c>
    </row>
    <row r="27" spans="1:25" x14ac:dyDescent="0.25">
      <c r="A27" s="28"/>
      <c r="B27" s="29"/>
      <c r="C27" s="30"/>
      <c r="D27" s="31"/>
      <c r="E27" s="29" t="s">
        <v>16</v>
      </c>
      <c r="F27" s="13" t="b">
        <f>IF($E27=Categories!$A$1,"",IF($E27=Categories!$A$2,Categories!$B$2,IF($E27=Categories!$A$3,Categories!$B$3,IF($E27=Categories!$A$4,Categories!$B$4,IF($E27=Categories!$A$5,Categories!$B$5,IF($E27=Categories!$A$6,Categories!$B$6,IF($E27=Categories!$A$7,Categories!$B$7,IF($E27=Categories!$A$8,Categories!$B$8,IF($E27=Categories!$A$9,Categories!$B$9,IF($E27=Categories!$A$10,Categories!$B$10,IF($E27=Categories!$A$11,Categories!$B$11,IF($E27=Categories!$A$12,Categories!$B$12,IF($E27=Categories!$A$13,Categories!$B$13,IF($E27=Categories!$A$14,Categories!$B$14,IF($E27=Categories!$A$15,Categories!$B$15,IF($E27=Categories!$A$16,Categories!$B$16,IF($E27=Categories!$A$17,Categories!$B$17,IF($E27=Categories!$A$18,Categories!$B$18,IF($E27=Categories!$A$19,Categories!$B$19)))))))))))))))))))</f>
        <v>0</v>
      </c>
      <c r="G27" s="9" t="str">
        <f t="shared" si="0"/>
        <v/>
      </c>
      <c r="H27" s="1" t="str">
        <f t="shared" si="1"/>
        <v/>
      </c>
      <c r="I27" s="1" t="str">
        <f t="shared" si="2"/>
        <v/>
      </c>
      <c r="J27" s="1" t="str">
        <f t="shared" si="3"/>
        <v/>
      </c>
      <c r="K27" s="13" t="str">
        <f t="shared" si="4"/>
        <v/>
      </c>
      <c r="L27" s="9" t="str">
        <f t="shared" si="5"/>
        <v/>
      </c>
      <c r="M27" s="1" t="str">
        <f t="shared" si="6"/>
        <v/>
      </c>
      <c r="N27" s="1" t="str">
        <f t="shared" si="7"/>
        <v/>
      </c>
      <c r="O27" s="1" t="str">
        <f t="shared" si="8"/>
        <v/>
      </c>
      <c r="P27" s="1" t="str">
        <f t="shared" si="9"/>
        <v/>
      </c>
      <c r="Q27" s="1" t="str">
        <f t="shared" si="10"/>
        <v/>
      </c>
      <c r="R27" s="1" t="str">
        <f t="shared" si="11"/>
        <v/>
      </c>
      <c r="S27" s="1" t="str">
        <f t="shared" si="12"/>
        <v/>
      </c>
      <c r="T27" s="1" t="str">
        <f t="shared" si="13"/>
        <v/>
      </c>
      <c r="U27" s="1" t="str">
        <f t="shared" si="14"/>
        <v/>
      </c>
      <c r="V27" s="1" t="str">
        <f t="shared" si="15"/>
        <v/>
      </c>
      <c r="W27" s="26" t="str">
        <f t="shared" si="16"/>
        <v/>
      </c>
      <c r="X27" s="13" t="str">
        <f t="shared" si="17"/>
        <v/>
      </c>
      <c r="Y27" s="9">
        <f t="shared" si="18"/>
        <v>0</v>
      </c>
    </row>
    <row r="28" spans="1:25" x14ac:dyDescent="0.25">
      <c r="A28" s="28"/>
      <c r="B28" s="29"/>
      <c r="C28" s="30"/>
      <c r="D28" s="31"/>
      <c r="E28" s="29" t="s">
        <v>16</v>
      </c>
      <c r="F28" s="13" t="b">
        <f>IF($E28=Categories!$A$1,"",IF($E28=Categories!$A$2,Categories!$B$2,IF($E28=Categories!$A$3,Categories!$B$3,IF($E28=Categories!$A$4,Categories!$B$4,IF($E28=Categories!$A$5,Categories!$B$5,IF($E28=Categories!$A$6,Categories!$B$6,IF($E28=Categories!$A$7,Categories!$B$7,IF($E28=Categories!$A$8,Categories!$B$8,IF($E28=Categories!$A$9,Categories!$B$9,IF($E28=Categories!$A$10,Categories!$B$10,IF($E28=Categories!$A$11,Categories!$B$11,IF($E28=Categories!$A$12,Categories!$B$12,IF($E28=Categories!$A$13,Categories!$B$13,IF($E28=Categories!$A$14,Categories!$B$14,IF($E28=Categories!$A$15,Categories!$B$15,IF($E28=Categories!$A$16,Categories!$B$16,IF($E28=Categories!$A$17,Categories!$B$17,IF($E28=Categories!$A$18,Categories!$B$18,IF($E28=Categories!$A$19,Categories!$B$19)))))))))))))))))))</f>
        <v>0</v>
      </c>
      <c r="G28" s="9" t="str">
        <f t="shared" si="0"/>
        <v/>
      </c>
      <c r="H28" s="1" t="str">
        <f t="shared" si="1"/>
        <v/>
      </c>
      <c r="I28" s="1" t="str">
        <f t="shared" si="2"/>
        <v/>
      </c>
      <c r="J28" s="1" t="str">
        <f t="shared" si="3"/>
        <v/>
      </c>
      <c r="K28" s="13" t="str">
        <f t="shared" si="4"/>
        <v/>
      </c>
      <c r="L28" s="9" t="str">
        <f t="shared" si="5"/>
        <v/>
      </c>
      <c r="M28" s="1" t="str">
        <f t="shared" si="6"/>
        <v/>
      </c>
      <c r="N28" s="1" t="str">
        <f t="shared" si="7"/>
        <v/>
      </c>
      <c r="O28" s="1" t="str">
        <f t="shared" si="8"/>
        <v/>
      </c>
      <c r="P28" s="1" t="str">
        <f t="shared" si="9"/>
        <v/>
      </c>
      <c r="Q28" s="1" t="str">
        <f t="shared" si="10"/>
        <v/>
      </c>
      <c r="R28" s="1" t="str">
        <f t="shared" si="11"/>
        <v/>
      </c>
      <c r="S28" s="1" t="str">
        <f t="shared" si="12"/>
        <v/>
      </c>
      <c r="T28" s="1" t="str">
        <f t="shared" si="13"/>
        <v/>
      </c>
      <c r="U28" s="1" t="str">
        <f t="shared" si="14"/>
        <v/>
      </c>
      <c r="V28" s="1" t="str">
        <f t="shared" si="15"/>
        <v/>
      </c>
      <c r="W28" s="26" t="str">
        <f t="shared" si="16"/>
        <v/>
      </c>
      <c r="X28" s="13" t="str">
        <f t="shared" si="17"/>
        <v/>
      </c>
      <c r="Y28" s="9">
        <f t="shared" si="18"/>
        <v>0</v>
      </c>
    </row>
    <row r="29" spans="1:25" x14ac:dyDescent="0.25">
      <c r="A29" s="28"/>
      <c r="B29" s="29"/>
      <c r="C29" s="30"/>
      <c r="D29" s="31"/>
      <c r="E29" s="29" t="s">
        <v>16</v>
      </c>
      <c r="F29" s="13" t="b">
        <f>IF($E29=Categories!$A$1,"",IF($E29=Categories!$A$2,Categories!$B$2,IF($E29=Categories!$A$3,Categories!$B$3,IF($E29=Categories!$A$4,Categories!$B$4,IF($E29=Categories!$A$5,Categories!$B$5,IF($E29=Categories!$A$6,Categories!$B$6,IF($E29=Categories!$A$7,Categories!$B$7,IF($E29=Categories!$A$8,Categories!$B$8,IF($E29=Categories!$A$9,Categories!$B$9,IF($E29=Categories!$A$10,Categories!$B$10,IF($E29=Categories!$A$11,Categories!$B$11,IF($E29=Categories!$A$12,Categories!$B$12,IF($E29=Categories!$A$13,Categories!$B$13,IF($E29=Categories!$A$14,Categories!$B$14,IF($E29=Categories!$A$15,Categories!$B$15,IF($E29=Categories!$A$16,Categories!$B$16,IF($E29=Categories!$A$17,Categories!$B$17,IF($E29=Categories!$A$18,Categories!$B$18,IF($E29=Categories!$A$19,Categories!$B$19)))))))))))))))))))</f>
        <v>0</v>
      </c>
      <c r="G29" s="9" t="str">
        <f t="shared" si="0"/>
        <v/>
      </c>
      <c r="H29" s="1" t="str">
        <f t="shared" si="1"/>
        <v/>
      </c>
      <c r="I29" s="1" t="str">
        <f t="shared" si="2"/>
        <v/>
      </c>
      <c r="J29" s="1" t="str">
        <f t="shared" si="3"/>
        <v/>
      </c>
      <c r="K29" s="13" t="str">
        <f t="shared" si="4"/>
        <v/>
      </c>
      <c r="L29" s="9" t="str">
        <f t="shared" si="5"/>
        <v/>
      </c>
      <c r="M29" s="1" t="str">
        <f t="shared" si="6"/>
        <v/>
      </c>
      <c r="N29" s="1" t="str">
        <f t="shared" si="7"/>
        <v/>
      </c>
      <c r="O29" s="1" t="str">
        <f t="shared" si="8"/>
        <v/>
      </c>
      <c r="P29" s="1" t="str">
        <f t="shared" si="9"/>
        <v/>
      </c>
      <c r="Q29" s="1" t="str">
        <f t="shared" si="10"/>
        <v/>
      </c>
      <c r="R29" s="1" t="str">
        <f t="shared" si="11"/>
        <v/>
      </c>
      <c r="S29" s="1" t="str">
        <f t="shared" si="12"/>
        <v/>
      </c>
      <c r="T29" s="1" t="str">
        <f t="shared" si="13"/>
        <v/>
      </c>
      <c r="U29" s="1" t="str">
        <f t="shared" si="14"/>
        <v/>
      </c>
      <c r="V29" s="1" t="str">
        <f t="shared" si="15"/>
        <v/>
      </c>
      <c r="W29" s="26" t="str">
        <f t="shared" si="16"/>
        <v/>
      </c>
      <c r="X29" s="13" t="str">
        <f t="shared" si="17"/>
        <v/>
      </c>
      <c r="Y29" s="9">
        <f t="shared" si="18"/>
        <v>0</v>
      </c>
    </row>
    <row r="30" spans="1:25" x14ac:dyDescent="0.25">
      <c r="A30" s="28"/>
      <c r="B30" s="29"/>
      <c r="C30" s="30"/>
      <c r="D30" s="31"/>
      <c r="E30" s="29" t="s">
        <v>16</v>
      </c>
      <c r="F30" s="13" t="b">
        <f>IF($E30=Categories!$A$1,"",IF($E30=Categories!$A$2,Categories!$B$2,IF($E30=Categories!$A$3,Categories!$B$3,IF($E30=Categories!$A$4,Categories!$B$4,IF($E30=Categories!$A$5,Categories!$B$5,IF($E30=Categories!$A$6,Categories!$B$6,IF($E30=Categories!$A$7,Categories!$B$7,IF($E30=Categories!$A$8,Categories!$B$8,IF($E30=Categories!$A$9,Categories!$B$9,IF($E30=Categories!$A$10,Categories!$B$10,IF($E30=Categories!$A$11,Categories!$B$11,IF($E30=Categories!$A$12,Categories!$B$12,IF($E30=Categories!$A$13,Categories!$B$13,IF($E30=Categories!$A$14,Categories!$B$14,IF($E30=Categories!$A$15,Categories!$B$15,IF($E30=Categories!$A$16,Categories!$B$16,IF($E30=Categories!$A$17,Categories!$B$17,IF($E30=Categories!$A$18,Categories!$B$18,IF($E30=Categories!$A$19,Categories!$B$19)))))))))))))))))))</f>
        <v>0</v>
      </c>
      <c r="G30" s="9" t="str">
        <f t="shared" si="0"/>
        <v/>
      </c>
      <c r="H30" s="1" t="str">
        <f t="shared" si="1"/>
        <v/>
      </c>
      <c r="I30" s="1" t="str">
        <f t="shared" si="2"/>
        <v/>
      </c>
      <c r="J30" s="1" t="str">
        <f t="shared" si="3"/>
        <v/>
      </c>
      <c r="K30" s="13" t="str">
        <f t="shared" si="4"/>
        <v/>
      </c>
      <c r="L30" s="9" t="str">
        <f t="shared" si="5"/>
        <v/>
      </c>
      <c r="M30" s="1" t="str">
        <f t="shared" si="6"/>
        <v/>
      </c>
      <c r="N30" s="1" t="str">
        <f t="shared" si="7"/>
        <v/>
      </c>
      <c r="O30" s="1" t="str">
        <f t="shared" si="8"/>
        <v/>
      </c>
      <c r="P30" s="1" t="str">
        <f t="shared" si="9"/>
        <v/>
      </c>
      <c r="Q30" s="1" t="str">
        <f t="shared" si="10"/>
        <v/>
      </c>
      <c r="R30" s="1" t="str">
        <f t="shared" si="11"/>
        <v/>
      </c>
      <c r="S30" s="1" t="str">
        <f t="shared" si="12"/>
        <v/>
      </c>
      <c r="T30" s="1" t="str">
        <f t="shared" si="13"/>
        <v/>
      </c>
      <c r="U30" s="1" t="str">
        <f t="shared" si="14"/>
        <v/>
      </c>
      <c r="V30" s="1" t="str">
        <f t="shared" si="15"/>
        <v/>
      </c>
      <c r="W30" s="26" t="str">
        <f t="shared" si="16"/>
        <v/>
      </c>
      <c r="X30" s="13" t="str">
        <f t="shared" si="17"/>
        <v/>
      </c>
      <c r="Y30" s="9">
        <f t="shared" si="18"/>
        <v>0</v>
      </c>
    </row>
    <row r="31" spans="1:25" x14ac:dyDescent="0.25">
      <c r="A31" s="28"/>
      <c r="B31" s="29"/>
      <c r="C31" s="30"/>
      <c r="D31" s="31"/>
      <c r="E31" s="29" t="s">
        <v>16</v>
      </c>
      <c r="F31" s="13" t="b">
        <f>IF($E31=Categories!$A$1,"",IF($E31=Categories!$A$2,Categories!$B$2,IF($E31=Categories!$A$3,Categories!$B$3,IF($E31=Categories!$A$4,Categories!$B$4,IF($E31=Categories!$A$5,Categories!$B$5,IF($E31=Categories!$A$6,Categories!$B$6,IF($E31=Categories!$A$7,Categories!$B$7,IF($E31=Categories!$A$8,Categories!$B$8,IF($E31=Categories!$A$9,Categories!$B$9,IF($E31=Categories!$A$10,Categories!$B$10,IF($E31=Categories!$A$11,Categories!$B$11,IF($E31=Categories!$A$12,Categories!$B$12,IF($E31=Categories!$A$13,Categories!$B$13,IF($E31=Categories!$A$14,Categories!$B$14,IF($E31=Categories!$A$15,Categories!$B$15,IF($E31=Categories!$A$16,Categories!$B$16,IF($E31=Categories!$A$17,Categories!$B$17,IF($E31=Categories!$A$18,Categories!$B$18,IF($E31=Categories!$A$19,Categories!$B$19)))))))))))))))))))</f>
        <v>0</v>
      </c>
      <c r="G31" s="9" t="str">
        <f t="shared" si="0"/>
        <v/>
      </c>
      <c r="H31" s="1" t="str">
        <f t="shared" si="1"/>
        <v/>
      </c>
      <c r="I31" s="1" t="str">
        <f t="shared" si="2"/>
        <v/>
      </c>
      <c r="J31" s="1" t="str">
        <f t="shared" si="3"/>
        <v/>
      </c>
      <c r="K31" s="13" t="str">
        <f t="shared" si="4"/>
        <v/>
      </c>
      <c r="L31" s="9" t="str">
        <f t="shared" si="5"/>
        <v/>
      </c>
      <c r="M31" s="1" t="str">
        <f t="shared" si="6"/>
        <v/>
      </c>
      <c r="N31" s="1" t="str">
        <f t="shared" si="7"/>
        <v/>
      </c>
      <c r="O31" s="1" t="str">
        <f t="shared" si="8"/>
        <v/>
      </c>
      <c r="P31" s="1" t="str">
        <f t="shared" si="9"/>
        <v/>
      </c>
      <c r="Q31" s="1" t="str">
        <f t="shared" si="10"/>
        <v/>
      </c>
      <c r="R31" s="1" t="str">
        <f t="shared" si="11"/>
        <v/>
      </c>
      <c r="S31" s="1" t="str">
        <f t="shared" si="12"/>
        <v/>
      </c>
      <c r="T31" s="1" t="str">
        <f t="shared" si="13"/>
        <v/>
      </c>
      <c r="U31" s="1" t="str">
        <f t="shared" si="14"/>
        <v/>
      </c>
      <c r="V31" s="1" t="str">
        <f t="shared" si="15"/>
        <v/>
      </c>
      <c r="W31" s="26" t="str">
        <f t="shared" si="16"/>
        <v/>
      </c>
      <c r="X31" s="13" t="str">
        <f t="shared" si="17"/>
        <v/>
      </c>
      <c r="Y31" s="9">
        <f t="shared" si="18"/>
        <v>0</v>
      </c>
    </row>
    <row r="32" spans="1:25" x14ac:dyDescent="0.25">
      <c r="A32" s="28"/>
      <c r="B32" s="29"/>
      <c r="C32" s="30"/>
      <c r="D32" s="31"/>
      <c r="E32" s="29" t="s">
        <v>16</v>
      </c>
      <c r="F32" s="13" t="b">
        <f>IF($E32=Categories!$A$1,"",IF($E32=Categories!$A$2,Categories!$B$2,IF($E32=Categories!$A$3,Categories!$B$3,IF($E32=Categories!$A$4,Categories!$B$4,IF($E32=Categories!$A$5,Categories!$B$5,IF($E32=Categories!$A$6,Categories!$B$6,IF($E32=Categories!$A$7,Categories!$B$7,IF($E32=Categories!$A$8,Categories!$B$8,IF($E32=Categories!$A$9,Categories!$B$9,IF($E32=Categories!$A$10,Categories!$B$10,IF($E32=Categories!$A$11,Categories!$B$11,IF($E32=Categories!$A$12,Categories!$B$12,IF($E32=Categories!$A$13,Categories!$B$13,IF($E32=Categories!$A$14,Categories!$B$14,IF($E32=Categories!$A$15,Categories!$B$15,IF($E32=Categories!$A$16,Categories!$B$16,IF($E32=Categories!$A$17,Categories!$B$17,IF($E32=Categories!$A$18,Categories!$B$18,IF($E32=Categories!$A$19,Categories!$B$19)))))))))))))))))))</f>
        <v>0</v>
      </c>
      <c r="G32" s="9" t="str">
        <f t="shared" si="0"/>
        <v/>
      </c>
      <c r="H32" s="1" t="str">
        <f t="shared" si="1"/>
        <v/>
      </c>
      <c r="I32" s="1" t="str">
        <f t="shared" si="2"/>
        <v/>
      </c>
      <c r="J32" s="1" t="str">
        <f t="shared" si="3"/>
        <v/>
      </c>
      <c r="K32" s="13" t="str">
        <f t="shared" si="4"/>
        <v/>
      </c>
      <c r="L32" s="9" t="str">
        <f t="shared" si="5"/>
        <v/>
      </c>
      <c r="M32" s="1" t="str">
        <f t="shared" si="6"/>
        <v/>
      </c>
      <c r="N32" s="1" t="str">
        <f t="shared" si="7"/>
        <v/>
      </c>
      <c r="O32" s="1" t="str">
        <f t="shared" si="8"/>
        <v/>
      </c>
      <c r="P32" s="1" t="str">
        <f t="shared" si="9"/>
        <v/>
      </c>
      <c r="Q32" s="1" t="str">
        <f t="shared" si="10"/>
        <v/>
      </c>
      <c r="R32" s="1" t="str">
        <f t="shared" si="11"/>
        <v/>
      </c>
      <c r="S32" s="1" t="str">
        <f t="shared" si="12"/>
        <v/>
      </c>
      <c r="T32" s="1" t="str">
        <f t="shared" si="13"/>
        <v/>
      </c>
      <c r="U32" s="1" t="str">
        <f t="shared" si="14"/>
        <v/>
      </c>
      <c r="V32" s="1" t="str">
        <f t="shared" si="15"/>
        <v/>
      </c>
      <c r="W32" s="26" t="str">
        <f t="shared" si="16"/>
        <v/>
      </c>
      <c r="X32" s="13" t="str">
        <f t="shared" si="17"/>
        <v/>
      </c>
      <c r="Y32" s="9">
        <f t="shared" si="18"/>
        <v>0</v>
      </c>
    </row>
    <row r="33" spans="1:25" x14ac:dyDescent="0.25">
      <c r="A33" s="28"/>
      <c r="B33" s="29"/>
      <c r="C33" s="30"/>
      <c r="D33" s="31"/>
      <c r="E33" s="29" t="s">
        <v>16</v>
      </c>
      <c r="F33" s="13" t="b">
        <f>IF($E33=Categories!$A$1,"",IF($E33=Categories!$A$2,Categories!$B$2,IF($E33=Categories!$A$3,Categories!$B$3,IF($E33=Categories!$A$4,Categories!$B$4,IF($E33=Categories!$A$5,Categories!$B$5,IF($E33=Categories!$A$6,Categories!$B$6,IF($E33=Categories!$A$7,Categories!$B$7,IF($E33=Categories!$A$8,Categories!$B$8,IF($E33=Categories!$A$9,Categories!$B$9,IF($E33=Categories!$A$10,Categories!$B$10,IF($E33=Categories!$A$11,Categories!$B$11,IF($E33=Categories!$A$12,Categories!$B$12,IF($E33=Categories!$A$13,Categories!$B$13,IF($E33=Categories!$A$14,Categories!$B$14,IF($E33=Categories!$A$15,Categories!$B$15,IF($E33=Categories!$A$16,Categories!$B$16,IF($E33=Categories!$A$17,Categories!$B$17,IF($E33=Categories!$A$18,Categories!$B$18,IF($E33=Categories!$A$19,Categories!$B$19)))))))))))))))))))</f>
        <v>0</v>
      </c>
      <c r="G33" s="9" t="str">
        <f t="shared" si="0"/>
        <v/>
      </c>
      <c r="H33" s="1" t="str">
        <f t="shared" si="1"/>
        <v/>
      </c>
      <c r="I33" s="1" t="str">
        <f t="shared" si="2"/>
        <v/>
      </c>
      <c r="J33" s="1" t="str">
        <f t="shared" si="3"/>
        <v/>
      </c>
      <c r="K33" s="13" t="str">
        <f t="shared" si="4"/>
        <v/>
      </c>
      <c r="L33" s="9" t="str">
        <f t="shared" si="5"/>
        <v/>
      </c>
      <c r="M33" s="1" t="str">
        <f t="shared" si="6"/>
        <v/>
      </c>
      <c r="N33" s="1" t="str">
        <f t="shared" si="7"/>
        <v/>
      </c>
      <c r="O33" s="1" t="str">
        <f t="shared" si="8"/>
        <v/>
      </c>
      <c r="P33" s="1" t="str">
        <f t="shared" si="9"/>
        <v/>
      </c>
      <c r="Q33" s="1" t="str">
        <f t="shared" si="10"/>
        <v/>
      </c>
      <c r="R33" s="1" t="str">
        <f t="shared" si="11"/>
        <v/>
      </c>
      <c r="S33" s="1" t="str">
        <f t="shared" si="12"/>
        <v/>
      </c>
      <c r="T33" s="1" t="str">
        <f t="shared" si="13"/>
        <v/>
      </c>
      <c r="U33" s="1" t="str">
        <f t="shared" si="14"/>
        <v/>
      </c>
      <c r="V33" s="1" t="str">
        <f t="shared" si="15"/>
        <v/>
      </c>
      <c r="W33" s="26" t="str">
        <f t="shared" si="16"/>
        <v/>
      </c>
      <c r="X33" s="13" t="str">
        <f t="shared" si="17"/>
        <v/>
      </c>
      <c r="Y33" s="9">
        <f t="shared" si="18"/>
        <v>0</v>
      </c>
    </row>
    <row r="34" spans="1:25" x14ac:dyDescent="0.25">
      <c r="A34" s="28"/>
      <c r="B34" s="29"/>
      <c r="C34" s="30"/>
      <c r="D34" s="31"/>
      <c r="E34" s="29" t="s">
        <v>16</v>
      </c>
      <c r="F34" s="13" t="b">
        <f>IF($E34=Categories!$A$1,"",IF($E34=Categories!$A$2,Categories!$B$2,IF($E34=Categories!$A$3,Categories!$B$3,IF($E34=Categories!$A$4,Categories!$B$4,IF($E34=Categories!$A$5,Categories!$B$5,IF($E34=Categories!$A$6,Categories!$B$6,IF($E34=Categories!$A$7,Categories!$B$7,IF($E34=Categories!$A$8,Categories!$B$8,IF($E34=Categories!$A$9,Categories!$B$9,IF($E34=Categories!$A$10,Categories!$B$10,IF($E34=Categories!$A$11,Categories!$B$11,IF($E34=Categories!$A$12,Categories!$B$12,IF($E34=Categories!$A$13,Categories!$B$13,IF($E34=Categories!$A$14,Categories!$B$14,IF($E34=Categories!$A$15,Categories!$B$15,IF($E34=Categories!$A$16,Categories!$B$16,IF($E34=Categories!$A$17,Categories!$B$17,IF($E34=Categories!$A$18,Categories!$B$18,IF($E34=Categories!$A$19,Categories!$B$19)))))))))))))))))))</f>
        <v>0</v>
      </c>
      <c r="G34" s="9" t="str">
        <f t="shared" si="0"/>
        <v/>
      </c>
      <c r="H34" s="1" t="str">
        <f t="shared" si="1"/>
        <v/>
      </c>
      <c r="I34" s="1" t="str">
        <f t="shared" si="2"/>
        <v/>
      </c>
      <c r="J34" s="1" t="str">
        <f t="shared" si="3"/>
        <v/>
      </c>
      <c r="K34" s="13" t="str">
        <f t="shared" si="4"/>
        <v/>
      </c>
      <c r="L34" s="9" t="str">
        <f t="shared" si="5"/>
        <v/>
      </c>
      <c r="M34" s="1" t="str">
        <f t="shared" si="6"/>
        <v/>
      </c>
      <c r="N34" s="1" t="str">
        <f t="shared" si="7"/>
        <v/>
      </c>
      <c r="O34" s="1" t="str">
        <f t="shared" si="8"/>
        <v/>
      </c>
      <c r="P34" s="1" t="str">
        <f t="shared" si="9"/>
        <v/>
      </c>
      <c r="Q34" s="1" t="str">
        <f t="shared" si="10"/>
        <v/>
      </c>
      <c r="R34" s="1" t="str">
        <f t="shared" si="11"/>
        <v/>
      </c>
      <c r="S34" s="1" t="str">
        <f t="shared" si="12"/>
        <v/>
      </c>
      <c r="T34" s="1" t="str">
        <f t="shared" si="13"/>
        <v/>
      </c>
      <c r="U34" s="1" t="str">
        <f t="shared" si="14"/>
        <v/>
      </c>
      <c r="V34" s="1" t="str">
        <f t="shared" si="15"/>
        <v/>
      </c>
      <c r="W34" s="26" t="str">
        <f t="shared" si="16"/>
        <v/>
      </c>
      <c r="X34" s="13" t="str">
        <f t="shared" si="17"/>
        <v/>
      </c>
      <c r="Y34" s="9">
        <f t="shared" si="18"/>
        <v>0</v>
      </c>
    </row>
    <row r="35" spans="1:25" x14ac:dyDescent="0.25">
      <c r="A35" s="28"/>
      <c r="B35" s="29"/>
      <c r="C35" s="30"/>
      <c r="D35" s="31"/>
      <c r="E35" s="29" t="s">
        <v>16</v>
      </c>
      <c r="F35" s="13" t="b">
        <f>IF($E35=Categories!$A$1,"",IF($E35=Categories!$A$2,Categories!$B$2,IF($E35=Categories!$A$3,Categories!$B$3,IF($E35=Categories!$A$4,Categories!$B$4,IF($E35=Categories!$A$5,Categories!$B$5,IF($E35=Categories!$A$6,Categories!$B$6,IF($E35=Categories!$A$7,Categories!$B$7,IF($E35=Categories!$A$8,Categories!$B$8,IF($E35=Categories!$A$9,Categories!$B$9,IF($E35=Categories!$A$10,Categories!$B$10,IF($E35=Categories!$A$11,Categories!$B$11,IF($E35=Categories!$A$12,Categories!$B$12,IF($E35=Categories!$A$13,Categories!$B$13,IF($E35=Categories!$A$14,Categories!$B$14,IF($E35=Categories!$A$15,Categories!$B$15,IF($E35=Categories!$A$16,Categories!$B$16,IF($E35=Categories!$A$17,Categories!$B$17,IF($E35=Categories!$A$18,Categories!$B$18,IF($E35=Categories!$A$19,Categories!$B$19)))))))))))))))))))</f>
        <v>0</v>
      </c>
      <c r="G35" s="9" t="str">
        <f t="shared" si="0"/>
        <v/>
      </c>
      <c r="H35" s="1" t="str">
        <f t="shared" si="1"/>
        <v/>
      </c>
      <c r="I35" s="1" t="str">
        <f t="shared" si="2"/>
        <v/>
      </c>
      <c r="J35" s="1" t="str">
        <f t="shared" si="3"/>
        <v/>
      </c>
      <c r="K35" s="13" t="str">
        <f t="shared" si="4"/>
        <v/>
      </c>
      <c r="L35" s="9" t="str">
        <f t="shared" si="5"/>
        <v/>
      </c>
      <c r="M35" s="1" t="str">
        <f t="shared" si="6"/>
        <v/>
      </c>
      <c r="N35" s="1" t="str">
        <f t="shared" si="7"/>
        <v/>
      </c>
      <c r="O35" s="1" t="str">
        <f t="shared" si="8"/>
        <v/>
      </c>
      <c r="P35" s="1" t="str">
        <f t="shared" si="9"/>
        <v/>
      </c>
      <c r="Q35" s="1" t="str">
        <f t="shared" si="10"/>
        <v/>
      </c>
      <c r="R35" s="1" t="str">
        <f t="shared" si="11"/>
        <v/>
      </c>
      <c r="S35" s="1" t="str">
        <f t="shared" si="12"/>
        <v/>
      </c>
      <c r="T35" s="1" t="str">
        <f t="shared" si="13"/>
        <v/>
      </c>
      <c r="U35" s="1" t="str">
        <f t="shared" si="14"/>
        <v/>
      </c>
      <c r="V35" s="1" t="str">
        <f t="shared" si="15"/>
        <v/>
      </c>
      <c r="W35" s="26" t="str">
        <f t="shared" si="16"/>
        <v/>
      </c>
      <c r="X35" s="13" t="str">
        <f t="shared" si="17"/>
        <v/>
      </c>
      <c r="Y35" s="9">
        <f t="shared" si="18"/>
        <v>0</v>
      </c>
    </row>
    <row r="36" spans="1:25" x14ac:dyDescent="0.25">
      <c r="A36" s="28"/>
      <c r="B36" s="29"/>
      <c r="C36" s="30"/>
      <c r="D36" s="31"/>
      <c r="E36" s="29" t="s">
        <v>16</v>
      </c>
      <c r="F36" s="13" t="b">
        <f>IF($E36=Categories!$A$1,"",IF($E36=Categories!$A$2,Categories!$B$2,IF($E36=Categories!$A$3,Categories!$B$3,IF($E36=Categories!$A$4,Categories!$B$4,IF($E36=Categories!$A$5,Categories!$B$5,IF($E36=Categories!$A$6,Categories!$B$6,IF($E36=Categories!$A$7,Categories!$B$7,IF($E36=Categories!$A$8,Categories!$B$8,IF($E36=Categories!$A$9,Categories!$B$9,IF($E36=Categories!$A$10,Categories!$B$10,IF($E36=Categories!$A$11,Categories!$B$11,IF($E36=Categories!$A$12,Categories!$B$12,IF($E36=Categories!$A$13,Categories!$B$13,IF($E36=Categories!$A$14,Categories!$B$14,IF($E36=Categories!$A$15,Categories!$B$15,IF($E36=Categories!$A$16,Categories!$B$16,IF($E36=Categories!$A$17,Categories!$B$17,IF($E36=Categories!$A$18,Categories!$B$18,IF($E36=Categories!$A$19,Categories!$B$19)))))))))))))))))))</f>
        <v>0</v>
      </c>
      <c r="G36" s="9" t="str">
        <f t="shared" si="0"/>
        <v/>
      </c>
      <c r="H36" s="1" t="str">
        <f t="shared" si="1"/>
        <v/>
      </c>
      <c r="I36" s="1" t="str">
        <f t="shared" si="2"/>
        <v/>
      </c>
      <c r="J36" s="1" t="str">
        <f t="shared" si="3"/>
        <v/>
      </c>
      <c r="K36" s="13" t="str">
        <f t="shared" si="4"/>
        <v/>
      </c>
      <c r="L36" s="9" t="str">
        <f t="shared" si="5"/>
        <v/>
      </c>
      <c r="M36" s="1" t="str">
        <f t="shared" si="6"/>
        <v/>
      </c>
      <c r="N36" s="1" t="str">
        <f t="shared" si="7"/>
        <v/>
      </c>
      <c r="O36" s="1" t="str">
        <f t="shared" si="8"/>
        <v/>
      </c>
      <c r="P36" s="1" t="str">
        <f t="shared" si="9"/>
        <v/>
      </c>
      <c r="Q36" s="1" t="str">
        <f t="shared" si="10"/>
        <v/>
      </c>
      <c r="R36" s="1" t="str">
        <f t="shared" si="11"/>
        <v/>
      </c>
      <c r="S36" s="1" t="str">
        <f t="shared" si="12"/>
        <v/>
      </c>
      <c r="T36" s="1" t="str">
        <f t="shared" si="13"/>
        <v/>
      </c>
      <c r="U36" s="1" t="str">
        <f t="shared" si="14"/>
        <v/>
      </c>
      <c r="V36" s="1" t="str">
        <f t="shared" si="15"/>
        <v/>
      </c>
      <c r="W36" s="26" t="str">
        <f t="shared" si="16"/>
        <v/>
      </c>
      <c r="X36" s="13" t="str">
        <f t="shared" si="17"/>
        <v/>
      </c>
      <c r="Y36" s="9">
        <f t="shared" si="18"/>
        <v>0</v>
      </c>
    </row>
    <row r="37" spans="1:25" x14ac:dyDescent="0.25">
      <c r="A37" s="28"/>
      <c r="B37" s="29"/>
      <c r="C37" s="30"/>
      <c r="D37" s="31"/>
      <c r="E37" s="29" t="s">
        <v>16</v>
      </c>
      <c r="F37" s="13" t="b">
        <f>IF($E37=Categories!$A$1,"",IF($E37=Categories!$A$2,Categories!$B$2,IF($E37=Categories!$A$3,Categories!$B$3,IF($E37=Categories!$A$4,Categories!$B$4,IF($E37=Categories!$A$5,Categories!$B$5,IF($E37=Categories!$A$6,Categories!$B$6,IF($E37=Categories!$A$7,Categories!$B$7,IF($E37=Categories!$A$8,Categories!$B$8,IF($E37=Categories!$A$9,Categories!$B$9,IF($E37=Categories!$A$10,Categories!$B$10,IF($E37=Categories!$A$11,Categories!$B$11,IF($E37=Categories!$A$12,Categories!$B$12,IF($E37=Categories!$A$13,Categories!$B$13,IF($E37=Categories!$A$14,Categories!$B$14,IF($E37=Categories!$A$15,Categories!$B$15,IF($E37=Categories!$A$16,Categories!$B$16,IF($E37=Categories!$A$17,Categories!$B$17,IF($E37=Categories!$A$18,Categories!$B$18,IF($E37=Categories!$A$19,Categories!$B$19)))))))))))))))))))</f>
        <v>0</v>
      </c>
      <c r="G37" s="9" t="str">
        <f t="shared" si="0"/>
        <v/>
      </c>
      <c r="H37" s="1" t="str">
        <f t="shared" si="1"/>
        <v/>
      </c>
      <c r="I37" s="1" t="str">
        <f t="shared" si="2"/>
        <v/>
      </c>
      <c r="J37" s="1" t="str">
        <f t="shared" si="3"/>
        <v/>
      </c>
      <c r="K37" s="13" t="str">
        <f t="shared" si="4"/>
        <v/>
      </c>
      <c r="L37" s="9" t="str">
        <f t="shared" si="5"/>
        <v/>
      </c>
      <c r="M37" s="1" t="str">
        <f t="shared" si="6"/>
        <v/>
      </c>
      <c r="N37" s="1" t="str">
        <f t="shared" si="7"/>
        <v/>
      </c>
      <c r="O37" s="1" t="str">
        <f t="shared" si="8"/>
        <v/>
      </c>
      <c r="P37" s="1" t="str">
        <f t="shared" si="9"/>
        <v/>
      </c>
      <c r="Q37" s="1" t="str">
        <f t="shared" si="10"/>
        <v/>
      </c>
      <c r="R37" s="1" t="str">
        <f t="shared" si="11"/>
        <v/>
      </c>
      <c r="S37" s="1" t="str">
        <f t="shared" si="12"/>
        <v/>
      </c>
      <c r="T37" s="1" t="str">
        <f t="shared" si="13"/>
        <v/>
      </c>
      <c r="U37" s="1" t="str">
        <f t="shared" si="14"/>
        <v/>
      </c>
      <c r="V37" s="1" t="str">
        <f t="shared" si="15"/>
        <v/>
      </c>
      <c r="W37" s="26" t="str">
        <f t="shared" si="16"/>
        <v/>
      </c>
      <c r="X37" s="13" t="str">
        <f t="shared" si="17"/>
        <v/>
      </c>
      <c r="Y37" s="9">
        <f t="shared" si="18"/>
        <v>0</v>
      </c>
    </row>
    <row r="38" spans="1:25" x14ac:dyDescent="0.25">
      <c r="A38" s="28"/>
      <c r="B38" s="29"/>
      <c r="C38" s="30"/>
      <c r="D38" s="31"/>
      <c r="E38" s="29" t="s">
        <v>16</v>
      </c>
      <c r="F38" s="13" t="b">
        <f>IF($E38=Categories!$A$1,"",IF($E38=Categories!$A$2,Categories!$B$2,IF($E38=Categories!$A$3,Categories!$B$3,IF($E38=Categories!$A$4,Categories!$B$4,IF($E38=Categories!$A$5,Categories!$B$5,IF($E38=Categories!$A$6,Categories!$B$6,IF($E38=Categories!$A$7,Categories!$B$7,IF($E38=Categories!$A$8,Categories!$B$8,IF($E38=Categories!$A$9,Categories!$B$9,IF($E38=Categories!$A$10,Categories!$B$10,IF($E38=Categories!$A$11,Categories!$B$11,IF($E38=Categories!$A$12,Categories!$B$12,IF($E38=Categories!$A$13,Categories!$B$13,IF($E38=Categories!$A$14,Categories!$B$14,IF($E38=Categories!$A$15,Categories!$B$15,IF($E38=Categories!$A$16,Categories!$B$16,IF($E38=Categories!$A$17,Categories!$B$17,IF($E38=Categories!$A$18,Categories!$B$18,IF($E38=Categories!$A$19,Categories!$B$19)))))))))))))))))))</f>
        <v>0</v>
      </c>
      <c r="G38" s="9" t="str">
        <f t="shared" si="0"/>
        <v/>
      </c>
      <c r="H38" s="1" t="str">
        <f t="shared" si="1"/>
        <v/>
      </c>
      <c r="I38" s="1" t="str">
        <f t="shared" si="2"/>
        <v/>
      </c>
      <c r="J38" s="1" t="str">
        <f t="shared" si="3"/>
        <v/>
      </c>
      <c r="K38" s="13" t="str">
        <f t="shared" si="4"/>
        <v/>
      </c>
      <c r="L38" s="9" t="str">
        <f t="shared" si="5"/>
        <v/>
      </c>
      <c r="M38" s="1" t="str">
        <f t="shared" si="6"/>
        <v/>
      </c>
      <c r="N38" s="1" t="str">
        <f t="shared" si="7"/>
        <v/>
      </c>
      <c r="O38" s="1" t="str">
        <f t="shared" si="8"/>
        <v/>
      </c>
      <c r="P38" s="1" t="str">
        <f t="shared" si="9"/>
        <v/>
      </c>
      <c r="Q38" s="1" t="str">
        <f t="shared" si="10"/>
        <v/>
      </c>
      <c r="R38" s="1" t="str">
        <f t="shared" si="11"/>
        <v/>
      </c>
      <c r="S38" s="1" t="str">
        <f t="shared" si="12"/>
        <v/>
      </c>
      <c r="T38" s="1" t="str">
        <f t="shared" si="13"/>
        <v/>
      </c>
      <c r="U38" s="1" t="str">
        <f t="shared" si="14"/>
        <v/>
      </c>
      <c r="V38" s="1" t="str">
        <f t="shared" si="15"/>
        <v/>
      </c>
      <c r="W38" s="26" t="str">
        <f t="shared" si="16"/>
        <v/>
      </c>
      <c r="X38" s="13" t="str">
        <f t="shared" si="17"/>
        <v/>
      </c>
      <c r="Y38" s="9">
        <f t="shared" si="18"/>
        <v>0</v>
      </c>
    </row>
    <row r="39" spans="1:25" x14ac:dyDescent="0.25">
      <c r="A39" s="28"/>
      <c r="B39" s="29"/>
      <c r="C39" s="30"/>
      <c r="D39" s="31"/>
      <c r="E39" s="29" t="s">
        <v>16</v>
      </c>
      <c r="F39" s="13" t="b">
        <f>IF($E39=Categories!$A$1,"",IF($E39=Categories!$A$2,Categories!$B$2,IF($E39=Categories!$A$3,Categories!$B$3,IF($E39=Categories!$A$4,Categories!$B$4,IF($E39=Categories!$A$5,Categories!$B$5,IF($E39=Categories!$A$6,Categories!$B$6,IF($E39=Categories!$A$7,Categories!$B$7,IF($E39=Categories!$A$8,Categories!$B$8,IF($E39=Categories!$A$9,Categories!$B$9,IF($E39=Categories!$A$10,Categories!$B$10,IF($E39=Categories!$A$11,Categories!$B$11,IF($E39=Categories!$A$12,Categories!$B$12,IF($E39=Categories!$A$13,Categories!$B$13,IF($E39=Categories!$A$14,Categories!$B$14,IF($E39=Categories!$A$15,Categories!$B$15,IF($E39=Categories!$A$16,Categories!$B$16,IF($E39=Categories!$A$17,Categories!$B$17,IF($E39=Categories!$A$18,Categories!$B$18,IF($E39=Categories!$A$19,Categories!$B$19)))))))))))))))))))</f>
        <v>0</v>
      </c>
      <c r="G39" s="9" t="str">
        <f t="shared" si="0"/>
        <v/>
      </c>
      <c r="H39" s="1" t="str">
        <f t="shared" si="1"/>
        <v/>
      </c>
      <c r="I39" s="1" t="str">
        <f t="shared" si="2"/>
        <v/>
      </c>
      <c r="J39" s="1" t="str">
        <f t="shared" si="3"/>
        <v/>
      </c>
      <c r="K39" s="13" t="str">
        <f t="shared" si="4"/>
        <v/>
      </c>
      <c r="L39" s="9" t="str">
        <f t="shared" si="5"/>
        <v/>
      </c>
      <c r="M39" s="1" t="str">
        <f t="shared" si="6"/>
        <v/>
      </c>
      <c r="N39" s="1" t="str">
        <f t="shared" si="7"/>
        <v/>
      </c>
      <c r="O39" s="1" t="str">
        <f t="shared" si="8"/>
        <v/>
      </c>
      <c r="P39" s="1" t="str">
        <f t="shared" si="9"/>
        <v/>
      </c>
      <c r="Q39" s="1" t="str">
        <f t="shared" si="10"/>
        <v/>
      </c>
      <c r="R39" s="1" t="str">
        <f t="shared" si="11"/>
        <v/>
      </c>
      <c r="S39" s="1" t="str">
        <f t="shared" si="12"/>
        <v/>
      </c>
      <c r="T39" s="1" t="str">
        <f t="shared" si="13"/>
        <v/>
      </c>
      <c r="U39" s="1" t="str">
        <f t="shared" si="14"/>
        <v/>
      </c>
      <c r="V39" s="1" t="str">
        <f t="shared" si="15"/>
        <v/>
      </c>
      <c r="W39" s="26" t="str">
        <f t="shared" si="16"/>
        <v/>
      </c>
      <c r="X39" s="13" t="str">
        <f t="shared" si="17"/>
        <v/>
      </c>
      <c r="Y39" s="9">
        <f t="shared" si="18"/>
        <v>0</v>
      </c>
    </row>
    <row r="40" spans="1:25" x14ac:dyDescent="0.25">
      <c r="A40" s="28"/>
      <c r="B40" s="29"/>
      <c r="C40" s="30"/>
      <c r="D40" s="31"/>
      <c r="E40" s="29" t="s">
        <v>16</v>
      </c>
      <c r="F40" s="13" t="b">
        <f>IF($E40=Categories!$A$1,"",IF($E40=Categories!$A$2,Categories!$B$2,IF($E40=Categories!$A$3,Categories!$B$3,IF($E40=Categories!$A$4,Categories!$B$4,IF($E40=Categories!$A$5,Categories!$B$5,IF($E40=Categories!$A$6,Categories!$B$6,IF($E40=Categories!$A$7,Categories!$B$7,IF($E40=Categories!$A$8,Categories!$B$8,IF($E40=Categories!$A$9,Categories!$B$9,IF($E40=Categories!$A$10,Categories!$B$10,IF($E40=Categories!$A$11,Categories!$B$11,IF($E40=Categories!$A$12,Categories!$B$12,IF($E40=Categories!$A$13,Categories!$B$13,IF($E40=Categories!$A$14,Categories!$B$14,IF($E40=Categories!$A$15,Categories!$B$15,IF($E40=Categories!$A$16,Categories!$B$16,IF($E40=Categories!$A$17,Categories!$B$17,IF($E40=Categories!$A$18,Categories!$B$18,IF($E40=Categories!$A$19,Categories!$B$19)))))))))))))))))))</f>
        <v>0</v>
      </c>
      <c r="G40" s="9" t="str">
        <f t="shared" si="0"/>
        <v/>
      </c>
      <c r="H40" s="1" t="str">
        <f t="shared" si="1"/>
        <v/>
      </c>
      <c r="I40" s="1" t="str">
        <f t="shared" si="2"/>
        <v/>
      </c>
      <c r="J40" s="1" t="str">
        <f t="shared" si="3"/>
        <v/>
      </c>
      <c r="K40" s="13" t="str">
        <f t="shared" si="4"/>
        <v/>
      </c>
      <c r="L40" s="9" t="str">
        <f t="shared" si="5"/>
        <v/>
      </c>
      <c r="M40" s="1" t="str">
        <f t="shared" si="6"/>
        <v/>
      </c>
      <c r="N40" s="1" t="str">
        <f t="shared" si="7"/>
        <v/>
      </c>
      <c r="O40" s="1" t="str">
        <f t="shared" si="8"/>
        <v/>
      </c>
      <c r="P40" s="1" t="str">
        <f t="shared" si="9"/>
        <v/>
      </c>
      <c r="Q40" s="1" t="str">
        <f t="shared" si="10"/>
        <v/>
      </c>
      <c r="R40" s="1" t="str">
        <f t="shared" si="11"/>
        <v/>
      </c>
      <c r="S40" s="1" t="str">
        <f t="shared" si="12"/>
        <v/>
      </c>
      <c r="T40" s="1" t="str">
        <f t="shared" si="13"/>
        <v/>
      </c>
      <c r="U40" s="1" t="str">
        <f t="shared" si="14"/>
        <v/>
      </c>
      <c r="V40" s="1" t="str">
        <f t="shared" si="15"/>
        <v/>
      </c>
      <c r="W40" s="26" t="str">
        <f t="shared" si="16"/>
        <v/>
      </c>
      <c r="X40" s="13" t="str">
        <f t="shared" si="17"/>
        <v/>
      </c>
      <c r="Y40" s="9">
        <f t="shared" si="18"/>
        <v>0</v>
      </c>
    </row>
    <row r="41" spans="1:25" x14ac:dyDescent="0.25">
      <c r="A41" s="28"/>
      <c r="B41" s="29"/>
      <c r="C41" s="30"/>
      <c r="D41" s="31"/>
      <c r="E41" s="29" t="s">
        <v>16</v>
      </c>
      <c r="F41" s="13" t="b">
        <f>IF($E41=Categories!$A$1,"",IF($E41=Categories!$A$2,Categories!$B$2,IF($E41=Categories!$A$3,Categories!$B$3,IF($E41=Categories!$A$4,Categories!$B$4,IF($E41=Categories!$A$5,Categories!$B$5,IF($E41=Categories!$A$6,Categories!$B$6,IF($E41=Categories!$A$7,Categories!$B$7,IF($E41=Categories!$A$8,Categories!$B$8,IF($E41=Categories!$A$9,Categories!$B$9,IF($E41=Categories!$A$10,Categories!$B$10,IF($E41=Categories!$A$11,Categories!$B$11,IF($E41=Categories!$A$12,Categories!$B$12,IF($E41=Categories!$A$13,Categories!$B$13,IF($E41=Categories!$A$14,Categories!$B$14,IF($E41=Categories!$A$15,Categories!$B$15,IF($E41=Categories!$A$16,Categories!$B$16,IF($E41=Categories!$A$17,Categories!$B$17,IF($E41=Categories!$A$18,Categories!$B$18,IF($E41=Categories!$A$19,Categories!$B$19)))))))))))))))))))</f>
        <v>0</v>
      </c>
      <c r="G41" s="9" t="str">
        <f t="shared" si="0"/>
        <v/>
      </c>
      <c r="H41" s="1" t="str">
        <f t="shared" si="1"/>
        <v/>
      </c>
      <c r="I41" s="1" t="str">
        <f t="shared" si="2"/>
        <v/>
      </c>
      <c r="J41" s="1" t="str">
        <f t="shared" si="3"/>
        <v/>
      </c>
      <c r="K41" s="13" t="str">
        <f t="shared" si="4"/>
        <v/>
      </c>
      <c r="L41" s="9" t="str">
        <f t="shared" si="5"/>
        <v/>
      </c>
      <c r="M41" s="1" t="str">
        <f t="shared" si="6"/>
        <v/>
      </c>
      <c r="N41" s="1" t="str">
        <f t="shared" si="7"/>
        <v/>
      </c>
      <c r="O41" s="1" t="str">
        <f t="shared" si="8"/>
        <v/>
      </c>
      <c r="P41" s="1" t="str">
        <f t="shared" si="9"/>
        <v/>
      </c>
      <c r="Q41" s="1" t="str">
        <f t="shared" si="10"/>
        <v/>
      </c>
      <c r="R41" s="1" t="str">
        <f t="shared" si="11"/>
        <v/>
      </c>
      <c r="S41" s="1" t="str">
        <f t="shared" si="12"/>
        <v/>
      </c>
      <c r="T41" s="1" t="str">
        <f t="shared" si="13"/>
        <v/>
      </c>
      <c r="U41" s="1" t="str">
        <f t="shared" si="14"/>
        <v/>
      </c>
      <c r="V41" s="1" t="str">
        <f t="shared" si="15"/>
        <v/>
      </c>
      <c r="W41" s="26" t="str">
        <f t="shared" si="16"/>
        <v/>
      </c>
      <c r="X41" s="13" t="str">
        <f t="shared" si="17"/>
        <v/>
      </c>
      <c r="Y41" s="9">
        <f t="shared" si="18"/>
        <v>0</v>
      </c>
    </row>
    <row r="42" spans="1:25" x14ac:dyDescent="0.25">
      <c r="A42" s="28"/>
      <c r="B42" s="29"/>
      <c r="C42" s="30"/>
      <c r="D42" s="31"/>
      <c r="E42" s="29" t="s">
        <v>16</v>
      </c>
      <c r="F42" s="13" t="b">
        <f>IF($E42=Categories!$A$1,"",IF($E42=Categories!$A$2,Categories!$B$2,IF($E42=Categories!$A$3,Categories!$B$3,IF($E42=Categories!$A$4,Categories!$B$4,IF($E42=Categories!$A$5,Categories!$B$5,IF($E42=Categories!$A$6,Categories!$B$6,IF($E42=Categories!$A$7,Categories!$B$7,IF($E42=Categories!$A$8,Categories!$B$8,IF($E42=Categories!$A$9,Categories!$B$9,IF($E42=Categories!$A$10,Categories!$B$10,IF($E42=Categories!$A$11,Categories!$B$11,IF($E42=Categories!$A$12,Categories!$B$12,IF($E42=Categories!$A$13,Categories!$B$13,IF($E42=Categories!$A$14,Categories!$B$14,IF($E42=Categories!$A$15,Categories!$B$15,IF($E42=Categories!$A$16,Categories!$B$16,IF($E42=Categories!$A$17,Categories!$B$17,IF($E42=Categories!$A$18,Categories!$B$18,IF($E42=Categories!$A$19,Categories!$B$19)))))))))))))))))))</f>
        <v>0</v>
      </c>
      <c r="G42" s="9" t="str">
        <f t="shared" si="0"/>
        <v/>
      </c>
      <c r="H42" s="1" t="str">
        <f t="shared" si="1"/>
        <v/>
      </c>
      <c r="I42" s="1" t="str">
        <f t="shared" si="2"/>
        <v/>
      </c>
      <c r="J42" s="1" t="str">
        <f t="shared" si="3"/>
        <v/>
      </c>
      <c r="K42" s="13" t="str">
        <f t="shared" si="4"/>
        <v/>
      </c>
      <c r="L42" s="9" t="str">
        <f t="shared" si="5"/>
        <v/>
      </c>
      <c r="M42" s="1" t="str">
        <f t="shared" si="6"/>
        <v/>
      </c>
      <c r="N42" s="1" t="str">
        <f t="shared" si="7"/>
        <v/>
      </c>
      <c r="O42" s="1" t="str">
        <f t="shared" si="8"/>
        <v/>
      </c>
      <c r="P42" s="1" t="str">
        <f t="shared" si="9"/>
        <v/>
      </c>
      <c r="Q42" s="1" t="str">
        <f t="shared" si="10"/>
        <v/>
      </c>
      <c r="R42" s="1" t="str">
        <f t="shared" si="11"/>
        <v/>
      </c>
      <c r="S42" s="1" t="str">
        <f t="shared" si="12"/>
        <v/>
      </c>
      <c r="T42" s="1" t="str">
        <f t="shared" si="13"/>
        <v/>
      </c>
      <c r="U42" s="1" t="str">
        <f t="shared" si="14"/>
        <v/>
      </c>
      <c r="V42" s="1" t="str">
        <f t="shared" si="15"/>
        <v/>
      </c>
      <c r="W42" s="26" t="str">
        <f t="shared" si="16"/>
        <v/>
      </c>
      <c r="X42" s="13" t="str">
        <f t="shared" si="17"/>
        <v/>
      </c>
      <c r="Y42" s="9">
        <f t="shared" si="18"/>
        <v>0</v>
      </c>
    </row>
    <row r="43" spans="1:25" x14ac:dyDescent="0.25">
      <c r="A43" s="28"/>
      <c r="B43" s="29"/>
      <c r="C43" s="30"/>
      <c r="D43" s="31"/>
      <c r="E43" s="29" t="s">
        <v>16</v>
      </c>
      <c r="F43" s="13" t="b">
        <f>IF($E43=Categories!$A$1,"",IF($E43=Categories!$A$2,Categories!$B$2,IF($E43=Categories!$A$3,Categories!$B$3,IF($E43=Categories!$A$4,Categories!$B$4,IF($E43=Categories!$A$5,Categories!$B$5,IF($E43=Categories!$A$6,Categories!$B$6,IF($E43=Categories!$A$7,Categories!$B$7,IF($E43=Categories!$A$8,Categories!$B$8,IF($E43=Categories!$A$9,Categories!$B$9,IF($E43=Categories!$A$10,Categories!$B$10,IF($E43=Categories!$A$11,Categories!$B$11,IF($E43=Categories!$A$12,Categories!$B$12,IF($E43=Categories!$A$13,Categories!$B$13,IF($E43=Categories!$A$14,Categories!$B$14,IF($E43=Categories!$A$15,Categories!$B$15,IF($E43=Categories!$A$16,Categories!$B$16,IF($E43=Categories!$A$17,Categories!$B$17,IF($E43=Categories!$A$18,Categories!$B$18,IF($E43=Categories!$A$19,Categories!$B$19)))))))))))))))))))</f>
        <v>0</v>
      </c>
      <c r="G43" s="9" t="str">
        <f t="shared" si="0"/>
        <v/>
      </c>
      <c r="H43" s="1" t="str">
        <f t="shared" si="1"/>
        <v/>
      </c>
      <c r="I43" s="1" t="str">
        <f t="shared" si="2"/>
        <v/>
      </c>
      <c r="J43" s="1" t="str">
        <f t="shared" si="3"/>
        <v/>
      </c>
      <c r="K43" s="13" t="str">
        <f t="shared" si="4"/>
        <v/>
      </c>
      <c r="L43" s="9" t="str">
        <f t="shared" si="5"/>
        <v/>
      </c>
      <c r="M43" s="1" t="str">
        <f t="shared" si="6"/>
        <v/>
      </c>
      <c r="N43" s="1" t="str">
        <f t="shared" si="7"/>
        <v/>
      </c>
      <c r="O43" s="1" t="str">
        <f t="shared" si="8"/>
        <v/>
      </c>
      <c r="P43" s="1" t="str">
        <f t="shared" si="9"/>
        <v/>
      </c>
      <c r="Q43" s="1" t="str">
        <f t="shared" si="10"/>
        <v/>
      </c>
      <c r="R43" s="1" t="str">
        <f t="shared" si="11"/>
        <v/>
      </c>
      <c r="S43" s="1" t="str">
        <f t="shared" si="12"/>
        <v/>
      </c>
      <c r="T43" s="1" t="str">
        <f t="shared" si="13"/>
        <v/>
      </c>
      <c r="U43" s="1" t="str">
        <f t="shared" si="14"/>
        <v/>
      </c>
      <c r="V43" s="1" t="str">
        <f t="shared" si="15"/>
        <v/>
      </c>
      <c r="W43" s="26" t="str">
        <f t="shared" si="16"/>
        <v/>
      </c>
      <c r="X43" s="13" t="str">
        <f t="shared" si="17"/>
        <v/>
      </c>
      <c r="Y43" s="9">
        <f t="shared" si="18"/>
        <v>0</v>
      </c>
    </row>
    <row r="44" spans="1:25" x14ac:dyDescent="0.25">
      <c r="A44" s="28"/>
      <c r="B44" s="29"/>
      <c r="C44" s="30"/>
      <c r="D44" s="31"/>
      <c r="E44" s="29" t="s">
        <v>16</v>
      </c>
      <c r="F44" s="13" t="b">
        <f>IF($E44=Categories!$A$1,"",IF($E44=Categories!$A$2,Categories!$B$2,IF($E44=Categories!$A$3,Categories!$B$3,IF($E44=Categories!$A$4,Categories!$B$4,IF($E44=Categories!$A$5,Categories!$B$5,IF($E44=Categories!$A$6,Categories!$B$6,IF($E44=Categories!$A$7,Categories!$B$7,IF($E44=Categories!$A$8,Categories!$B$8,IF($E44=Categories!$A$9,Categories!$B$9,IF($E44=Categories!$A$10,Categories!$B$10,IF($E44=Categories!$A$11,Categories!$B$11,IF($E44=Categories!$A$12,Categories!$B$12,IF($E44=Categories!$A$13,Categories!$B$13,IF($E44=Categories!$A$14,Categories!$B$14,IF($E44=Categories!$A$15,Categories!$B$15,IF($E44=Categories!$A$16,Categories!$B$16,IF($E44=Categories!$A$17,Categories!$B$17,IF($E44=Categories!$A$18,Categories!$B$18,IF($E44=Categories!$A$19,Categories!$B$19)))))))))))))))))))</f>
        <v>0</v>
      </c>
      <c r="G44" s="9" t="str">
        <f t="shared" si="0"/>
        <v/>
      </c>
      <c r="H44" s="1" t="str">
        <f t="shared" si="1"/>
        <v/>
      </c>
      <c r="I44" s="1" t="str">
        <f t="shared" si="2"/>
        <v/>
      </c>
      <c r="J44" s="1" t="str">
        <f t="shared" si="3"/>
        <v/>
      </c>
      <c r="K44" s="13" t="str">
        <f t="shared" si="4"/>
        <v/>
      </c>
      <c r="L44" s="9" t="str">
        <f t="shared" si="5"/>
        <v/>
      </c>
      <c r="M44" s="1" t="str">
        <f t="shared" si="6"/>
        <v/>
      </c>
      <c r="N44" s="1" t="str">
        <f t="shared" si="7"/>
        <v/>
      </c>
      <c r="O44" s="1" t="str">
        <f t="shared" si="8"/>
        <v/>
      </c>
      <c r="P44" s="1" t="str">
        <f t="shared" si="9"/>
        <v/>
      </c>
      <c r="Q44" s="1" t="str">
        <f t="shared" si="10"/>
        <v/>
      </c>
      <c r="R44" s="1" t="str">
        <f t="shared" si="11"/>
        <v/>
      </c>
      <c r="S44" s="1" t="str">
        <f t="shared" si="12"/>
        <v/>
      </c>
      <c r="T44" s="1" t="str">
        <f t="shared" si="13"/>
        <v/>
      </c>
      <c r="U44" s="1" t="str">
        <f t="shared" si="14"/>
        <v/>
      </c>
      <c r="V44" s="1" t="str">
        <f t="shared" si="15"/>
        <v/>
      </c>
      <c r="W44" s="26" t="str">
        <f t="shared" si="16"/>
        <v/>
      </c>
      <c r="X44" s="13" t="str">
        <f t="shared" si="17"/>
        <v/>
      </c>
      <c r="Y44" s="9">
        <f t="shared" si="18"/>
        <v>0</v>
      </c>
    </row>
    <row r="45" spans="1:25" x14ac:dyDescent="0.25">
      <c r="A45" s="28"/>
      <c r="B45" s="29"/>
      <c r="C45" s="30"/>
      <c r="D45" s="31"/>
      <c r="E45" s="29" t="s">
        <v>16</v>
      </c>
      <c r="F45" s="13" t="b">
        <f>IF($E45=Categories!$A$1,"",IF($E45=Categories!$A$2,Categories!$B$2,IF($E45=Categories!$A$3,Categories!$B$3,IF($E45=Categories!$A$4,Categories!$B$4,IF($E45=Categories!$A$5,Categories!$B$5,IF($E45=Categories!$A$6,Categories!$B$6,IF($E45=Categories!$A$7,Categories!$B$7,IF($E45=Categories!$A$8,Categories!$B$8,IF($E45=Categories!$A$9,Categories!$B$9,IF($E45=Categories!$A$10,Categories!$B$10,IF($E45=Categories!$A$11,Categories!$B$11,IF($E45=Categories!$A$12,Categories!$B$12,IF($E45=Categories!$A$13,Categories!$B$13,IF($E45=Categories!$A$14,Categories!$B$14,IF($E45=Categories!$A$15,Categories!$B$15,IF($E45=Categories!$A$16,Categories!$B$16,IF($E45=Categories!$A$17,Categories!$B$17,IF($E45=Categories!$A$18,Categories!$B$18,IF($E45=Categories!$A$19,Categories!$B$19)))))))))))))))))))</f>
        <v>0</v>
      </c>
      <c r="G45" s="9" t="str">
        <f t="shared" si="0"/>
        <v/>
      </c>
      <c r="H45" s="1" t="str">
        <f t="shared" si="1"/>
        <v/>
      </c>
      <c r="I45" s="1" t="str">
        <f t="shared" si="2"/>
        <v/>
      </c>
      <c r="J45" s="1" t="str">
        <f t="shared" si="3"/>
        <v/>
      </c>
      <c r="K45" s="13" t="str">
        <f t="shared" si="4"/>
        <v/>
      </c>
      <c r="L45" s="9" t="str">
        <f t="shared" si="5"/>
        <v/>
      </c>
      <c r="M45" s="1" t="str">
        <f t="shared" si="6"/>
        <v/>
      </c>
      <c r="N45" s="1" t="str">
        <f t="shared" si="7"/>
        <v/>
      </c>
      <c r="O45" s="1" t="str">
        <f t="shared" si="8"/>
        <v/>
      </c>
      <c r="P45" s="1" t="str">
        <f t="shared" si="9"/>
        <v/>
      </c>
      <c r="Q45" s="1" t="str">
        <f t="shared" si="10"/>
        <v/>
      </c>
      <c r="R45" s="1" t="str">
        <f t="shared" si="11"/>
        <v/>
      </c>
      <c r="S45" s="1" t="str">
        <f t="shared" si="12"/>
        <v/>
      </c>
      <c r="T45" s="1" t="str">
        <f t="shared" si="13"/>
        <v/>
      </c>
      <c r="U45" s="1" t="str">
        <f t="shared" si="14"/>
        <v/>
      </c>
      <c r="V45" s="1" t="str">
        <f t="shared" si="15"/>
        <v/>
      </c>
      <c r="W45" s="26" t="str">
        <f t="shared" si="16"/>
        <v/>
      </c>
      <c r="X45" s="13" t="str">
        <f t="shared" si="17"/>
        <v/>
      </c>
      <c r="Y45" s="9">
        <f t="shared" si="18"/>
        <v>0</v>
      </c>
    </row>
    <row r="46" spans="1:25" x14ac:dyDescent="0.25">
      <c r="A46" s="28"/>
      <c r="B46" s="29"/>
      <c r="C46" s="30"/>
      <c r="D46" s="31"/>
      <c r="E46" s="29" t="s">
        <v>16</v>
      </c>
      <c r="F46" s="13" t="b">
        <f>IF($E46=Categories!$A$1,"",IF($E46=Categories!$A$2,Categories!$B$2,IF($E46=Categories!$A$3,Categories!$B$3,IF($E46=Categories!$A$4,Categories!$B$4,IF($E46=Categories!$A$5,Categories!$B$5,IF($E46=Categories!$A$6,Categories!$B$6,IF($E46=Categories!$A$7,Categories!$B$7,IF($E46=Categories!$A$8,Categories!$B$8,IF($E46=Categories!$A$9,Categories!$B$9,IF($E46=Categories!$A$10,Categories!$B$10,IF($E46=Categories!$A$11,Categories!$B$11,IF($E46=Categories!$A$12,Categories!$B$12,IF($E46=Categories!$A$13,Categories!$B$13,IF($E46=Categories!$A$14,Categories!$B$14,IF($E46=Categories!$A$15,Categories!$B$15,IF($E46=Categories!$A$16,Categories!$B$16,IF($E46=Categories!$A$17,Categories!$B$17,IF($E46=Categories!$A$18,Categories!$B$18,IF($E46=Categories!$A$19,Categories!$B$19)))))))))))))))))))</f>
        <v>0</v>
      </c>
      <c r="G46" s="9" t="str">
        <f t="shared" si="0"/>
        <v/>
      </c>
      <c r="H46" s="1" t="str">
        <f t="shared" si="1"/>
        <v/>
      </c>
      <c r="I46" s="1" t="str">
        <f t="shared" si="2"/>
        <v/>
      </c>
      <c r="J46" s="1" t="str">
        <f t="shared" si="3"/>
        <v/>
      </c>
      <c r="K46" s="13" t="str">
        <f t="shared" si="4"/>
        <v/>
      </c>
      <c r="L46" s="9" t="str">
        <f t="shared" si="5"/>
        <v/>
      </c>
      <c r="M46" s="1" t="str">
        <f t="shared" si="6"/>
        <v/>
      </c>
      <c r="N46" s="1" t="str">
        <f t="shared" si="7"/>
        <v/>
      </c>
      <c r="O46" s="1" t="str">
        <f t="shared" si="8"/>
        <v/>
      </c>
      <c r="P46" s="1" t="str">
        <f t="shared" si="9"/>
        <v/>
      </c>
      <c r="Q46" s="1" t="str">
        <f t="shared" si="10"/>
        <v/>
      </c>
      <c r="R46" s="1" t="str">
        <f t="shared" si="11"/>
        <v/>
      </c>
      <c r="S46" s="1" t="str">
        <f t="shared" si="12"/>
        <v/>
      </c>
      <c r="T46" s="1" t="str">
        <f t="shared" si="13"/>
        <v/>
      </c>
      <c r="U46" s="1" t="str">
        <f t="shared" si="14"/>
        <v/>
      </c>
      <c r="V46" s="1" t="str">
        <f t="shared" si="15"/>
        <v/>
      </c>
      <c r="W46" s="26" t="str">
        <f t="shared" si="16"/>
        <v/>
      </c>
      <c r="X46" s="13" t="str">
        <f t="shared" si="17"/>
        <v/>
      </c>
      <c r="Y46" s="9">
        <f t="shared" si="18"/>
        <v>0</v>
      </c>
    </row>
    <row r="47" spans="1:25" x14ac:dyDescent="0.25">
      <c r="A47" s="28"/>
      <c r="B47" s="29"/>
      <c r="C47" s="30"/>
      <c r="D47" s="31"/>
      <c r="E47" s="29" t="s">
        <v>16</v>
      </c>
      <c r="F47" s="13" t="b">
        <f>IF($E47=Categories!$A$1,"",IF($E47=Categories!$A$2,Categories!$B$2,IF($E47=Categories!$A$3,Categories!$B$3,IF($E47=Categories!$A$4,Categories!$B$4,IF($E47=Categories!$A$5,Categories!$B$5,IF($E47=Categories!$A$6,Categories!$B$6,IF($E47=Categories!$A$7,Categories!$B$7,IF($E47=Categories!$A$8,Categories!$B$8,IF($E47=Categories!$A$9,Categories!$B$9,IF($E47=Categories!$A$10,Categories!$B$10,IF($E47=Categories!$A$11,Categories!$B$11,IF($E47=Categories!$A$12,Categories!$B$12,IF($E47=Categories!$A$13,Categories!$B$13,IF($E47=Categories!$A$14,Categories!$B$14,IF($E47=Categories!$A$15,Categories!$B$15,IF($E47=Categories!$A$16,Categories!$B$16,IF($E47=Categories!$A$17,Categories!$B$17,IF($E47=Categories!$A$18,Categories!$B$18,IF($E47=Categories!$A$19,Categories!$B$19)))))))))))))))))))</f>
        <v>0</v>
      </c>
      <c r="G47" s="9" t="str">
        <f t="shared" si="0"/>
        <v/>
      </c>
      <c r="H47" s="1" t="str">
        <f t="shared" si="1"/>
        <v/>
      </c>
      <c r="I47" s="1" t="str">
        <f t="shared" si="2"/>
        <v/>
      </c>
      <c r="J47" s="1" t="str">
        <f t="shared" si="3"/>
        <v/>
      </c>
      <c r="K47" s="13" t="str">
        <f t="shared" si="4"/>
        <v/>
      </c>
      <c r="L47" s="9" t="str">
        <f t="shared" si="5"/>
        <v/>
      </c>
      <c r="M47" s="1" t="str">
        <f t="shared" si="6"/>
        <v/>
      </c>
      <c r="N47" s="1" t="str">
        <f t="shared" si="7"/>
        <v/>
      </c>
      <c r="O47" s="1" t="str">
        <f t="shared" si="8"/>
        <v/>
      </c>
      <c r="P47" s="1" t="str">
        <f t="shared" si="9"/>
        <v/>
      </c>
      <c r="Q47" s="1" t="str">
        <f t="shared" si="10"/>
        <v/>
      </c>
      <c r="R47" s="1" t="str">
        <f t="shared" si="11"/>
        <v/>
      </c>
      <c r="S47" s="1" t="str">
        <f t="shared" si="12"/>
        <v/>
      </c>
      <c r="T47" s="1" t="str">
        <f t="shared" si="13"/>
        <v/>
      </c>
      <c r="U47" s="1" t="str">
        <f t="shared" si="14"/>
        <v/>
      </c>
      <c r="V47" s="1" t="str">
        <f t="shared" si="15"/>
        <v/>
      </c>
      <c r="W47" s="26" t="str">
        <f t="shared" si="16"/>
        <v/>
      </c>
      <c r="X47" s="13" t="str">
        <f t="shared" si="17"/>
        <v/>
      </c>
      <c r="Y47" s="9">
        <f t="shared" si="18"/>
        <v>0</v>
      </c>
    </row>
    <row r="48" spans="1:25" x14ac:dyDescent="0.25">
      <c r="A48" s="28"/>
      <c r="B48" s="29"/>
      <c r="C48" s="30"/>
      <c r="D48" s="31"/>
      <c r="E48" s="29" t="s">
        <v>16</v>
      </c>
      <c r="F48" s="13" t="b">
        <f>IF($E48=Categories!$A$1,"",IF($E48=Categories!$A$2,Categories!$B$2,IF($E48=Categories!$A$3,Categories!$B$3,IF($E48=Categories!$A$4,Categories!$B$4,IF($E48=Categories!$A$5,Categories!$B$5,IF($E48=Categories!$A$6,Categories!$B$6,IF($E48=Categories!$A$7,Categories!$B$7,IF($E48=Categories!$A$8,Categories!$B$8,IF($E48=Categories!$A$9,Categories!$B$9,IF($E48=Categories!$A$10,Categories!$B$10,IF($E48=Categories!$A$11,Categories!$B$11,IF($E48=Categories!$A$12,Categories!$B$12,IF($E48=Categories!$A$13,Categories!$B$13,IF($E48=Categories!$A$14,Categories!$B$14,IF($E48=Categories!$A$15,Categories!$B$15,IF($E48=Categories!$A$16,Categories!$B$16,IF($E48=Categories!$A$17,Categories!$B$17,IF($E48=Categories!$A$18,Categories!$B$18,IF($E48=Categories!$A$19,Categories!$B$19)))))))))))))))))))</f>
        <v>0</v>
      </c>
      <c r="G48" s="9" t="str">
        <f t="shared" si="0"/>
        <v/>
      </c>
      <c r="H48" s="1" t="str">
        <f t="shared" si="1"/>
        <v/>
      </c>
      <c r="I48" s="1" t="str">
        <f t="shared" si="2"/>
        <v/>
      </c>
      <c r="J48" s="1" t="str">
        <f t="shared" si="3"/>
        <v/>
      </c>
      <c r="K48" s="13" t="str">
        <f t="shared" si="4"/>
        <v/>
      </c>
      <c r="L48" s="9" t="str">
        <f t="shared" si="5"/>
        <v/>
      </c>
      <c r="M48" s="1" t="str">
        <f t="shared" si="6"/>
        <v/>
      </c>
      <c r="N48" s="1" t="str">
        <f t="shared" si="7"/>
        <v/>
      </c>
      <c r="O48" s="1" t="str">
        <f t="shared" si="8"/>
        <v/>
      </c>
      <c r="P48" s="1" t="str">
        <f t="shared" si="9"/>
        <v/>
      </c>
      <c r="Q48" s="1" t="str">
        <f t="shared" si="10"/>
        <v/>
      </c>
      <c r="R48" s="1" t="str">
        <f t="shared" si="11"/>
        <v/>
      </c>
      <c r="S48" s="1" t="str">
        <f t="shared" si="12"/>
        <v/>
      </c>
      <c r="T48" s="1" t="str">
        <f t="shared" si="13"/>
        <v/>
      </c>
      <c r="U48" s="1" t="str">
        <f t="shared" si="14"/>
        <v/>
      </c>
      <c r="V48" s="1" t="str">
        <f t="shared" si="15"/>
        <v/>
      </c>
      <c r="W48" s="26" t="str">
        <f t="shared" si="16"/>
        <v/>
      </c>
      <c r="X48" s="13" t="str">
        <f t="shared" si="17"/>
        <v/>
      </c>
      <c r="Y48" s="9">
        <f t="shared" si="18"/>
        <v>0</v>
      </c>
    </row>
    <row r="49" spans="1:25" x14ac:dyDescent="0.25">
      <c r="A49" s="28"/>
      <c r="B49" s="29"/>
      <c r="C49" s="30"/>
      <c r="D49" s="31"/>
      <c r="E49" s="29" t="s">
        <v>16</v>
      </c>
      <c r="F49" s="13" t="b">
        <f>IF($E49=Categories!$A$1,"",IF($E49=Categories!$A$2,Categories!$B$2,IF($E49=Categories!$A$3,Categories!$B$3,IF($E49=Categories!$A$4,Categories!$B$4,IF($E49=Categories!$A$5,Categories!$B$5,IF($E49=Categories!$A$6,Categories!$B$6,IF($E49=Categories!$A$7,Categories!$B$7,IF($E49=Categories!$A$8,Categories!$B$8,IF($E49=Categories!$A$9,Categories!$B$9,IF($E49=Categories!$A$10,Categories!$B$10,IF($E49=Categories!$A$11,Categories!$B$11,IF($E49=Categories!$A$12,Categories!$B$12,IF($E49=Categories!$A$13,Categories!$B$13,IF($E49=Categories!$A$14,Categories!$B$14,IF($E49=Categories!$A$15,Categories!$B$15,IF($E49=Categories!$A$16,Categories!$B$16,IF($E49=Categories!$A$17,Categories!$B$17,IF($E49=Categories!$A$18,Categories!$B$18,IF($E49=Categories!$A$19,Categories!$B$19)))))))))))))))))))</f>
        <v>0</v>
      </c>
      <c r="G49" s="9" t="str">
        <f t="shared" si="0"/>
        <v/>
      </c>
      <c r="H49" s="1" t="str">
        <f t="shared" si="1"/>
        <v/>
      </c>
      <c r="I49" s="1" t="str">
        <f t="shared" si="2"/>
        <v/>
      </c>
      <c r="J49" s="1" t="str">
        <f t="shared" si="3"/>
        <v/>
      </c>
      <c r="K49" s="13" t="str">
        <f t="shared" si="4"/>
        <v/>
      </c>
      <c r="L49" s="9" t="str">
        <f t="shared" si="5"/>
        <v/>
      </c>
      <c r="M49" s="1" t="str">
        <f t="shared" si="6"/>
        <v/>
      </c>
      <c r="N49" s="1" t="str">
        <f t="shared" si="7"/>
        <v/>
      </c>
      <c r="O49" s="1" t="str">
        <f t="shared" si="8"/>
        <v/>
      </c>
      <c r="P49" s="1" t="str">
        <f t="shared" si="9"/>
        <v/>
      </c>
      <c r="Q49" s="1" t="str">
        <f t="shared" si="10"/>
        <v/>
      </c>
      <c r="R49" s="1" t="str">
        <f t="shared" si="11"/>
        <v/>
      </c>
      <c r="S49" s="1" t="str">
        <f t="shared" si="12"/>
        <v/>
      </c>
      <c r="T49" s="1" t="str">
        <f t="shared" si="13"/>
        <v/>
      </c>
      <c r="U49" s="1" t="str">
        <f t="shared" si="14"/>
        <v/>
      </c>
      <c r="V49" s="1" t="str">
        <f t="shared" si="15"/>
        <v/>
      </c>
      <c r="W49" s="26" t="str">
        <f t="shared" si="16"/>
        <v/>
      </c>
      <c r="X49" s="13" t="str">
        <f t="shared" si="17"/>
        <v/>
      </c>
      <c r="Y49" s="9">
        <f t="shared" si="18"/>
        <v>0</v>
      </c>
    </row>
    <row r="50" spans="1:25" x14ac:dyDescent="0.25">
      <c r="A50" s="28"/>
      <c r="B50" s="29"/>
      <c r="C50" s="30"/>
      <c r="D50" s="31"/>
      <c r="E50" s="29" t="s">
        <v>16</v>
      </c>
      <c r="F50" s="13" t="b">
        <f>IF($E50=Categories!$A$1,"",IF($E50=Categories!$A$2,Categories!$B$2,IF($E50=Categories!$A$3,Categories!$B$3,IF($E50=Categories!$A$4,Categories!$B$4,IF($E50=Categories!$A$5,Categories!$B$5,IF($E50=Categories!$A$6,Categories!$B$6,IF($E50=Categories!$A$7,Categories!$B$7,IF($E50=Categories!$A$8,Categories!$B$8,IF($E50=Categories!$A$9,Categories!$B$9,IF($E50=Categories!$A$10,Categories!$B$10,IF($E50=Categories!$A$11,Categories!$B$11,IF($E50=Categories!$A$12,Categories!$B$12,IF($E50=Categories!$A$13,Categories!$B$13,IF($E50=Categories!$A$14,Categories!$B$14,IF($E50=Categories!$A$15,Categories!$B$15,IF($E50=Categories!$A$16,Categories!$B$16,IF($E50=Categories!$A$17,Categories!$B$17,IF($E50=Categories!$A$18,Categories!$B$18,IF($E50=Categories!$A$19,Categories!$B$19)))))))))))))))))))</f>
        <v>0</v>
      </c>
      <c r="G50" s="9" t="str">
        <f t="shared" si="0"/>
        <v/>
      </c>
      <c r="H50" s="1" t="str">
        <f t="shared" si="1"/>
        <v/>
      </c>
      <c r="I50" s="1" t="str">
        <f t="shared" si="2"/>
        <v/>
      </c>
      <c r="J50" s="1" t="str">
        <f t="shared" si="3"/>
        <v/>
      </c>
      <c r="K50" s="13" t="str">
        <f t="shared" si="4"/>
        <v/>
      </c>
      <c r="L50" s="9" t="str">
        <f t="shared" si="5"/>
        <v/>
      </c>
      <c r="M50" s="1" t="str">
        <f t="shared" si="6"/>
        <v/>
      </c>
      <c r="N50" s="1" t="str">
        <f t="shared" si="7"/>
        <v/>
      </c>
      <c r="O50" s="1" t="str">
        <f t="shared" si="8"/>
        <v/>
      </c>
      <c r="P50" s="1" t="str">
        <f t="shared" si="9"/>
        <v/>
      </c>
      <c r="Q50" s="1" t="str">
        <f t="shared" si="10"/>
        <v/>
      </c>
      <c r="R50" s="1" t="str">
        <f t="shared" si="11"/>
        <v/>
      </c>
      <c r="S50" s="1" t="str">
        <f t="shared" si="12"/>
        <v/>
      </c>
      <c r="T50" s="1" t="str">
        <f t="shared" si="13"/>
        <v/>
      </c>
      <c r="U50" s="1" t="str">
        <f t="shared" si="14"/>
        <v/>
      </c>
      <c r="V50" s="1" t="str">
        <f t="shared" si="15"/>
        <v/>
      </c>
      <c r="W50" s="26" t="str">
        <f t="shared" si="16"/>
        <v/>
      </c>
      <c r="X50" s="13" t="str">
        <f t="shared" si="17"/>
        <v/>
      </c>
      <c r="Y50" s="9">
        <f t="shared" si="18"/>
        <v>0</v>
      </c>
    </row>
    <row r="51" spans="1:25" x14ac:dyDescent="0.25">
      <c r="A51" s="28"/>
      <c r="B51" s="29"/>
      <c r="C51" s="30"/>
      <c r="D51" s="31"/>
      <c r="E51" s="29" t="s">
        <v>16</v>
      </c>
      <c r="F51" s="13" t="b">
        <f>IF($E51=Categories!$A$1,"",IF($E51=Categories!$A$2,Categories!$B$2,IF($E51=Categories!$A$3,Categories!$B$3,IF($E51=Categories!$A$4,Categories!$B$4,IF($E51=Categories!$A$5,Categories!$B$5,IF($E51=Categories!$A$6,Categories!$B$6,IF($E51=Categories!$A$7,Categories!$B$7,IF($E51=Categories!$A$8,Categories!$B$8,IF($E51=Categories!$A$9,Categories!$B$9,IF($E51=Categories!$A$10,Categories!$B$10,IF($E51=Categories!$A$11,Categories!$B$11,IF($E51=Categories!$A$12,Categories!$B$12,IF($E51=Categories!$A$13,Categories!$B$13,IF($E51=Categories!$A$14,Categories!$B$14,IF($E51=Categories!$A$15,Categories!$B$15,IF($E51=Categories!$A$16,Categories!$B$16,IF($E51=Categories!$A$17,Categories!$B$17,IF($E51=Categories!$A$18,Categories!$B$18,IF($E51=Categories!$A$19,Categories!$B$19)))))))))))))))))))</f>
        <v>0</v>
      </c>
      <c r="G51" s="9" t="str">
        <f t="shared" si="0"/>
        <v/>
      </c>
      <c r="H51" s="1" t="str">
        <f t="shared" si="1"/>
        <v/>
      </c>
      <c r="I51" s="1" t="str">
        <f t="shared" si="2"/>
        <v/>
      </c>
      <c r="J51" s="1" t="str">
        <f t="shared" si="3"/>
        <v/>
      </c>
      <c r="K51" s="13" t="str">
        <f t="shared" si="4"/>
        <v/>
      </c>
      <c r="L51" s="9" t="str">
        <f t="shared" si="5"/>
        <v/>
      </c>
      <c r="M51" s="1" t="str">
        <f t="shared" si="6"/>
        <v/>
      </c>
      <c r="N51" s="1" t="str">
        <f t="shared" si="7"/>
        <v/>
      </c>
      <c r="O51" s="1" t="str">
        <f t="shared" si="8"/>
        <v/>
      </c>
      <c r="P51" s="1" t="str">
        <f t="shared" si="9"/>
        <v/>
      </c>
      <c r="Q51" s="1" t="str">
        <f t="shared" si="10"/>
        <v/>
      </c>
      <c r="R51" s="1" t="str">
        <f t="shared" si="11"/>
        <v/>
      </c>
      <c r="S51" s="1" t="str">
        <f t="shared" si="12"/>
        <v/>
      </c>
      <c r="T51" s="1" t="str">
        <f t="shared" si="13"/>
        <v/>
      </c>
      <c r="U51" s="1" t="str">
        <f t="shared" si="14"/>
        <v/>
      </c>
      <c r="V51" s="1" t="str">
        <f t="shared" si="15"/>
        <v/>
      </c>
      <c r="W51" s="26" t="str">
        <f t="shared" si="16"/>
        <v/>
      </c>
      <c r="X51" s="13" t="str">
        <f t="shared" si="17"/>
        <v/>
      </c>
      <c r="Y51" s="9">
        <f t="shared" si="18"/>
        <v>0</v>
      </c>
    </row>
    <row r="52" spans="1:25" x14ac:dyDescent="0.25">
      <c r="A52" s="28"/>
      <c r="B52" s="29"/>
      <c r="C52" s="30"/>
      <c r="D52" s="31"/>
      <c r="E52" s="29" t="s">
        <v>16</v>
      </c>
      <c r="F52" s="13" t="b">
        <f>IF($E52=Categories!$A$1,"",IF($E52=Categories!$A$2,Categories!$B$2,IF($E52=Categories!$A$3,Categories!$B$3,IF($E52=Categories!$A$4,Categories!$B$4,IF($E52=Categories!$A$5,Categories!$B$5,IF($E52=Categories!$A$6,Categories!$B$6,IF($E52=Categories!$A$7,Categories!$B$7,IF($E52=Categories!$A$8,Categories!$B$8,IF($E52=Categories!$A$9,Categories!$B$9,IF($E52=Categories!$A$10,Categories!$B$10,IF($E52=Categories!$A$11,Categories!$B$11,IF($E52=Categories!$A$12,Categories!$B$12,IF($E52=Categories!$A$13,Categories!$B$13,IF($E52=Categories!$A$14,Categories!$B$14,IF($E52=Categories!$A$15,Categories!$B$15,IF($E52=Categories!$A$16,Categories!$B$16,IF($E52=Categories!$A$17,Categories!$B$17,IF($E52=Categories!$A$18,Categories!$B$18,IF($E52=Categories!$A$19,Categories!$B$19)))))))))))))))))))</f>
        <v>0</v>
      </c>
      <c r="G52" s="9" t="str">
        <f t="shared" si="0"/>
        <v/>
      </c>
      <c r="H52" s="1" t="str">
        <f t="shared" si="1"/>
        <v/>
      </c>
      <c r="I52" s="1" t="str">
        <f t="shared" si="2"/>
        <v/>
      </c>
      <c r="J52" s="1" t="str">
        <f t="shared" si="3"/>
        <v/>
      </c>
      <c r="K52" s="13" t="str">
        <f t="shared" si="4"/>
        <v/>
      </c>
      <c r="L52" s="9" t="str">
        <f t="shared" si="5"/>
        <v/>
      </c>
      <c r="M52" s="1" t="str">
        <f t="shared" si="6"/>
        <v/>
      </c>
      <c r="N52" s="1" t="str">
        <f t="shared" si="7"/>
        <v/>
      </c>
      <c r="O52" s="1" t="str">
        <f t="shared" si="8"/>
        <v/>
      </c>
      <c r="P52" s="1" t="str">
        <f t="shared" si="9"/>
        <v/>
      </c>
      <c r="Q52" s="1" t="str">
        <f t="shared" si="10"/>
        <v/>
      </c>
      <c r="R52" s="1" t="str">
        <f t="shared" si="11"/>
        <v/>
      </c>
      <c r="S52" s="1" t="str">
        <f t="shared" si="12"/>
        <v/>
      </c>
      <c r="T52" s="1" t="str">
        <f t="shared" si="13"/>
        <v/>
      </c>
      <c r="U52" s="1" t="str">
        <f t="shared" si="14"/>
        <v/>
      </c>
      <c r="V52" s="1" t="str">
        <f t="shared" si="15"/>
        <v/>
      </c>
      <c r="W52" s="26" t="str">
        <f t="shared" si="16"/>
        <v/>
      </c>
      <c r="X52" s="13" t="str">
        <f t="shared" si="17"/>
        <v/>
      </c>
      <c r="Y52" s="9">
        <f t="shared" si="18"/>
        <v>0</v>
      </c>
    </row>
    <row r="53" spans="1:25" x14ac:dyDescent="0.25">
      <c r="A53" s="28"/>
      <c r="B53" s="29"/>
      <c r="C53" s="30"/>
      <c r="D53" s="31"/>
      <c r="E53" s="29" t="s">
        <v>16</v>
      </c>
      <c r="F53" s="13" t="b">
        <f>IF($E53=Categories!$A$1,"",IF($E53=Categories!$A$2,Categories!$B$2,IF($E53=Categories!$A$3,Categories!$B$3,IF($E53=Categories!$A$4,Categories!$B$4,IF($E53=Categories!$A$5,Categories!$B$5,IF($E53=Categories!$A$6,Categories!$B$6,IF($E53=Categories!$A$7,Categories!$B$7,IF($E53=Categories!$A$8,Categories!$B$8,IF($E53=Categories!$A$9,Categories!$B$9,IF($E53=Categories!$A$10,Categories!$B$10,IF($E53=Categories!$A$11,Categories!$B$11,IF($E53=Categories!$A$12,Categories!$B$12,IF($E53=Categories!$A$13,Categories!$B$13,IF($E53=Categories!$A$14,Categories!$B$14,IF($E53=Categories!$A$15,Categories!$B$15,IF($E53=Categories!$A$16,Categories!$B$16,IF($E53=Categories!$A$17,Categories!$B$17,IF($E53=Categories!$A$18,Categories!$B$18,IF($E53=Categories!$A$19,Categories!$B$19)))))))))))))))))))</f>
        <v>0</v>
      </c>
      <c r="G53" s="9" t="str">
        <f t="shared" si="0"/>
        <v/>
      </c>
      <c r="H53" s="1" t="str">
        <f t="shared" si="1"/>
        <v/>
      </c>
      <c r="I53" s="1" t="str">
        <f t="shared" si="2"/>
        <v/>
      </c>
      <c r="J53" s="1" t="str">
        <f t="shared" si="3"/>
        <v/>
      </c>
      <c r="K53" s="13" t="str">
        <f t="shared" si="4"/>
        <v/>
      </c>
      <c r="L53" s="9" t="str">
        <f t="shared" si="5"/>
        <v/>
      </c>
      <c r="M53" s="1" t="str">
        <f t="shared" si="6"/>
        <v/>
      </c>
      <c r="N53" s="1" t="str">
        <f t="shared" si="7"/>
        <v/>
      </c>
      <c r="O53" s="1" t="str">
        <f t="shared" si="8"/>
        <v/>
      </c>
      <c r="P53" s="1" t="str">
        <f t="shared" si="9"/>
        <v/>
      </c>
      <c r="Q53" s="1" t="str">
        <f t="shared" si="10"/>
        <v/>
      </c>
      <c r="R53" s="1" t="str">
        <f t="shared" si="11"/>
        <v/>
      </c>
      <c r="S53" s="1" t="str">
        <f t="shared" si="12"/>
        <v/>
      </c>
      <c r="T53" s="1" t="str">
        <f t="shared" si="13"/>
        <v/>
      </c>
      <c r="U53" s="1" t="str">
        <f t="shared" si="14"/>
        <v/>
      </c>
      <c r="V53" s="1" t="str">
        <f t="shared" si="15"/>
        <v/>
      </c>
      <c r="W53" s="26" t="str">
        <f t="shared" si="16"/>
        <v/>
      </c>
      <c r="X53" s="13" t="str">
        <f t="shared" si="17"/>
        <v/>
      </c>
      <c r="Y53" s="9">
        <f t="shared" si="18"/>
        <v>0</v>
      </c>
    </row>
    <row r="54" spans="1:25" x14ac:dyDescent="0.25">
      <c r="A54" s="28"/>
      <c r="B54" s="29"/>
      <c r="C54" s="30"/>
      <c r="D54" s="31"/>
      <c r="E54" s="29" t="s">
        <v>16</v>
      </c>
      <c r="F54" s="13" t="b">
        <f>IF($E54=Categories!$A$1,"",IF($E54=Categories!$A$2,Categories!$B$2,IF($E54=Categories!$A$3,Categories!$B$3,IF($E54=Categories!$A$4,Categories!$B$4,IF($E54=Categories!$A$5,Categories!$B$5,IF($E54=Categories!$A$6,Categories!$B$6,IF($E54=Categories!$A$7,Categories!$B$7,IF($E54=Categories!$A$8,Categories!$B$8,IF($E54=Categories!$A$9,Categories!$B$9,IF($E54=Categories!$A$10,Categories!$B$10,IF($E54=Categories!$A$11,Categories!$B$11,IF($E54=Categories!$A$12,Categories!$B$12,IF($E54=Categories!$A$13,Categories!$B$13,IF($E54=Categories!$A$14,Categories!$B$14,IF($E54=Categories!$A$15,Categories!$B$15,IF($E54=Categories!$A$16,Categories!$B$16,IF($E54=Categories!$A$17,Categories!$B$17,IF($E54=Categories!$A$18,Categories!$B$18,IF($E54=Categories!$A$19,Categories!$B$19)))))))))))))))))))</f>
        <v>0</v>
      </c>
      <c r="G54" s="9" t="str">
        <f t="shared" si="0"/>
        <v/>
      </c>
      <c r="H54" s="1" t="str">
        <f t="shared" si="1"/>
        <v/>
      </c>
      <c r="I54" s="1" t="str">
        <f t="shared" si="2"/>
        <v/>
      </c>
      <c r="J54" s="1" t="str">
        <f t="shared" si="3"/>
        <v/>
      </c>
      <c r="K54" s="13" t="str">
        <f t="shared" si="4"/>
        <v/>
      </c>
      <c r="L54" s="9" t="str">
        <f t="shared" si="5"/>
        <v/>
      </c>
      <c r="M54" s="1" t="str">
        <f t="shared" si="6"/>
        <v/>
      </c>
      <c r="N54" s="1" t="str">
        <f t="shared" si="7"/>
        <v/>
      </c>
      <c r="O54" s="1" t="str">
        <f t="shared" si="8"/>
        <v/>
      </c>
      <c r="P54" s="1" t="str">
        <f t="shared" si="9"/>
        <v/>
      </c>
      <c r="Q54" s="1" t="str">
        <f t="shared" si="10"/>
        <v/>
      </c>
      <c r="R54" s="1" t="str">
        <f t="shared" si="11"/>
        <v/>
      </c>
      <c r="S54" s="1" t="str">
        <f t="shared" si="12"/>
        <v/>
      </c>
      <c r="T54" s="1" t="str">
        <f t="shared" si="13"/>
        <v/>
      </c>
      <c r="U54" s="1" t="str">
        <f t="shared" si="14"/>
        <v/>
      </c>
      <c r="V54" s="1" t="str">
        <f t="shared" si="15"/>
        <v/>
      </c>
      <c r="W54" s="26" t="str">
        <f t="shared" si="16"/>
        <v/>
      </c>
      <c r="X54" s="13" t="str">
        <f t="shared" si="17"/>
        <v/>
      </c>
      <c r="Y54" s="9">
        <f t="shared" si="18"/>
        <v>0</v>
      </c>
    </row>
    <row r="55" spans="1:25" x14ac:dyDescent="0.25">
      <c r="A55" s="28"/>
      <c r="B55" s="29"/>
      <c r="C55" s="30"/>
      <c r="D55" s="31"/>
      <c r="E55" s="29" t="s">
        <v>16</v>
      </c>
      <c r="F55" s="13" t="b">
        <f>IF($E55=Categories!$A$1,"",IF($E55=Categories!$A$2,Categories!$B$2,IF($E55=Categories!$A$3,Categories!$B$3,IF($E55=Categories!$A$4,Categories!$B$4,IF($E55=Categories!$A$5,Categories!$B$5,IF($E55=Categories!$A$6,Categories!$B$6,IF($E55=Categories!$A$7,Categories!$B$7,IF($E55=Categories!$A$8,Categories!$B$8,IF($E55=Categories!$A$9,Categories!$B$9,IF($E55=Categories!$A$10,Categories!$B$10,IF($E55=Categories!$A$11,Categories!$B$11,IF($E55=Categories!$A$12,Categories!$B$12,IF($E55=Categories!$A$13,Categories!$B$13,IF($E55=Categories!$A$14,Categories!$B$14,IF($E55=Categories!$A$15,Categories!$B$15,IF($E55=Categories!$A$16,Categories!$B$16,IF($E55=Categories!$A$17,Categories!$B$17,IF($E55=Categories!$A$18,Categories!$B$18,IF($E55=Categories!$A$19,Categories!$B$19)))))))))))))))))))</f>
        <v>0</v>
      </c>
      <c r="G55" s="9" t="str">
        <f t="shared" si="0"/>
        <v/>
      </c>
      <c r="H55" s="1" t="str">
        <f t="shared" si="1"/>
        <v/>
      </c>
      <c r="I55" s="1" t="str">
        <f t="shared" si="2"/>
        <v/>
      </c>
      <c r="J55" s="1" t="str">
        <f t="shared" si="3"/>
        <v/>
      </c>
      <c r="K55" s="13" t="str">
        <f t="shared" si="4"/>
        <v/>
      </c>
      <c r="L55" s="9" t="str">
        <f t="shared" si="5"/>
        <v/>
      </c>
      <c r="M55" s="1" t="str">
        <f t="shared" si="6"/>
        <v/>
      </c>
      <c r="N55" s="1" t="str">
        <f t="shared" si="7"/>
        <v/>
      </c>
      <c r="O55" s="1" t="str">
        <f t="shared" si="8"/>
        <v/>
      </c>
      <c r="P55" s="1" t="str">
        <f t="shared" si="9"/>
        <v/>
      </c>
      <c r="Q55" s="1" t="str">
        <f t="shared" si="10"/>
        <v/>
      </c>
      <c r="R55" s="1" t="str">
        <f t="shared" si="11"/>
        <v/>
      </c>
      <c r="S55" s="1" t="str">
        <f t="shared" si="12"/>
        <v/>
      </c>
      <c r="T55" s="1" t="str">
        <f t="shared" si="13"/>
        <v/>
      </c>
      <c r="U55" s="1" t="str">
        <f t="shared" si="14"/>
        <v/>
      </c>
      <c r="V55" s="1" t="str">
        <f t="shared" si="15"/>
        <v/>
      </c>
      <c r="W55" s="26" t="str">
        <f t="shared" si="16"/>
        <v/>
      </c>
      <c r="X55" s="13" t="str">
        <f t="shared" si="17"/>
        <v/>
      </c>
      <c r="Y55" s="9">
        <f t="shared" si="18"/>
        <v>0</v>
      </c>
    </row>
    <row r="56" spans="1:25" x14ac:dyDescent="0.25">
      <c r="A56" s="28"/>
      <c r="B56" s="29"/>
      <c r="C56" s="30"/>
      <c r="D56" s="31"/>
      <c r="E56" s="29" t="s">
        <v>16</v>
      </c>
      <c r="F56" s="13" t="b">
        <f>IF($E56=Categories!$A$1,"",IF($E56=Categories!$A$2,Categories!$B$2,IF($E56=Categories!$A$3,Categories!$B$3,IF($E56=Categories!$A$4,Categories!$B$4,IF($E56=Categories!$A$5,Categories!$B$5,IF($E56=Categories!$A$6,Categories!$B$6,IF($E56=Categories!$A$7,Categories!$B$7,IF($E56=Categories!$A$8,Categories!$B$8,IF($E56=Categories!$A$9,Categories!$B$9,IF($E56=Categories!$A$10,Categories!$B$10,IF($E56=Categories!$A$11,Categories!$B$11,IF($E56=Categories!$A$12,Categories!$B$12,IF($E56=Categories!$A$13,Categories!$B$13,IF($E56=Categories!$A$14,Categories!$B$14,IF($E56=Categories!$A$15,Categories!$B$15,IF($E56=Categories!$A$16,Categories!$B$16,IF($E56=Categories!$A$17,Categories!$B$17,IF($E56=Categories!$A$18,Categories!$B$18,IF($E56=Categories!$A$19,Categories!$B$19)))))))))))))))))))</f>
        <v>0</v>
      </c>
      <c r="G56" s="9" t="str">
        <f t="shared" si="0"/>
        <v/>
      </c>
      <c r="H56" s="1" t="str">
        <f t="shared" si="1"/>
        <v/>
      </c>
      <c r="I56" s="1" t="str">
        <f t="shared" si="2"/>
        <v/>
      </c>
      <c r="J56" s="1" t="str">
        <f t="shared" si="3"/>
        <v/>
      </c>
      <c r="K56" s="13" t="str">
        <f t="shared" si="4"/>
        <v/>
      </c>
      <c r="L56" s="9" t="str">
        <f t="shared" si="5"/>
        <v/>
      </c>
      <c r="M56" s="1" t="str">
        <f t="shared" si="6"/>
        <v/>
      </c>
      <c r="N56" s="1" t="str">
        <f t="shared" si="7"/>
        <v/>
      </c>
      <c r="O56" s="1" t="str">
        <f t="shared" si="8"/>
        <v/>
      </c>
      <c r="P56" s="1" t="str">
        <f t="shared" si="9"/>
        <v/>
      </c>
      <c r="Q56" s="1" t="str">
        <f t="shared" si="10"/>
        <v/>
      </c>
      <c r="R56" s="1" t="str">
        <f t="shared" si="11"/>
        <v/>
      </c>
      <c r="S56" s="1" t="str">
        <f t="shared" si="12"/>
        <v/>
      </c>
      <c r="T56" s="1" t="str">
        <f t="shared" si="13"/>
        <v/>
      </c>
      <c r="U56" s="1" t="str">
        <f t="shared" si="14"/>
        <v/>
      </c>
      <c r="V56" s="1" t="str">
        <f t="shared" si="15"/>
        <v/>
      </c>
      <c r="W56" s="26" t="str">
        <f t="shared" si="16"/>
        <v/>
      </c>
      <c r="X56" s="13" t="str">
        <f t="shared" si="17"/>
        <v/>
      </c>
      <c r="Y56" s="9">
        <f t="shared" si="18"/>
        <v>0</v>
      </c>
    </row>
    <row r="57" spans="1:25" x14ac:dyDescent="0.25">
      <c r="A57" s="28"/>
      <c r="B57" s="29"/>
      <c r="C57" s="30"/>
      <c r="D57" s="31"/>
      <c r="E57" s="29" t="s">
        <v>16</v>
      </c>
      <c r="F57" s="13" t="b">
        <f>IF($E57=Categories!$A$1,"",IF($E57=Categories!$A$2,Categories!$B$2,IF($E57=Categories!$A$3,Categories!$B$3,IF($E57=Categories!$A$4,Categories!$B$4,IF($E57=Categories!$A$5,Categories!$B$5,IF($E57=Categories!$A$6,Categories!$B$6,IF($E57=Categories!$A$7,Categories!$B$7,IF($E57=Categories!$A$8,Categories!$B$8,IF($E57=Categories!$A$9,Categories!$B$9,IF($E57=Categories!$A$10,Categories!$B$10,IF($E57=Categories!$A$11,Categories!$B$11,IF($E57=Categories!$A$12,Categories!$B$12,IF($E57=Categories!$A$13,Categories!$B$13,IF($E57=Categories!$A$14,Categories!$B$14,IF($E57=Categories!$A$15,Categories!$B$15,IF($E57=Categories!$A$16,Categories!$B$16,IF($E57=Categories!$A$17,Categories!$B$17,IF($E57=Categories!$A$18,Categories!$B$18,IF($E57=Categories!$A$19,Categories!$B$19)))))))))))))))))))</f>
        <v>0</v>
      </c>
      <c r="G57" s="9" t="str">
        <f t="shared" si="0"/>
        <v/>
      </c>
      <c r="H57" s="1" t="str">
        <f t="shared" si="1"/>
        <v/>
      </c>
      <c r="I57" s="1" t="str">
        <f t="shared" si="2"/>
        <v/>
      </c>
      <c r="J57" s="1" t="str">
        <f t="shared" si="3"/>
        <v/>
      </c>
      <c r="K57" s="13" t="str">
        <f t="shared" si="4"/>
        <v/>
      </c>
      <c r="L57" s="9" t="str">
        <f t="shared" si="5"/>
        <v/>
      </c>
      <c r="M57" s="1" t="str">
        <f t="shared" si="6"/>
        <v/>
      </c>
      <c r="N57" s="1" t="str">
        <f t="shared" si="7"/>
        <v/>
      </c>
      <c r="O57" s="1" t="str">
        <f t="shared" si="8"/>
        <v/>
      </c>
      <c r="P57" s="1" t="str">
        <f t="shared" si="9"/>
        <v/>
      </c>
      <c r="Q57" s="1" t="str">
        <f t="shared" si="10"/>
        <v/>
      </c>
      <c r="R57" s="1" t="str">
        <f t="shared" si="11"/>
        <v/>
      </c>
      <c r="S57" s="1" t="str">
        <f t="shared" si="12"/>
        <v/>
      </c>
      <c r="T57" s="1" t="str">
        <f t="shared" si="13"/>
        <v/>
      </c>
      <c r="U57" s="1" t="str">
        <f t="shared" si="14"/>
        <v/>
      </c>
      <c r="V57" s="1" t="str">
        <f t="shared" si="15"/>
        <v/>
      </c>
      <c r="W57" s="26" t="str">
        <f t="shared" si="16"/>
        <v/>
      </c>
      <c r="X57" s="13" t="str">
        <f t="shared" si="17"/>
        <v/>
      </c>
      <c r="Y57" s="9">
        <f t="shared" si="18"/>
        <v>0</v>
      </c>
    </row>
    <row r="58" spans="1:25" x14ac:dyDescent="0.25">
      <c r="A58" s="28"/>
      <c r="B58" s="29"/>
      <c r="C58" s="30"/>
      <c r="D58" s="31"/>
      <c r="E58" s="29" t="s">
        <v>16</v>
      </c>
      <c r="F58" s="13" t="b">
        <f>IF($E58=Categories!$A$1,"",IF($E58=Categories!$A$2,Categories!$B$2,IF($E58=Categories!$A$3,Categories!$B$3,IF($E58=Categories!$A$4,Categories!$B$4,IF($E58=Categories!$A$5,Categories!$B$5,IF($E58=Categories!$A$6,Categories!$B$6,IF($E58=Categories!$A$7,Categories!$B$7,IF($E58=Categories!$A$8,Categories!$B$8,IF($E58=Categories!$A$9,Categories!$B$9,IF($E58=Categories!$A$10,Categories!$B$10,IF($E58=Categories!$A$11,Categories!$B$11,IF($E58=Categories!$A$12,Categories!$B$12,IF($E58=Categories!$A$13,Categories!$B$13,IF($E58=Categories!$A$14,Categories!$B$14,IF($E58=Categories!$A$15,Categories!$B$15,IF($E58=Categories!$A$16,Categories!$B$16,IF($E58=Categories!$A$17,Categories!$B$17,IF($E58=Categories!$A$18,Categories!$B$18,IF($E58=Categories!$A$19,Categories!$B$19)))))))))))))))))))</f>
        <v>0</v>
      </c>
      <c r="G58" s="9" t="str">
        <f t="shared" si="0"/>
        <v/>
      </c>
      <c r="H58" s="1" t="str">
        <f t="shared" si="1"/>
        <v/>
      </c>
      <c r="I58" s="1" t="str">
        <f t="shared" si="2"/>
        <v/>
      </c>
      <c r="J58" s="1" t="str">
        <f t="shared" si="3"/>
        <v/>
      </c>
      <c r="K58" s="13" t="str">
        <f t="shared" si="4"/>
        <v/>
      </c>
      <c r="L58" s="9" t="str">
        <f t="shared" si="5"/>
        <v/>
      </c>
      <c r="M58" s="1" t="str">
        <f t="shared" si="6"/>
        <v/>
      </c>
      <c r="N58" s="1" t="str">
        <f t="shared" si="7"/>
        <v/>
      </c>
      <c r="O58" s="1" t="str">
        <f t="shared" si="8"/>
        <v/>
      </c>
      <c r="P58" s="1" t="str">
        <f t="shared" si="9"/>
        <v/>
      </c>
      <c r="Q58" s="1" t="str">
        <f t="shared" si="10"/>
        <v/>
      </c>
      <c r="R58" s="1" t="str">
        <f t="shared" si="11"/>
        <v/>
      </c>
      <c r="S58" s="1" t="str">
        <f t="shared" si="12"/>
        <v/>
      </c>
      <c r="T58" s="1" t="str">
        <f t="shared" si="13"/>
        <v/>
      </c>
      <c r="U58" s="1" t="str">
        <f t="shared" si="14"/>
        <v/>
      </c>
      <c r="V58" s="1" t="str">
        <f t="shared" si="15"/>
        <v/>
      </c>
      <c r="W58" s="26" t="str">
        <f t="shared" si="16"/>
        <v/>
      </c>
      <c r="X58" s="13" t="str">
        <f t="shared" si="17"/>
        <v/>
      </c>
      <c r="Y58" s="9">
        <f t="shared" si="18"/>
        <v>0</v>
      </c>
    </row>
    <row r="59" spans="1:25" x14ac:dyDescent="0.25">
      <c r="A59" s="28"/>
      <c r="B59" s="29"/>
      <c r="C59" s="30"/>
      <c r="D59" s="31"/>
      <c r="E59" s="29" t="s">
        <v>16</v>
      </c>
      <c r="F59" s="13" t="b">
        <f>IF($E59=Categories!$A$1,"",IF($E59=Categories!$A$2,Categories!$B$2,IF($E59=Categories!$A$3,Categories!$B$3,IF($E59=Categories!$A$4,Categories!$B$4,IF($E59=Categories!$A$5,Categories!$B$5,IF($E59=Categories!$A$6,Categories!$B$6,IF($E59=Categories!$A$7,Categories!$B$7,IF($E59=Categories!$A$8,Categories!$B$8,IF($E59=Categories!$A$9,Categories!$B$9,IF($E59=Categories!$A$10,Categories!$B$10,IF($E59=Categories!$A$11,Categories!$B$11,IF($E59=Categories!$A$12,Categories!$B$12,IF($E59=Categories!$A$13,Categories!$B$13,IF($E59=Categories!$A$14,Categories!$B$14,IF($E59=Categories!$A$15,Categories!$B$15,IF($E59=Categories!$A$16,Categories!$B$16,IF($E59=Categories!$A$17,Categories!$B$17,IF($E59=Categories!$A$18,Categories!$B$18,IF($E59=Categories!$A$19,Categories!$B$19)))))))))))))))))))</f>
        <v>0</v>
      </c>
      <c r="G59" s="9" t="str">
        <f t="shared" si="0"/>
        <v/>
      </c>
      <c r="H59" s="1" t="str">
        <f t="shared" si="1"/>
        <v/>
      </c>
      <c r="I59" s="1" t="str">
        <f t="shared" si="2"/>
        <v/>
      </c>
      <c r="J59" s="1" t="str">
        <f t="shared" si="3"/>
        <v/>
      </c>
      <c r="K59" s="13" t="str">
        <f t="shared" si="4"/>
        <v/>
      </c>
      <c r="L59" s="9" t="str">
        <f t="shared" si="5"/>
        <v/>
      </c>
      <c r="M59" s="1" t="str">
        <f t="shared" si="6"/>
        <v/>
      </c>
      <c r="N59" s="1" t="str">
        <f t="shared" si="7"/>
        <v/>
      </c>
      <c r="O59" s="1" t="str">
        <f t="shared" si="8"/>
        <v/>
      </c>
      <c r="P59" s="1" t="str">
        <f t="shared" si="9"/>
        <v/>
      </c>
      <c r="Q59" s="1" t="str">
        <f t="shared" si="10"/>
        <v/>
      </c>
      <c r="R59" s="1" t="str">
        <f t="shared" si="11"/>
        <v/>
      </c>
      <c r="S59" s="1" t="str">
        <f t="shared" si="12"/>
        <v/>
      </c>
      <c r="T59" s="1" t="str">
        <f t="shared" si="13"/>
        <v/>
      </c>
      <c r="U59" s="1" t="str">
        <f t="shared" si="14"/>
        <v/>
      </c>
      <c r="V59" s="1" t="str">
        <f t="shared" si="15"/>
        <v/>
      </c>
      <c r="W59" s="26" t="str">
        <f t="shared" si="16"/>
        <v/>
      </c>
      <c r="X59" s="13" t="str">
        <f t="shared" si="17"/>
        <v/>
      </c>
      <c r="Y59" s="9">
        <f t="shared" si="18"/>
        <v>0</v>
      </c>
    </row>
    <row r="60" spans="1:25" x14ac:dyDescent="0.25">
      <c r="A60" s="28"/>
      <c r="B60" s="29"/>
      <c r="C60" s="30"/>
      <c r="D60" s="31"/>
      <c r="E60" s="29" t="s">
        <v>16</v>
      </c>
      <c r="F60" s="13" t="b">
        <f>IF($E60=Categories!$A$1,"",IF($E60=Categories!$A$2,Categories!$B$2,IF($E60=Categories!$A$3,Categories!$B$3,IF($E60=Categories!$A$4,Categories!$B$4,IF($E60=Categories!$A$5,Categories!$B$5,IF($E60=Categories!$A$6,Categories!$B$6,IF($E60=Categories!$A$7,Categories!$B$7,IF($E60=Categories!$A$8,Categories!$B$8,IF($E60=Categories!$A$9,Categories!$B$9,IF($E60=Categories!$A$10,Categories!$B$10,IF($E60=Categories!$A$11,Categories!$B$11,IF($E60=Categories!$A$12,Categories!$B$12,IF($E60=Categories!$A$13,Categories!$B$13,IF($E60=Categories!$A$14,Categories!$B$14,IF($E60=Categories!$A$15,Categories!$B$15,IF($E60=Categories!$A$16,Categories!$B$16,IF($E60=Categories!$A$17,Categories!$B$17,IF($E60=Categories!$A$18,Categories!$B$18,IF($E60=Categories!$A$19,Categories!$B$19)))))))))))))))))))</f>
        <v>0</v>
      </c>
      <c r="G60" s="9" t="str">
        <f t="shared" si="0"/>
        <v/>
      </c>
      <c r="H60" s="1" t="str">
        <f t="shared" si="1"/>
        <v/>
      </c>
      <c r="I60" s="1" t="str">
        <f t="shared" si="2"/>
        <v/>
      </c>
      <c r="J60" s="1" t="str">
        <f t="shared" si="3"/>
        <v/>
      </c>
      <c r="K60" s="13" t="str">
        <f t="shared" si="4"/>
        <v/>
      </c>
      <c r="L60" s="9" t="str">
        <f t="shared" si="5"/>
        <v/>
      </c>
      <c r="M60" s="1" t="str">
        <f t="shared" si="6"/>
        <v/>
      </c>
      <c r="N60" s="1" t="str">
        <f t="shared" si="7"/>
        <v/>
      </c>
      <c r="O60" s="1" t="str">
        <f t="shared" si="8"/>
        <v/>
      </c>
      <c r="P60" s="1" t="str">
        <f t="shared" si="9"/>
        <v/>
      </c>
      <c r="Q60" s="1" t="str">
        <f t="shared" si="10"/>
        <v/>
      </c>
      <c r="R60" s="1" t="str">
        <f t="shared" si="11"/>
        <v/>
      </c>
      <c r="S60" s="1" t="str">
        <f t="shared" si="12"/>
        <v/>
      </c>
      <c r="T60" s="1" t="str">
        <f t="shared" si="13"/>
        <v/>
      </c>
      <c r="U60" s="1" t="str">
        <f t="shared" si="14"/>
        <v/>
      </c>
      <c r="V60" s="1" t="str">
        <f t="shared" si="15"/>
        <v/>
      </c>
      <c r="W60" s="26" t="str">
        <f t="shared" si="16"/>
        <v/>
      </c>
      <c r="X60" s="13" t="str">
        <f t="shared" si="17"/>
        <v/>
      </c>
      <c r="Y60" s="9">
        <f t="shared" si="18"/>
        <v>0</v>
      </c>
    </row>
    <row r="61" spans="1:25" x14ac:dyDescent="0.25">
      <c r="A61" s="28"/>
      <c r="B61" s="29"/>
      <c r="C61" s="30"/>
      <c r="D61" s="31"/>
      <c r="E61" s="29" t="s">
        <v>16</v>
      </c>
      <c r="F61" s="13" t="b">
        <f>IF($E61=Categories!$A$1,"",IF($E61=Categories!$A$2,Categories!$B$2,IF($E61=Categories!$A$3,Categories!$B$3,IF($E61=Categories!$A$4,Categories!$B$4,IF($E61=Categories!$A$5,Categories!$B$5,IF($E61=Categories!$A$6,Categories!$B$6,IF($E61=Categories!$A$7,Categories!$B$7,IF($E61=Categories!$A$8,Categories!$B$8,IF($E61=Categories!$A$9,Categories!$B$9,IF($E61=Categories!$A$10,Categories!$B$10,IF($E61=Categories!$A$11,Categories!$B$11,IF($E61=Categories!$A$12,Categories!$B$12,IF($E61=Categories!$A$13,Categories!$B$13,IF($E61=Categories!$A$14,Categories!$B$14,IF($E61=Categories!$A$15,Categories!$B$15,IF($E61=Categories!$A$16,Categories!$B$16,IF($E61=Categories!$A$17,Categories!$B$17,IF($E61=Categories!$A$18,Categories!$B$18,IF($E61=Categories!$A$19,Categories!$B$19)))))))))))))))))))</f>
        <v>0</v>
      </c>
      <c r="G61" s="9" t="str">
        <f t="shared" si="0"/>
        <v/>
      </c>
      <c r="H61" s="1" t="str">
        <f t="shared" si="1"/>
        <v/>
      </c>
      <c r="I61" s="1" t="str">
        <f t="shared" si="2"/>
        <v/>
      </c>
      <c r="J61" s="1" t="str">
        <f t="shared" si="3"/>
        <v/>
      </c>
      <c r="K61" s="13" t="str">
        <f t="shared" si="4"/>
        <v/>
      </c>
      <c r="L61" s="9" t="str">
        <f t="shared" si="5"/>
        <v/>
      </c>
      <c r="M61" s="1" t="str">
        <f t="shared" si="6"/>
        <v/>
      </c>
      <c r="N61" s="1" t="str">
        <f t="shared" si="7"/>
        <v/>
      </c>
      <c r="O61" s="1" t="str">
        <f t="shared" si="8"/>
        <v/>
      </c>
      <c r="P61" s="1" t="str">
        <f t="shared" si="9"/>
        <v/>
      </c>
      <c r="Q61" s="1" t="str">
        <f t="shared" si="10"/>
        <v/>
      </c>
      <c r="R61" s="1" t="str">
        <f t="shared" si="11"/>
        <v/>
      </c>
      <c r="S61" s="1" t="str">
        <f t="shared" si="12"/>
        <v/>
      </c>
      <c r="T61" s="1" t="str">
        <f t="shared" si="13"/>
        <v/>
      </c>
      <c r="U61" s="1" t="str">
        <f t="shared" si="14"/>
        <v/>
      </c>
      <c r="V61" s="1" t="str">
        <f t="shared" si="15"/>
        <v/>
      </c>
      <c r="W61" s="26" t="str">
        <f t="shared" si="16"/>
        <v/>
      </c>
      <c r="X61" s="13" t="str">
        <f t="shared" si="17"/>
        <v/>
      </c>
      <c r="Y61" s="9">
        <f t="shared" si="18"/>
        <v>0</v>
      </c>
    </row>
    <row r="62" spans="1:25" x14ac:dyDescent="0.25">
      <c r="A62" s="28"/>
      <c r="B62" s="29"/>
      <c r="C62" s="30"/>
      <c r="D62" s="31"/>
      <c r="E62" s="29" t="s">
        <v>16</v>
      </c>
      <c r="F62" s="13" t="b">
        <f>IF($E62=Categories!$A$1,"",IF($E62=Categories!$A$2,Categories!$B$2,IF($E62=Categories!$A$3,Categories!$B$3,IF($E62=Categories!$A$4,Categories!$B$4,IF($E62=Categories!$A$5,Categories!$B$5,IF($E62=Categories!$A$6,Categories!$B$6,IF($E62=Categories!$A$7,Categories!$B$7,IF($E62=Categories!$A$8,Categories!$B$8,IF($E62=Categories!$A$9,Categories!$B$9,IF($E62=Categories!$A$10,Categories!$B$10,IF($E62=Categories!$A$11,Categories!$B$11,IF($E62=Categories!$A$12,Categories!$B$12,IF($E62=Categories!$A$13,Categories!$B$13,IF($E62=Categories!$A$14,Categories!$B$14,IF($E62=Categories!$A$15,Categories!$B$15,IF($E62=Categories!$A$16,Categories!$B$16,IF($E62=Categories!$A$17,Categories!$B$17,IF($E62=Categories!$A$18,Categories!$B$18,IF($E62=Categories!$A$19,Categories!$B$19)))))))))))))))))))</f>
        <v>0</v>
      </c>
      <c r="G62" s="9" t="str">
        <f t="shared" si="0"/>
        <v/>
      </c>
      <c r="H62" s="1" t="str">
        <f t="shared" si="1"/>
        <v/>
      </c>
      <c r="I62" s="1" t="str">
        <f t="shared" si="2"/>
        <v/>
      </c>
      <c r="J62" s="1" t="str">
        <f t="shared" si="3"/>
        <v/>
      </c>
      <c r="K62" s="13" t="str">
        <f t="shared" si="4"/>
        <v/>
      </c>
      <c r="L62" s="9" t="str">
        <f t="shared" si="5"/>
        <v/>
      </c>
      <c r="M62" s="1" t="str">
        <f t="shared" si="6"/>
        <v/>
      </c>
      <c r="N62" s="1" t="str">
        <f t="shared" si="7"/>
        <v/>
      </c>
      <c r="O62" s="1" t="str">
        <f t="shared" si="8"/>
        <v/>
      </c>
      <c r="P62" s="1" t="str">
        <f t="shared" si="9"/>
        <v/>
      </c>
      <c r="Q62" s="1" t="str">
        <f t="shared" si="10"/>
        <v/>
      </c>
      <c r="R62" s="1" t="str">
        <f t="shared" si="11"/>
        <v/>
      </c>
      <c r="S62" s="1" t="str">
        <f t="shared" si="12"/>
        <v/>
      </c>
      <c r="T62" s="1" t="str">
        <f t="shared" si="13"/>
        <v/>
      </c>
      <c r="U62" s="1" t="str">
        <f t="shared" si="14"/>
        <v/>
      </c>
      <c r="V62" s="1" t="str">
        <f t="shared" si="15"/>
        <v/>
      </c>
      <c r="W62" s="26" t="str">
        <f t="shared" si="16"/>
        <v/>
      </c>
      <c r="X62" s="13" t="str">
        <f t="shared" si="17"/>
        <v/>
      </c>
      <c r="Y62" s="9">
        <f t="shared" si="18"/>
        <v>0</v>
      </c>
    </row>
    <row r="63" spans="1:25" x14ac:dyDescent="0.25">
      <c r="A63" s="28"/>
      <c r="B63" s="29"/>
      <c r="C63" s="30"/>
      <c r="D63" s="31"/>
      <c r="E63" s="29" t="s">
        <v>16</v>
      </c>
      <c r="F63" s="13" t="b">
        <f>IF($E63=Categories!$A$1,"",IF($E63=Categories!$A$2,Categories!$B$2,IF($E63=Categories!$A$3,Categories!$B$3,IF($E63=Categories!$A$4,Categories!$B$4,IF($E63=Categories!$A$5,Categories!$B$5,IF($E63=Categories!$A$6,Categories!$B$6,IF($E63=Categories!$A$7,Categories!$B$7,IF($E63=Categories!$A$8,Categories!$B$8,IF($E63=Categories!$A$9,Categories!$B$9,IF($E63=Categories!$A$10,Categories!$B$10,IF($E63=Categories!$A$11,Categories!$B$11,IF($E63=Categories!$A$12,Categories!$B$12,IF($E63=Categories!$A$13,Categories!$B$13,IF($E63=Categories!$A$14,Categories!$B$14,IF($E63=Categories!$A$15,Categories!$B$15,IF($E63=Categories!$A$16,Categories!$B$16,IF($E63=Categories!$A$17,Categories!$B$17,IF($E63=Categories!$A$18,Categories!$B$18,IF($E63=Categories!$A$19,Categories!$B$19)))))))))))))))))))</f>
        <v>0</v>
      </c>
      <c r="G63" s="9" t="str">
        <f t="shared" si="0"/>
        <v/>
      </c>
      <c r="H63" s="1" t="str">
        <f t="shared" si="1"/>
        <v/>
      </c>
      <c r="I63" s="1" t="str">
        <f t="shared" si="2"/>
        <v/>
      </c>
      <c r="J63" s="1" t="str">
        <f t="shared" si="3"/>
        <v/>
      </c>
      <c r="K63" s="13" t="str">
        <f t="shared" si="4"/>
        <v/>
      </c>
      <c r="L63" s="9" t="str">
        <f t="shared" si="5"/>
        <v/>
      </c>
      <c r="M63" s="1" t="str">
        <f t="shared" si="6"/>
        <v/>
      </c>
      <c r="N63" s="1" t="str">
        <f t="shared" si="7"/>
        <v/>
      </c>
      <c r="O63" s="1" t="str">
        <f t="shared" si="8"/>
        <v/>
      </c>
      <c r="P63" s="1" t="str">
        <f t="shared" si="9"/>
        <v/>
      </c>
      <c r="Q63" s="1" t="str">
        <f t="shared" si="10"/>
        <v/>
      </c>
      <c r="R63" s="1" t="str">
        <f t="shared" si="11"/>
        <v/>
      </c>
      <c r="S63" s="1" t="str">
        <f t="shared" si="12"/>
        <v/>
      </c>
      <c r="T63" s="1" t="str">
        <f t="shared" si="13"/>
        <v/>
      </c>
      <c r="U63" s="1" t="str">
        <f t="shared" si="14"/>
        <v/>
      </c>
      <c r="V63" s="1" t="str">
        <f t="shared" si="15"/>
        <v/>
      </c>
      <c r="W63" s="26" t="str">
        <f t="shared" si="16"/>
        <v/>
      </c>
      <c r="X63" s="13" t="str">
        <f t="shared" si="17"/>
        <v/>
      </c>
      <c r="Y63" s="9">
        <f t="shared" si="18"/>
        <v>0</v>
      </c>
    </row>
    <row r="64" spans="1:25" x14ac:dyDescent="0.25">
      <c r="A64" s="28"/>
      <c r="B64" s="29"/>
      <c r="C64" s="30"/>
      <c r="D64" s="31"/>
      <c r="E64" s="29" t="s">
        <v>16</v>
      </c>
      <c r="F64" s="13" t="b">
        <f>IF($E64=Categories!$A$1,"",IF($E64=Categories!$A$2,Categories!$B$2,IF($E64=Categories!$A$3,Categories!$B$3,IF($E64=Categories!$A$4,Categories!$B$4,IF($E64=Categories!$A$5,Categories!$B$5,IF($E64=Categories!$A$6,Categories!$B$6,IF($E64=Categories!$A$7,Categories!$B$7,IF($E64=Categories!$A$8,Categories!$B$8,IF($E64=Categories!$A$9,Categories!$B$9,IF($E64=Categories!$A$10,Categories!$B$10,IF($E64=Categories!$A$11,Categories!$B$11,IF($E64=Categories!$A$12,Categories!$B$12,IF($E64=Categories!$A$13,Categories!$B$13,IF($E64=Categories!$A$14,Categories!$B$14,IF($E64=Categories!$A$15,Categories!$B$15,IF($E64=Categories!$A$16,Categories!$B$16,IF($E64=Categories!$A$17,Categories!$B$17,IF($E64=Categories!$A$18,Categories!$B$18,IF($E64=Categories!$A$19,Categories!$B$19)))))))))))))))))))</f>
        <v>0</v>
      </c>
      <c r="G64" s="9" t="str">
        <f t="shared" si="0"/>
        <v/>
      </c>
      <c r="H64" s="1" t="str">
        <f t="shared" si="1"/>
        <v/>
      </c>
      <c r="I64" s="1" t="str">
        <f t="shared" si="2"/>
        <v/>
      </c>
      <c r="J64" s="1" t="str">
        <f t="shared" si="3"/>
        <v/>
      </c>
      <c r="K64" s="13" t="str">
        <f t="shared" si="4"/>
        <v/>
      </c>
      <c r="L64" s="9" t="str">
        <f t="shared" si="5"/>
        <v/>
      </c>
      <c r="M64" s="1" t="str">
        <f t="shared" si="6"/>
        <v/>
      </c>
      <c r="N64" s="1" t="str">
        <f t="shared" si="7"/>
        <v/>
      </c>
      <c r="O64" s="1" t="str">
        <f t="shared" si="8"/>
        <v/>
      </c>
      <c r="P64" s="1" t="str">
        <f t="shared" si="9"/>
        <v/>
      </c>
      <c r="Q64" s="1" t="str">
        <f t="shared" si="10"/>
        <v/>
      </c>
      <c r="R64" s="1" t="str">
        <f t="shared" si="11"/>
        <v/>
      </c>
      <c r="S64" s="1" t="str">
        <f t="shared" si="12"/>
        <v/>
      </c>
      <c r="T64" s="1" t="str">
        <f t="shared" si="13"/>
        <v/>
      </c>
      <c r="U64" s="1" t="str">
        <f t="shared" si="14"/>
        <v/>
      </c>
      <c r="V64" s="1" t="str">
        <f t="shared" si="15"/>
        <v/>
      </c>
      <c r="W64" s="26" t="str">
        <f t="shared" si="16"/>
        <v/>
      </c>
      <c r="X64" s="13" t="str">
        <f t="shared" si="17"/>
        <v/>
      </c>
      <c r="Y64" s="9">
        <f t="shared" si="18"/>
        <v>0</v>
      </c>
    </row>
    <row r="65" spans="1:25" x14ac:dyDescent="0.25">
      <c r="A65" s="28"/>
      <c r="B65" s="29"/>
      <c r="C65" s="30"/>
      <c r="D65" s="31"/>
      <c r="E65" s="29" t="s">
        <v>16</v>
      </c>
      <c r="F65" s="13" t="b">
        <f>IF($E65=Categories!$A$1,"",IF($E65=Categories!$A$2,Categories!$B$2,IF($E65=Categories!$A$3,Categories!$B$3,IF($E65=Categories!$A$4,Categories!$B$4,IF($E65=Categories!$A$5,Categories!$B$5,IF($E65=Categories!$A$6,Categories!$B$6,IF($E65=Categories!$A$7,Categories!$B$7,IF($E65=Categories!$A$8,Categories!$B$8,IF($E65=Categories!$A$9,Categories!$B$9,IF($E65=Categories!$A$10,Categories!$B$10,IF($E65=Categories!$A$11,Categories!$B$11,IF($E65=Categories!$A$12,Categories!$B$12,IF($E65=Categories!$A$13,Categories!$B$13,IF($E65=Categories!$A$14,Categories!$B$14,IF($E65=Categories!$A$15,Categories!$B$15,IF($E65=Categories!$A$16,Categories!$B$16,IF($E65=Categories!$A$17,Categories!$B$17,IF($E65=Categories!$A$18,Categories!$B$18,IF($E65=Categories!$A$19,Categories!$B$19)))))))))))))))))))</f>
        <v>0</v>
      </c>
      <c r="G65" s="9" t="str">
        <f t="shared" si="0"/>
        <v/>
      </c>
      <c r="H65" s="1" t="str">
        <f t="shared" si="1"/>
        <v/>
      </c>
      <c r="I65" s="1" t="str">
        <f t="shared" si="2"/>
        <v/>
      </c>
      <c r="J65" s="1" t="str">
        <f t="shared" si="3"/>
        <v/>
      </c>
      <c r="K65" s="13" t="str">
        <f t="shared" si="4"/>
        <v/>
      </c>
      <c r="L65" s="9" t="str">
        <f t="shared" si="5"/>
        <v/>
      </c>
      <c r="M65" s="1" t="str">
        <f t="shared" si="6"/>
        <v/>
      </c>
      <c r="N65" s="1" t="str">
        <f t="shared" si="7"/>
        <v/>
      </c>
      <c r="O65" s="1" t="str">
        <f t="shared" si="8"/>
        <v/>
      </c>
      <c r="P65" s="1" t="str">
        <f t="shared" si="9"/>
        <v/>
      </c>
      <c r="Q65" s="1" t="str">
        <f t="shared" si="10"/>
        <v/>
      </c>
      <c r="R65" s="1" t="str">
        <f t="shared" si="11"/>
        <v/>
      </c>
      <c r="S65" s="1" t="str">
        <f t="shared" si="12"/>
        <v/>
      </c>
      <c r="T65" s="1" t="str">
        <f t="shared" si="13"/>
        <v/>
      </c>
      <c r="U65" s="1" t="str">
        <f t="shared" si="14"/>
        <v/>
      </c>
      <c r="V65" s="1" t="str">
        <f t="shared" si="15"/>
        <v/>
      </c>
      <c r="W65" s="26" t="str">
        <f t="shared" si="16"/>
        <v/>
      </c>
      <c r="X65" s="13" t="str">
        <f t="shared" si="17"/>
        <v/>
      </c>
      <c r="Y65" s="9">
        <f t="shared" si="18"/>
        <v>0</v>
      </c>
    </row>
    <row r="66" spans="1:25" x14ac:dyDescent="0.25">
      <c r="A66" s="28"/>
      <c r="B66" s="29"/>
      <c r="C66" s="30"/>
      <c r="D66" s="31"/>
      <c r="E66" s="29" t="s">
        <v>16</v>
      </c>
      <c r="F66" s="13" t="b">
        <f>IF($E66=Categories!$A$1,"",IF($E66=Categories!$A$2,Categories!$B$2,IF($E66=Categories!$A$3,Categories!$B$3,IF($E66=Categories!$A$4,Categories!$B$4,IF($E66=Categories!$A$5,Categories!$B$5,IF($E66=Categories!$A$6,Categories!$B$6,IF($E66=Categories!$A$7,Categories!$B$7,IF($E66=Categories!$A$8,Categories!$B$8,IF($E66=Categories!$A$9,Categories!$B$9,IF($E66=Categories!$A$10,Categories!$B$10,IF($E66=Categories!$A$11,Categories!$B$11,IF($E66=Categories!$A$12,Categories!$B$12,IF($E66=Categories!$A$13,Categories!$B$13,IF($E66=Categories!$A$14,Categories!$B$14,IF($E66=Categories!$A$15,Categories!$B$15,IF($E66=Categories!$A$16,Categories!$B$16,IF($E66=Categories!$A$17,Categories!$B$17,IF($E66=Categories!$A$18,Categories!$B$18,IF($E66=Categories!$A$19,Categories!$B$19)))))))))))))))))))</f>
        <v>0</v>
      </c>
      <c r="G66" s="9" t="str">
        <f t="shared" si="0"/>
        <v/>
      </c>
      <c r="H66" s="1" t="str">
        <f t="shared" si="1"/>
        <v/>
      </c>
      <c r="I66" s="1" t="str">
        <f t="shared" si="2"/>
        <v/>
      </c>
      <c r="J66" s="1" t="str">
        <f t="shared" si="3"/>
        <v/>
      </c>
      <c r="K66" s="13" t="str">
        <f t="shared" si="4"/>
        <v/>
      </c>
      <c r="L66" s="9" t="str">
        <f t="shared" si="5"/>
        <v/>
      </c>
      <c r="M66" s="1" t="str">
        <f t="shared" si="6"/>
        <v/>
      </c>
      <c r="N66" s="1" t="str">
        <f t="shared" si="7"/>
        <v/>
      </c>
      <c r="O66" s="1" t="str">
        <f t="shared" si="8"/>
        <v/>
      </c>
      <c r="P66" s="1" t="str">
        <f t="shared" si="9"/>
        <v/>
      </c>
      <c r="Q66" s="1" t="str">
        <f t="shared" si="10"/>
        <v/>
      </c>
      <c r="R66" s="1" t="str">
        <f t="shared" si="11"/>
        <v/>
      </c>
      <c r="S66" s="1" t="str">
        <f t="shared" si="12"/>
        <v/>
      </c>
      <c r="T66" s="1" t="str">
        <f t="shared" si="13"/>
        <v/>
      </c>
      <c r="U66" s="1" t="str">
        <f t="shared" si="14"/>
        <v/>
      </c>
      <c r="V66" s="1" t="str">
        <f t="shared" si="15"/>
        <v/>
      </c>
      <c r="W66" s="26" t="str">
        <f t="shared" si="16"/>
        <v/>
      </c>
      <c r="X66" s="13" t="str">
        <f t="shared" si="17"/>
        <v/>
      </c>
      <c r="Y66" s="9">
        <f t="shared" si="18"/>
        <v>0</v>
      </c>
    </row>
    <row r="67" spans="1:25" x14ac:dyDescent="0.25">
      <c r="A67" s="28"/>
      <c r="B67" s="29"/>
      <c r="C67" s="30"/>
      <c r="D67" s="31"/>
      <c r="E67" s="29" t="s">
        <v>16</v>
      </c>
      <c r="F67" s="13" t="b">
        <f>IF($E67=Categories!$A$1,"",IF($E67=Categories!$A$2,Categories!$B$2,IF($E67=Categories!$A$3,Categories!$B$3,IF($E67=Categories!$A$4,Categories!$B$4,IF($E67=Categories!$A$5,Categories!$B$5,IF($E67=Categories!$A$6,Categories!$B$6,IF($E67=Categories!$A$7,Categories!$B$7,IF($E67=Categories!$A$8,Categories!$B$8,IF($E67=Categories!$A$9,Categories!$B$9,IF($E67=Categories!$A$10,Categories!$B$10,IF($E67=Categories!$A$11,Categories!$B$11,IF($E67=Categories!$A$12,Categories!$B$12,IF($E67=Categories!$A$13,Categories!$B$13,IF($E67=Categories!$A$14,Categories!$B$14,IF($E67=Categories!$A$15,Categories!$B$15,IF($E67=Categories!$A$16,Categories!$B$16,IF($E67=Categories!$A$17,Categories!$B$17,IF($E67=Categories!$A$18,Categories!$B$18,IF($E67=Categories!$A$19,Categories!$B$19)))))))))))))))))))</f>
        <v>0</v>
      </c>
      <c r="G67" s="9" t="str">
        <f t="shared" si="0"/>
        <v/>
      </c>
      <c r="H67" s="1" t="str">
        <f t="shared" si="1"/>
        <v/>
      </c>
      <c r="I67" s="1" t="str">
        <f t="shared" si="2"/>
        <v/>
      </c>
      <c r="J67" s="1" t="str">
        <f t="shared" si="3"/>
        <v/>
      </c>
      <c r="K67" s="13" t="str">
        <f t="shared" si="4"/>
        <v/>
      </c>
      <c r="L67" s="9" t="str">
        <f t="shared" si="5"/>
        <v/>
      </c>
      <c r="M67" s="1" t="str">
        <f t="shared" si="6"/>
        <v/>
      </c>
      <c r="N67" s="1" t="str">
        <f t="shared" si="7"/>
        <v/>
      </c>
      <c r="O67" s="1" t="str">
        <f t="shared" si="8"/>
        <v/>
      </c>
      <c r="P67" s="1" t="str">
        <f t="shared" si="9"/>
        <v/>
      </c>
      <c r="Q67" s="1" t="str">
        <f t="shared" si="10"/>
        <v/>
      </c>
      <c r="R67" s="1" t="str">
        <f t="shared" si="11"/>
        <v/>
      </c>
      <c r="S67" s="1" t="str">
        <f t="shared" si="12"/>
        <v/>
      </c>
      <c r="T67" s="1" t="str">
        <f t="shared" si="13"/>
        <v/>
      </c>
      <c r="U67" s="1" t="str">
        <f t="shared" si="14"/>
        <v/>
      </c>
      <c r="V67" s="1" t="str">
        <f t="shared" si="15"/>
        <v/>
      </c>
      <c r="W67" s="26" t="str">
        <f t="shared" si="16"/>
        <v/>
      </c>
      <c r="X67" s="13" t="str">
        <f t="shared" si="17"/>
        <v/>
      </c>
      <c r="Y67" s="9">
        <f t="shared" si="18"/>
        <v>0</v>
      </c>
    </row>
    <row r="68" spans="1:25" x14ac:dyDescent="0.25">
      <c r="A68" s="28"/>
      <c r="B68" s="29"/>
      <c r="C68" s="30"/>
      <c r="D68" s="31"/>
      <c r="E68" s="29" t="s">
        <v>16</v>
      </c>
      <c r="F68" s="13" t="b">
        <f>IF($E68=Categories!$A$1,"",IF($E68=Categories!$A$2,Categories!$B$2,IF($E68=Categories!$A$3,Categories!$B$3,IF($E68=Categories!$A$4,Categories!$B$4,IF($E68=Categories!$A$5,Categories!$B$5,IF($E68=Categories!$A$6,Categories!$B$6,IF($E68=Categories!$A$7,Categories!$B$7,IF($E68=Categories!$A$8,Categories!$B$8,IF($E68=Categories!$A$9,Categories!$B$9,IF($E68=Categories!$A$10,Categories!$B$10,IF($E68=Categories!$A$11,Categories!$B$11,IF($E68=Categories!$A$12,Categories!$B$12,IF($E68=Categories!$A$13,Categories!$B$13,IF($E68=Categories!$A$14,Categories!$B$14,IF($E68=Categories!$A$15,Categories!$B$15,IF($E68=Categories!$A$16,Categories!$B$16,IF($E68=Categories!$A$17,Categories!$B$17,IF($E68=Categories!$A$18,Categories!$B$18,IF($E68=Categories!$A$19,Categories!$B$19)))))))))))))))))))</f>
        <v>0</v>
      </c>
      <c r="G68" s="9" t="str">
        <f t="shared" si="0"/>
        <v/>
      </c>
      <c r="H68" s="1" t="str">
        <f t="shared" si="1"/>
        <v/>
      </c>
      <c r="I68" s="1" t="str">
        <f t="shared" si="2"/>
        <v/>
      </c>
      <c r="J68" s="1" t="str">
        <f t="shared" si="3"/>
        <v/>
      </c>
      <c r="K68" s="13" t="str">
        <f t="shared" si="4"/>
        <v/>
      </c>
      <c r="L68" s="9" t="str">
        <f t="shared" si="5"/>
        <v/>
      </c>
      <c r="M68" s="1" t="str">
        <f t="shared" si="6"/>
        <v/>
      </c>
      <c r="N68" s="1" t="str">
        <f t="shared" si="7"/>
        <v/>
      </c>
      <c r="O68" s="1" t="str">
        <f t="shared" si="8"/>
        <v/>
      </c>
      <c r="P68" s="1" t="str">
        <f t="shared" si="9"/>
        <v/>
      </c>
      <c r="Q68" s="1" t="str">
        <f t="shared" si="10"/>
        <v/>
      </c>
      <c r="R68" s="1" t="str">
        <f t="shared" si="11"/>
        <v/>
      </c>
      <c r="S68" s="1" t="str">
        <f t="shared" si="12"/>
        <v/>
      </c>
      <c r="T68" s="1" t="str">
        <f t="shared" si="13"/>
        <v/>
      </c>
      <c r="U68" s="1" t="str">
        <f t="shared" si="14"/>
        <v/>
      </c>
      <c r="V68" s="1" t="str">
        <f t="shared" si="15"/>
        <v/>
      </c>
      <c r="W68" s="26" t="str">
        <f t="shared" si="16"/>
        <v/>
      </c>
      <c r="X68" s="13" t="str">
        <f t="shared" si="17"/>
        <v/>
      </c>
      <c r="Y68" s="9">
        <f t="shared" si="18"/>
        <v>0</v>
      </c>
    </row>
    <row r="69" spans="1:25" x14ac:dyDescent="0.25">
      <c r="A69" s="28"/>
      <c r="B69" s="29"/>
      <c r="C69" s="30"/>
      <c r="D69" s="31"/>
      <c r="E69" s="29" t="s">
        <v>16</v>
      </c>
      <c r="F69" s="13" t="b">
        <f>IF($E69=Categories!$A$1,"",IF($E69=Categories!$A$2,Categories!$B$2,IF($E69=Categories!$A$3,Categories!$B$3,IF($E69=Categories!$A$4,Categories!$B$4,IF($E69=Categories!$A$5,Categories!$B$5,IF($E69=Categories!$A$6,Categories!$B$6,IF($E69=Categories!$A$7,Categories!$B$7,IF($E69=Categories!$A$8,Categories!$B$8,IF($E69=Categories!$A$9,Categories!$B$9,IF($E69=Categories!$A$10,Categories!$B$10,IF($E69=Categories!$A$11,Categories!$B$11,IF($E69=Categories!$A$12,Categories!$B$12,IF($E69=Categories!$A$13,Categories!$B$13,IF($E69=Categories!$A$14,Categories!$B$14,IF($E69=Categories!$A$15,Categories!$B$15,IF($E69=Categories!$A$16,Categories!$B$16,IF($E69=Categories!$A$17,Categories!$B$17,IF($E69=Categories!$A$18,Categories!$B$18,IF($E69=Categories!$A$19,Categories!$B$19)))))))))))))))))))</f>
        <v>0</v>
      </c>
      <c r="G69" s="9" t="str">
        <f t="shared" si="0"/>
        <v/>
      </c>
      <c r="H69" s="1" t="str">
        <f t="shared" si="1"/>
        <v/>
      </c>
      <c r="I69" s="1" t="str">
        <f t="shared" si="2"/>
        <v/>
      </c>
      <c r="J69" s="1" t="str">
        <f t="shared" si="3"/>
        <v/>
      </c>
      <c r="K69" s="13" t="str">
        <f t="shared" si="4"/>
        <v/>
      </c>
      <c r="L69" s="9" t="str">
        <f t="shared" si="5"/>
        <v/>
      </c>
      <c r="M69" s="1" t="str">
        <f t="shared" si="6"/>
        <v/>
      </c>
      <c r="N69" s="1" t="str">
        <f t="shared" si="7"/>
        <v/>
      </c>
      <c r="O69" s="1" t="str">
        <f t="shared" si="8"/>
        <v/>
      </c>
      <c r="P69" s="1" t="str">
        <f t="shared" si="9"/>
        <v/>
      </c>
      <c r="Q69" s="1" t="str">
        <f t="shared" si="10"/>
        <v/>
      </c>
      <c r="R69" s="1" t="str">
        <f t="shared" si="11"/>
        <v/>
      </c>
      <c r="S69" s="1" t="str">
        <f t="shared" si="12"/>
        <v/>
      </c>
      <c r="T69" s="1" t="str">
        <f t="shared" si="13"/>
        <v/>
      </c>
      <c r="U69" s="1" t="str">
        <f t="shared" si="14"/>
        <v/>
      </c>
      <c r="V69" s="1" t="str">
        <f t="shared" si="15"/>
        <v/>
      </c>
      <c r="W69" s="26" t="str">
        <f t="shared" si="16"/>
        <v/>
      </c>
      <c r="X69" s="13" t="str">
        <f t="shared" si="17"/>
        <v/>
      </c>
      <c r="Y69" s="9">
        <f t="shared" si="18"/>
        <v>0</v>
      </c>
    </row>
    <row r="70" spans="1:25" x14ac:dyDescent="0.25">
      <c r="A70" s="28"/>
      <c r="B70" s="29"/>
      <c r="C70" s="30"/>
      <c r="D70" s="31"/>
      <c r="E70" s="29" t="s">
        <v>16</v>
      </c>
      <c r="F70" s="13" t="b">
        <f>IF($E70=Categories!$A$1,"",IF($E70=Categories!$A$2,Categories!$B$2,IF($E70=Categories!$A$3,Categories!$B$3,IF($E70=Categories!$A$4,Categories!$B$4,IF($E70=Categories!$A$5,Categories!$B$5,IF($E70=Categories!$A$6,Categories!$B$6,IF($E70=Categories!$A$7,Categories!$B$7,IF($E70=Categories!$A$8,Categories!$B$8,IF($E70=Categories!$A$9,Categories!$B$9,IF($E70=Categories!$A$10,Categories!$B$10,IF($E70=Categories!$A$11,Categories!$B$11,IF($E70=Categories!$A$12,Categories!$B$12,IF($E70=Categories!$A$13,Categories!$B$13,IF($E70=Categories!$A$14,Categories!$B$14,IF($E70=Categories!$A$15,Categories!$B$15,IF($E70=Categories!$A$16,Categories!$B$16,IF($E70=Categories!$A$17,Categories!$B$17,IF($E70=Categories!$A$18,Categories!$B$18,IF($E70=Categories!$A$19,Categories!$B$19)))))))))))))))))))</f>
        <v>0</v>
      </c>
      <c r="G70" s="9" t="str">
        <f t="shared" si="0"/>
        <v/>
      </c>
      <c r="H70" s="1" t="str">
        <f t="shared" si="1"/>
        <v/>
      </c>
      <c r="I70" s="1" t="str">
        <f t="shared" si="2"/>
        <v/>
      </c>
      <c r="J70" s="1" t="str">
        <f t="shared" si="3"/>
        <v/>
      </c>
      <c r="K70" s="13" t="str">
        <f t="shared" si="4"/>
        <v/>
      </c>
      <c r="L70" s="9" t="str">
        <f t="shared" si="5"/>
        <v/>
      </c>
      <c r="M70" s="1" t="str">
        <f t="shared" si="6"/>
        <v/>
      </c>
      <c r="N70" s="1" t="str">
        <f t="shared" si="7"/>
        <v/>
      </c>
      <c r="O70" s="1" t="str">
        <f t="shared" si="8"/>
        <v/>
      </c>
      <c r="P70" s="1" t="str">
        <f t="shared" si="9"/>
        <v/>
      </c>
      <c r="Q70" s="1" t="str">
        <f t="shared" si="10"/>
        <v/>
      </c>
      <c r="R70" s="1" t="str">
        <f t="shared" si="11"/>
        <v/>
      </c>
      <c r="S70" s="1" t="str">
        <f t="shared" si="12"/>
        <v/>
      </c>
      <c r="T70" s="1" t="str">
        <f t="shared" si="13"/>
        <v/>
      </c>
      <c r="U70" s="1" t="str">
        <f t="shared" si="14"/>
        <v/>
      </c>
      <c r="V70" s="1" t="str">
        <f t="shared" si="15"/>
        <v/>
      </c>
      <c r="W70" s="26" t="str">
        <f t="shared" si="16"/>
        <v/>
      </c>
      <c r="X70" s="13" t="str">
        <f t="shared" si="17"/>
        <v/>
      </c>
      <c r="Y70" s="9">
        <f t="shared" si="18"/>
        <v>0</v>
      </c>
    </row>
    <row r="71" spans="1:25" x14ac:dyDescent="0.25">
      <c r="A71" s="28"/>
      <c r="B71" s="29"/>
      <c r="C71" s="30"/>
      <c r="D71" s="31"/>
      <c r="E71" s="29" t="s">
        <v>16</v>
      </c>
      <c r="F71" s="13" t="b">
        <f>IF($E71=Categories!$A$1,"",IF($E71=Categories!$A$2,Categories!$B$2,IF($E71=Categories!$A$3,Categories!$B$3,IF($E71=Categories!$A$4,Categories!$B$4,IF($E71=Categories!$A$5,Categories!$B$5,IF($E71=Categories!$A$6,Categories!$B$6,IF($E71=Categories!$A$7,Categories!$B$7,IF($E71=Categories!$A$8,Categories!$B$8,IF($E71=Categories!$A$9,Categories!$B$9,IF($E71=Categories!$A$10,Categories!$B$10,IF($E71=Categories!$A$11,Categories!$B$11,IF($E71=Categories!$A$12,Categories!$B$12,IF($E71=Categories!$A$13,Categories!$B$13,IF($E71=Categories!$A$14,Categories!$B$14,IF($E71=Categories!$A$15,Categories!$B$15,IF($E71=Categories!$A$16,Categories!$B$16,IF($E71=Categories!$A$17,Categories!$B$17,IF($E71=Categories!$A$18,Categories!$B$18,IF($E71=Categories!$A$19,Categories!$B$19)))))))))))))))))))</f>
        <v>0</v>
      </c>
      <c r="G71" s="9" t="str">
        <f t="shared" ref="G71:G95" si="19">IF($F71="Inc1",$D71,"")</f>
        <v/>
      </c>
      <c r="H71" s="1" t="str">
        <f t="shared" ref="H71:H95" si="20">IF($F71="Inc2",$D71,"")</f>
        <v/>
      </c>
      <c r="I71" s="1" t="str">
        <f t="shared" ref="I71:I95" si="21">IF($F71="Int",$D71,"")</f>
        <v/>
      </c>
      <c r="J71" s="1" t="str">
        <f t="shared" ref="J71:J95" si="22">IF($F71="Inc4",$D71,"")</f>
        <v/>
      </c>
      <c r="K71" s="13" t="str">
        <f t="shared" ref="K71:K95" si="23">IF($F71="Inc5",$D71,"")</f>
        <v/>
      </c>
      <c r="L71" s="9" t="str">
        <f t="shared" ref="L71:L95" si="24">IF($F71="ExpA",$D71,"")</f>
        <v/>
      </c>
      <c r="M71" s="1" t="str">
        <f t="shared" ref="M71:M95" si="25">IF($F71="ExpB",$D71,"")</f>
        <v/>
      </c>
      <c r="N71" s="1" t="str">
        <f t="shared" ref="N71:N95" si="26">IF($F71="ExpC",$D71,"")</f>
        <v/>
      </c>
      <c r="O71" s="1" t="str">
        <f t="shared" ref="O71:O95" si="27">IF($F71="ExpD",$D71,"")</f>
        <v/>
      </c>
      <c r="P71" s="1" t="str">
        <f t="shared" ref="P71:P95" si="28">IF($F71="ExpE",$D71,"")</f>
        <v/>
      </c>
      <c r="Q71" s="1" t="str">
        <f t="shared" ref="Q71:Q95" si="29">IF($F71="ExpF",$D71,"")</f>
        <v/>
      </c>
      <c r="R71" s="1" t="str">
        <f t="shared" ref="R71:R95" si="30">IF($F71="ExpG",$D71,"")</f>
        <v/>
      </c>
      <c r="S71" s="1" t="str">
        <f t="shared" ref="S71:S95" si="31">IF($F71="ExpH",$D71,"")</f>
        <v/>
      </c>
      <c r="T71" s="1" t="str">
        <f t="shared" ref="T71:T95" si="32">IF($F71="ExpI",$D71,"")</f>
        <v/>
      </c>
      <c r="U71" s="1" t="str">
        <f t="shared" ref="U71:U95" si="33">IF($F71="ExpJ",$D71,"")</f>
        <v/>
      </c>
      <c r="V71" s="1" t="str">
        <f t="shared" ref="V71:V95" si="34">IF($F71="ExpK",$D71,"")</f>
        <v/>
      </c>
      <c r="W71" s="26" t="str">
        <f t="shared" ref="W71:W95" si="35">IF($F71="ExpL",$D71,"")</f>
        <v/>
      </c>
      <c r="X71" s="13" t="str">
        <f t="shared" ref="X71:X95" si="36">IF($F71="Expm",$D71,"")</f>
        <v/>
      </c>
      <c r="Y71" s="9">
        <f t="shared" si="18"/>
        <v>0</v>
      </c>
    </row>
    <row r="72" spans="1:25" x14ac:dyDescent="0.25">
      <c r="A72" s="28"/>
      <c r="B72" s="29"/>
      <c r="C72" s="30"/>
      <c r="D72" s="31"/>
      <c r="E72" s="29" t="s">
        <v>16</v>
      </c>
      <c r="F72" s="13" t="b">
        <f>IF($E72=Categories!$A$1,"",IF($E72=Categories!$A$2,Categories!$B$2,IF($E72=Categories!$A$3,Categories!$B$3,IF($E72=Categories!$A$4,Categories!$B$4,IF($E72=Categories!$A$5,Categories!$B$5,IF($E72=Categories!$A$6,Categories!$B$6,IF($E72=Categories!$A$7,Categories!$B$7,IF($E72=Categories!$A$8,Categories!$B$8,IF($E72=Categories!$A$9,Categories!$B$9,IF($E72=Categories!$A$10,Categories!$B$10,IF($E72=Categories!$A$11,Categories!$B$11,IF($E72=Categories!$A$12,Categories!$B$12,IF($E72=Categories!$A$13,Categories!$B$13,IF($E72=Categories!$A$14,Categories!$B$14,IF($E72=Categories!$A$15,Categories!$B$15,IF($E72=Categories!$A$16,Categories!$B$16,IF($E72=Categories!$A$17,Categories!$B$17,IF($E72=Categories!$A$18,Categories!$B$18,IF($E72=Categories!$A$19,Categories!$B$19)))))))))))))))))))</f>
        <v>0</v>
      </c>
      <c r="G72" s="9" t="str">
        <f t="shared" si="19"/>
        <v/>
      </c>
      <c r="H72" s="1" t="str">
        <f t="shared" si="20"/>
        <v/>
      </c>
      <c r="I72" s="1" t="str">
        <f t="shared" si="21"/>
        <v/>
      </c>
      <c r="J72" s="1" t="str">
        <f t="shared" si="22"/>
        <v/>
      </c>
      <c r="K72" s="13" t="str">
        <f t="shared" si="23"/>
        <v/>
      </c>
      <c r="L72" s="9" t="str">
        <f t="shared" si="24"/>
        <v/>
      </c>
      <c r="M72" s="1" t="str">
        <f t="shared" si="25"/>
        <v/>
      </c>
      <c r="N72" s="1" t="str">
        <f t="shared" si="26"/>
        <v/>
      </c>
      <c r="O72" s="1" t="str">
        <f t="shared" si="27"/>
        <v/>
      </c>
      <c r="P72" s="1" t="str">
        <f t="shared" si="28"/>
        <v/>
      </c>
      <c r="Q72" s="1" t="str">
        <f t="shared" si="29"/>
        <v/>
      </c>
      <c r="R72" s="1" t="str">
        <f t="shared" si="30"/>
        <v/>
      </c>
      <c r="S72" s="1" t="str">
        <f t="shared" si="31"/>
        <v/>
      </c>
      <c r="T72" s="1" t="str">
        <f t="shared" si="32"/>
        <v/>
      </c>
      <c r="U72" s="1" t="str">
        <f t="shared" si="33"/>
        <v/>
      </c>
      <c r="V72" s="1" t="str">
        <f t="shared" si="34"/>
        <v/>
      </c>
      <c r="W72" s="26" t="str">
        <f t="shared" si="35"/>
        <v/>
      </c>
      <c r="X72" s="13" t="str">
        <f t="shared" si="36"/>
        <v/>
      </c>
      <c r="Y72" s="9">
        <f t="shared" ref="Y72:Y95" si="37">Y71+SUM(G72:K72)-SUM(L72:X72)</f>
        <v>0</v>
      </c>
    </row>
    <row r="73" spans="1:25" x14ac:dyDescent="0.25">
      <c r="A73" s="28"/>
      <c r="B73" s="29"/>
      <c r="C73" s="30"/>
      <c r="D73" s="31"/>
      <c r="E73" s="29" t="s">
        <v>16</v>
      </c>
      <c r="F73" s="13" t="b">
        <f>IF($E73=Categories!$A$1,"",IF($E73=Categories!$A$2,Categories!$B$2,IF($E73=Categories!$A$3,Categories!$B$3,IF($E73=Categories!$A$4,Categories!$B$4,IF($E73=Categories!$A$5,Categories!$B$5,IF($E73=Categories!$A$6,Categories!$B$6,IF($E73=Categories!$A$7,Categories!$B$7,IF($E73=Categories!$A$8,Categories!$B$8,IF($E73=Categories!$A$9,Categories!$B$9,IF($E73=Categories!$A$10,Categories!$B$10,IF($E73=Categories!$A$11,Categories!$B$11,IF($E73=Categories!$A$12,Categories!$B$12,IF($E73=Categories!$A$13,Categories!$B$13,IF($E73=Categories!$A$14,Categories!$B$14,IF($E73=Categories!$A$15,Categories!$B$15,IF($E73=Categories!$A$16,Categories!$B$16,IF($E73=Categories!$A$17,Categories!$B$17,IF($E73=Categories!$A$18,Categories!$B$18,IF($E73=Categories!$A$19,Categories!$B$19)))))))))))))))))))</f>
        <v>0</v>
      </c>
      <c r="G73" s="9" t="str">
        <f t="shared" si="19"/>
        <v/>
      </c>
      <c r="H73" s="1" t="str">
        <f t="shared" si="20"/>
        <v/>
      </c>
      <c r="I73" s="1" t="str">
        <f t="shared" si="21"/>
        <v/>
      </c>
      <c r="J73" s="1" t="str">
        <f t="shared" si="22"/>
        <v/>
      </c>
      <c r="K73" s="13" t="str">
        <f t="shared" si="23"/>
        <v/>
      </c>
      <c r="L73" s="9" t="str">
        <f t="shared" si="24"/>
        <v/>
      </c>
      <c r="M73" s="1" t="str">
        <f t="shared" si="25"/>
        <v/>
      </c>
      <c r="N73" s="1" t="str">
        <f t="shared" si="26"/>
        <v/>
      </c>
      <c r="O73" s="1" t="str">
        <f t="shared" si="27"/>
        <v/>
      </c>
      <c r="P73" s="1" t="str">
        <f t="shared" si="28"/>
        <v/>
      </c>
      <c r="Q73" s="1" t="str">
        <f t="shared" si="29"/>
        <v/>
      </c>
      <c r="R73" s="1" t="str">
        <f t="shared" si="30"/>
        <v/>
      </c>
      <c r="S73" s="1" t="str">
        <f t="shared" si="31"/>
        <v/>
      </c>
      <c r="T73" s="1" t="str">
        <f t="shared" si="32"/>
        <v/>
      </c>
      <c r="U73" s="1" t="str">
        <f t="shared" si="33"/>
        <v/>
      </c>
      <c r="V73" s="1" t="str">
        <f t="shared" si="34"/>
        <v/>
      </c>
      <c r="W73" s="26" t="str">
        <f t="shared" si="35"/>
        <v/>
      </c>
      <c r="X73" s="13" t="str">
        <f t="shared" si="36"/>
        <v/>
      </c>
      <c r="Y73" s="9">
        <f t="shared" si="37"/>
        <v>0</v>
      </c>
    </row>
    <row r="74" spans="1:25" x14ac:dyDescent="0.25">
      <c r="A74" s="28"/>
      <c r="B74" s="29"/>
      <c r="C74" s="30"/>
      <c r="D74" s="31"/>
      <c r="E74" s="29" t="s">
        <v>16</v>
      </c>
      <c r="F74" s="13" t="b">
        <f>IF($E74=Categories!$A$1,"",IF($E74=Categories!$A$2,Categories!$B$2,IF($E74=Categories!$A$3,Categories!$B$3,IF($E74=Categories!$A$4,Categories!$B$4,IF($E74=Categories!$A$5,Categories!$B$5,IF($E74=Categories!$A$6,Categories!$B$6,IF($E74=Categories!$A$7,Categories!$B$7,IF($E74=Categories!$A$8,Categories!$B$8,IF($E74=Categories!$A$9,Categories!$B$9,IF($E74=Categories!$A$10,Categories!$B$10,IF($E74=Categories!$A$11,Categories!$B$11,IF($E74=Categories!$A$12,Categories!$B$12,IF($E74=Categories!$A$13,Categories!$B$13,IF($E74=Categories!$A$14,Categories!$B$14,IF($E74=Categories!$A$15,Categories!$B$15,IF($E74=Categories!$A$16,Categories!$B$16,IF($E74=Categories!$A$17,Categories!$B$17,IF($E74=Categories!$A$18,Categories!$B$18,IF($E74=Categories!$A$19,Categories!$B$19)))))))))))))))))))</f>
        <v>0</v>
      </c>
      <c r="G74" s="9" t="str">
        <f t="shared" si="19"/>
        <v/>
      </c>
      <c r="H74" s="1" t="str">
        <f t="shared" si="20"/>
        <v/>
      </c>
      <c r="I74" s="1" t="str">
        <f t="shared" si="21"/>
        <v/>
      </c>
      <c r="J74" s="1" t="str">
        <f t="shared" si="22"/>
        <v/>
      </c>
      <c r="K74" s="13" t="str">
        <f t="shared" si="23"/>
        <v/>
      </c>
      <c r="L74" s="9" t="str">
        <f t="shared" si="24"/>
        <v/>
      </c>
      <c r="M74" s="1" t="str">
        <f t="shared" si="25"/>
        <v/>
      </c>
      <c r="N74" s="1" t="str">
        <f t="shared" si="26"/>
        <v/>
      </c>
      <c r="O74" s="1" t="str">
        <f t="shared" si="27"/>
        <v/>
      </c>
      <c r="P74" s="1" t="str">
        <f t="shared" si="28"/>
        <v/>
      </c>
      <c r="Q74" s="1" t="str">
        <f t="shared" si="29"/>
        <v/>
      </c>
      <c r="R74" s="1" t="str">
        <f t="shared" si="30"/>
        <v/>
      </c>
      <c r="S74" s="1" t="str">
        <f t="shared" si="31"/>
        <v/>
      </c>
      <c r="T74" s="1" t="str">
        <f t="shared" si="32"/>
        <v/>
      </c>
      <c r="U74" s="1" t="str">
        <f t="shared" si="33"/>
        <v/>
      </c>
      <c r="V74" s="1" t="str">
        <f t="shared" si="34"/>
        <v/>
      </c>
      <c r="W74" s="26" t="str">
        <f t="shared" si="35"/>
        <v/>
      </c>
      <c r="X74" s="13" t="str">
        <f t="shared" si="36"/>
        <v/>
      </c>
      <c r="Y74" s="9">
        <f t="shared" si="37"/>
        <v>0</v>
      </c>
    </row>
    <row r="75" spans="1:25" x14ac:dyDescent="0.25">
      <c r="A75" s="28"/>
      <c r="B75" s="29"/>
      <c r="C75" s="30"/>
      <c r="D75" s="31"/>
      <c r="E75" s="29" t="s">
        <v>16</v>
      </c>
      <c r="F75" s="13" t="b">
        <f>IF($E75=Categories!$A$1,"",IF($E75=Categories!$A$2,Categories!$B$2,IF($E75=Categories!$A$3,Categories!$B$3,IF($E75=Categories!$A$4,Categories!$B$4,IF($E75=Categories!$A$5,Categories!$B$5,IF($E75=Categories!$A$6,Categories!$B$6,IF($E75=Categories!$A$7,Categories!$B$7,IF($E75=Categories!$A$8,Categories!$B$8,IF($E75=Categories!$A$9,Categories!$B$9,IF($E75=Categories!$A$10,Categories!$B$10,IF($E75=Categories!$A$11,Categories!$B$11,IF($E75=Categories!$A$12,Categories!$B$12,IF($E75=Categories!$A$13,Categories!$B$13,IF($E75=Categories!$A$14,Categories!$B$14,IF($E75=Categories!$A$15,Categories!$B$15,IF($E75=Categories!$A$16,Categories!$B$16,IF($E75=Categories!$A$17,Categories!$B$17,IF($E75=Categories!$A$18,Categories!$B$18,IF($E75=Categories!$A$19,Categories!$B$19)))))))))))))))))))</f>
        <v>0</v>
      </c>
      <c r="G75" s="9" t="str">
        <f t="shared" si="19"/>
        <v/>
      </c>
      <c r="H75" s="1" t="str">
        <f t="shared" si="20"/>
        <v/>
      </c>
      <c r="I75" s="1" t="str">
        <f t="shared" si="21"/>
        <v/>
      </c>
      <c r="J75" s="1" t="str">
        <f t="shared" si="22"/>
        <v/>
      </c>
      <c r="K75" s="13" t="str">
        <f t="shared" si="23"/>
        <v/>
      </c>
      <c r="L75" s="9" t="str">
        <f t="shared" si="24"/>
        <v/>
      </c>
      <c r="M75" s="1" t="str">
        <f t="shared" si="25"/>
        <v/>
      </c>
      <c r="N75" s="1" t="str">
        <f t="shared" si="26"/>
        <v/>
      </c>
      <c r="O75" s="1" t="str">
        <f t="shared" si="27"/>
        <v/>
      </c>
      <c r="P75" s="1" t="str">
        <f t="shared" si="28"/>
        <v/>
      </c>
      <c r="Q75" s="1" t="str">
        <f t="shared" si="29"/>
        <v/>
      </c>
      <c r="R75" s="1" t="str">
        <f t="shared" si="30"/>
        <v/>
      </c>
      <c r="S75" s="1" t="str">
        <f t="shared" si="31"/>
        <v/>
      </c>
      <c r="T75" s="1" t="str">
        <f t="shared" si="32"/>
        <v/>
      </c>
      <c r="U75" s="1" t="str">
        <f t="shared" si="33"/>
        <v/>
      </c>
      <c r="V75" s="1" t="str">
        <f t="shared" si="34"/>
        <v/>
      </c>
      <c r="W75" s="26" t="str">
        <f t="shared" si="35"/>
        <v/>
      </c>
      <c r="X75" s="13" t="str">
        <f t="shared" si="36"/>
        <v/>
      </c>
      <c r="Y75" s="9">
        <f t="shared" si="37"/>
        <v>0</v>
      </c>
    </row>
    <row r="76" spans="1:25" x14ac:dyDescent="0.25">
      <c r="A76" s="28"/>
      <c r="B76" s="29"/>
      <c r="C76" s="30"/>
      <c r="D76" s="31"/>
      <c r="E76" s="29" t="s">
        <v>16</v>
      </c>
      <c r="F76" s="13" t="b">
        <f>IF($E76=Categories!$A$1,"",IF($E76=Categories!$A$2,Categories!$B$2,IF($E76=Categories!$A$3,Categories!$B$3,IF($E76=Categories!$A$4,Categories!$B$4,IF($E76=Categories!$A$5,Categories!$B$5,IF($E76=Categories!$A$6,Categories!$B$6,IF($E76=Categories!$A$7,Categories!$B$7,IF($E76=Categories!$A$8,Categories!$B$8,IF($E76=Categories!$A$9,Categories!$B$9,IF($E76=Categories!$A$10,Categories!$B$10,IF($E76=Categories!$A$11,Categories!$B$11,IF($E76=Categories!$A$12,Categories!$B$12,IF($E76=Categories!$A$13,Categories!$B$13,IF($E76=Categories!$A$14,Categories!$B$14,IF($E76=Categories!$A$15,Categories!$B$15,IF($E76=Categories!$A$16,Categories!$B$16,IF($E76=Categories!$A$17,Categories!$B$17,IF($E76=Categories!$A$18,Categories!$B$18,IF($E76=Categories!$A$19,Categories!$B$19)))))))))))))))))))</f>
        <v>0</v>
      </c>
      <c r="G76" s="9" t="str">
        <f t="shared" si="19"/>
        <v/>
      </c>
      <c r="H76" s="1" t="str">
        <f t="shared" si="20"/>
        <v/>
      </c>
      <c r="I76" s="1" t="str">
        <f t="shared" si="21"/>
        <v/>
      </c>
      <c r="J76" s="1" t="str">
        <f t="shared" si="22"/>
        <v/>
      </c>
      <c r="K76" s="13" t="str">
        <f t="shared" si="23"/>
        <v/>
      </c>
      <c r="L76" s="9" t="str">
        <f t="shared" si="24"/>
        <v/>
      </c>
      <c r="M76" s="1" t="str">
        <f t="shared" si="25"/>
        <v/>
      </c>
      <c r="N76" s="1" t="str">
        <f t="shared" si="26"/>
        <v/>
      </c>
      <c r="O76" s="1" t="str">
        <f t="shared" si="27"/>
        <v/>
      </c>
      <c r="P76" s="1" t="str">
        <f t="shared" si="28"/>
        <v/>
      </c>
      <c r="Q76" s="1" t="str">
        <f t="shared" si="29"/>
        <v/>
      </c>
      <c r="R76" s="1" t="str">
        <f t="shared" si="30"/>
        <v/>
      </c>
      <c r="S76" s="1" t="str">
        <f t="shared" si="31"/>
        <v/>
      </c>
      <c r="T76" s="1" t="str">
        <f t="shared" si="32"/>
        <v/>
      </c>
      <c r="U76" s="1" t="str">
        <f t="shared" si="33"/>
        <v/>
      </c>
      <c r="V76" s="1" t="str">
        <f t="shared" si="34"/>
        <v/>
      </c>
      <c r="W76" s="26" t="str">
        <f t="shared" si="35"/>
        <v/>
      </c>
      <c r="X76" s="13" t="str">
        <f t="shared" si="36"/>
        <v/>
      </c>
      <c r="Y76" s="9">
        <f t="shared" si="37"/>
        <v>0</v>
      </c>
    </row>
    <row r="77" spans="1:25" x14ac:dyDescent="0.25">
      <c r="A77" s="28"/>
      <c r="B77" s="29"/>
      <c r="C77" s="30"/>
      <c r="D77" s="31"/>
      <c r="E77" s="29" t="s">
        <v>16</v>
      </c>
      <c r="F77" s="13" t="b">
        <f>IF($E77=Categories!$A$1,"",IF($E77=Categories!$A$2,Categories!$B$2,IF($E77=Categories!$A$3,Categories!$B$3,IF($E77=Categories!$A$4,Categories!$B$4,IF($E77=Categories!$A$5,Categories!$B$5,IF($E77=Categories!$A$6,Categories!$B$6,IF($E77=Categories!$A$7,Categories!$B$7,IF($E77=Categories!$A$8,Categories!$B$8,IF($E77=Categories!$A$9,Categories!$B$9,IF($E77=Categories!$A$10,Categories!$B$10,IF($E77=Categories!$A$11,Categories!$B$11,IF($E77=Categories!$A$12,Categories!$B$12,IF($E77=Categories!$A$13,Categories!$B$13,IF($E77=Categories!$A$14,Categories!$B$14,IF($E77=Categories!$A$15,Categories!$B$15,IF($E77=Categories!$A$16,Categories!$B$16,IF($E77=Categories!$A$17,Categories!$B$17,IF($E77=Categories!$A$18,Categories!$B$18,IF($E77=Categories!$A$19,Categories!$B$19)))))))))))))))))))</f>
        <v>0</v>
      </c>
      <c r="G77" s="9" t="str">
        <f t="shared" si="19"/>
        <v/>
      </c>
      <c r="H77" s="1" t="str">
        <f t="shared" si="20"/>
        <v/>
      </c>
      <c r="I77" s="1" t="str">
        <f t="shared" si="21"/>
        <v/>
      </c>
      <c r="J77" s="1" t="str">
        <f t="shared" si="22"/>
        <v/>
      </c>
      <c r="K77" s="13" t="str">
        <f t="shared" si="23"/>
        <v/>
      </c>
      <c r="L77" s="9" t="str">
        <f t="shared" si="24"/>
        <v/>
      </c>
      <c r="M77" s="1" t="str">
        <f t="shared" si="25"/>
        <v/>
      </c>
      <c r="N77" s="1" t="str">
        <f t="shared" si="26"/>
        <v/>
      </c>
      <c r="O77" s="1" t="str">
        <f t="shared" si="27"/>
        <v/>
      </c>
      <c r="P77" s="1" t="str">
        <f t="shared" si="28"/>
        <v/>
      </c>
      <c r="Q77" s="1" t="str">
        <f t="shared" si="29"/>
        <v/>
      </c>
      <c r="R77" s="1" t="str">
        <f t="shared" si="30"/>
        <v/>
      </c>
      <c r="S77" s="1" t="str">
        <f t="shared" si="31"/>
        <v/>
      </c>
      <c r="T77" s="1" t="str">
        <f t="shared" si="32"/>
        <v/>
      </c>
      <c r="U77" s="1" t="str">
        <f t="shared" si="33"/>
        <v/>
      </c>
      <c r="V77" s="1" t="str">
        <f t="shared" si="34"/>
        <v/>
      </c>
      <c r="W77" s="26" t="str">
        <f t="shared" si="35"/>
        <v/>
      </c>
      <c r="X77" s="13" t="str">
        <f t="shared" si="36"/>
        <v/>
      </c>
      <c r="Y77" s="9">
        <f t="shared" si="37"/>
        <v>0</v>
      </c>
    </row>
    <row r="78" spans="1:25" x14ac:dyDescent="0.25">
      <c r="A78" s="28"/>
      <c r="B78" s="29"/>
      <c r="C78" s="30"/>
      <c r="D78" s="31"/>
      <c r="E78" s="29" t="s">
        <v>16</v>
      </c>
      <c r="F78" s="13" t="b">
        <f>IF($E78=Categories!$A$1,"",IF($E78=Categories!$A$2,Categories!$B$2,IF($E78=Categories!$A$3,Categories!$B$3,IF($E78=Categories!$A$4,Categories!$B$4,IF($E78=Categories!$A$5,Categories!$B$5,IF($E78=Categories!$A$6,Categories!$B$6,IF($E78=Categories!$A$7,Categories!$B$7,IF($E78=Categories!$A$8,Categories!$B$8,IF($E78=Categories!$A$9,Categories!$B$9,IF($E78=Categories!$A$10,Categories!$B$10,IF($E78=Categories!$A$11,Categories!$B$11,IF($E78=Categories!$A$12,Categories!$B$12,IF($E78=Categories!$A$13,Categories!$B$13,IF($E78=Categories!$A$14,Categories!$B$14,IF($E78=Categories!$A$15,Categories!$B$15,IF($E78=Categories!$A$16,Categories!$B$16,IF($E78=Categories!$A$17,Categories!$B$17,IF($E78=Categories!$A$18,Categories!$B$18,IF($E78=Categories!$A$19,Categories!$B$19)))))))))))))))))))</f>
        <v>0</v>
      </c>
      <c r="G78" s="9" t="str">
        <f t="shared" si="19"/>
        <v/>
      </c>
      <c r="H78" s="1" t="str">
        <f t="shared" si="20"/>
        <v/>
      </c>
      <c r="I78" s="1" t="str">
        <f t="shared" si="21"/>
        <v/>
      </c>
      <c r="J78" s="1" t="str">
        <f t="shared" si="22"/>
        <v/>
      </c>
      <c r="K78" s="13" t="str">
        <f t="shared" si="23"/>
        <v/>
      </c>
      <c r="L78" s="9" t="str">
        <f t="shared" si="24"/>
        <v/>
      </c>
      <c r="M78" s="1" t="str">
        <f t="shared" si="25"/>
        <v/>
      </c>
      <c r="N78" s="1" t="str">
        <f t="shared" si="26"/>
        <v/>
      </c>
      <c r="O78" s="1" t="str">
        <f t="shared" si="27"/>
        <v/>
      </c>
      <c r="P78" s="1" t="str">
        <f t="shared" si="28"/>
        <v/>
      </c>
      <c r="Q78" s="1" t="str">
        <f t="shared" si="29"/>
        <v/>
      </c>
      <c r="R78" s="1" t="str">
        <f t="shared" si="30"/>
        <v/>
      </c>
      <c r="S78" s="1" t="str">
        <f t="shared" si="31"/>
        <v/>
      </c>
      <c r="T78" s="1" t="str">
        <f t="shared" si="32"/>
        <v/>
      </c>
      <c r="U78" s="1" t="str">
        <f t="shared" si="33"/>
        <v/>
      </c>
      <c r="V78" s="1" t="str">
        <f t="shared" si="34"/>
        <v/>
      </c>
      <c r="W78" s="26" t="str">
        <f t="shared" si="35"/>
        <v/>
      </c>
      <c r="X78" s="13" t="str">
        <f t="shared" si="36"/>
        <v/>
      </c>
      <c r="Y78" s="9">
        <f t="shared" si="37"/>
        <v>0</v>
      </c>
    </row>
    <row r="79" spans="1:25" x14ac:dyDescent="0.25">
      <c r="A79" s="28"/>
      <c r="B79" s="29"/>
      <c r="C79" s="30"/>
      <c r="D79" s="31"/>
      <c r="E79" s="29" t="s">
        <v>16</v>
      </c>
      <c r="F79" s="13" t="b">
        <f>IF($E79=Categories!$A$1,"",IF($E79=Categories!$A$2,Categories!$B$2,IF($E79=Categories!$A$3,Categories!$B$3,IF($E79=Categories!$A$4,Categories!$B$4,IF($E79=Categories!$A$5,Categories!$B$5,IF($E79=Categories!$A$6,Categories!$B$6,IF($E79=Categories!$A$7,Categories!$B$7,IF($E79=Categories!$A$8,Categories!$B$8,IF($E79=Categories!$A$9,Categories!$B$9,IF($E79=Categories!$A$10,Categories!$B$10,IF($E79=Categories!$A$11,Categories!$B$11,IF($E79=Categories!$A$12,Categories!$B$12,IF($E79=Categories!$A$13,Categories!$B$13,IF($E79=Categories!$A$14,Categories!$B$14,IF($E79=Categories!$A$15,Categories!$B$15,IF($E79=Categories!$A$16,Categories!$B$16,IF($E79=Categories!$A$17,Categories!$B$17,IF($E79=Categories!$A$18,Categories!$B$18,IF($E79=Categories!$A$19,Categories!$B$19)))))))))))))))))))</f>
        <v>0</v>
      </c>
      <c r="G79" s="9" t="str">
        <f t="shared" si="19"/>
        <v/>
      </c>
      <c r="H79" s="1" t="str">
        <f t="shared" si="20"/>
        <v/>
      </c>
      <c r="I79" s="1" t="str">
        <f t="shared" si="21"/>
        <v/>
      </c>
      <c r="J79" s="1" t="str">
        <f t="shared" si="22"/>
        <v/>
      </c>
      <c r="K79" s="13" t="str">
        <f t="shared" si="23"/>
        <v/>
      </c>
      <c r="L79" s="9" t="str">
        <f t="shared" si="24"/>
        <v/>
      </c>
      <c r="M79" s="1" t="str">
        <f t="shared" si="25"/>
        <v/>
      </c>
      <c r="N79" s="1" t="str">
        <f t="shared" si="26"/>
        <v/>
      </c>
      <c r="O79" s="1" t="str">
        <f t="shared" si="27"/>
        <v/>
      </c>
      <c r="P79" s="1" t="str">
        <f t="shared" si="28"/>
        <v/>
      </c>
      <c r="Q79" s="1" t="str">
        <f t="shared" si="29"/>
        <v/>
      </c>
      <c r="R79" s="1" t="str">
        <f t="shared" si="30"/>
        <v/>
      </c>
      <c r="S79" s="1" t="str">
        <f t="shared" si="31"/>
        <v/>
      </c>
      <c r="T79" s="1" t="str">
        <f t="shared" si="32"/>
        <v/>
      </c>
      <c r="U79" s="1" t="str">
        <f t="shared" si="33"/>
        <v/>
      </c>
      <c r="V79" s="1" t="str">
        <f t="shared" si="34"/>
        <v/>
      </c>
      <c r="W79" s="26" t="str">
        <f t="shared" si="35"/>
        <v/>
      </c>
      <c r="X79" s="13" t="str">
        <f t="shared" si="36"/>
        <v/>
      </c>
      <c r="Y79" s="9">
        <f t="shared" si="37"/>
        <v>0</v>
      </c>
    </row>
    <row r="80" spans="1:25" x14ac:dyDescent="0.25">
      <c r="A80" s="28"/>
      <c r="B80" s="29"/>
      <c r="C80" s="30"/>
      <c r="D80" s="31"/>
      <c r="E80" s="29" t="s">
        <v>16</v>
      </c>
      <c r="F80" s="13" t="b">
        <f>IF($E80=Categories!$A$1,"",IF($E80=Categories!$A$2,Categories!$B$2,IF($E80=Categories!$A$3,Categories!$B$3,IF($E80=Categories!$A$4,Categories!$B$4,IF($E80=Categories!$A$5,Categories!$B$5,IF($E80=Categories!$A$6,Categories!$B$6,IF($E80=Categories!$A$7,Categories!$B$7,IF($E80=Categories!$A$8,Categories!$B$8,IF($E80=Categories!$A$9,Categories!$B$9,IF($E80=Categories!$A$10,Categories!$B$10,IF($E80=Categories!$A$11,Categories!$B$11,IF($E80=Categories!$A$12,Categories!$B$12,IF($E80=Categories!$A$13,Categories!$B$13,IF($E80=Categories!$A$14,Categories!$B$14,IF($E80=Categories!$A$15,Categories!$B$15,IF($E80=Categories!$A$16,Categories!$B$16,IF($E80=Categories!$A$17,Categories!$B$17,IF($E80=Categories!$A$18,Categories!$B$18,IF($E80=Categories!$A$19,Categories!$B$19)))))))))))))))))))</f>
        <v>0</v>
      </c>
      <c r="G80" s="9" t="str">
        <f t="shared" si="19"/>
        <v/>
      </c>
      <c r="H80" s="1" t="str">
        <f t="shared" si="20"/>
        <v/>
      </c>
      <c r="I80" s="1" t="str">
        <f t="shared" si="21"/>
        <v/>
      </c>
      <c r="J80" s="1" t="str">
        <f t="shared" si="22"/>
        <v/>
      </c>
      <c r="K80" s="13" t="str">
        <f t="shared" si="23"/>
        <v/>
      </c>
      <c r="L80" s="9" t="str">
        <f t="shared" si="24"/>
        <v/>
      </c>
      <c r="M80" s="1" t="str">
        <f t="shared" si="25"/>
        <v/>
      </c>
      <c r="N80" s="1" t="str">
        <f t="shared" si="26"/>
        <v/>
      </c>
      <c r="O80" s="1" t="str">
        <f t="shared" si="27"/>
        <v/>
      </c>
      <c r="P80" s="1" t="str">
        <f t="shared" si="28"/>
        <v/>
      </c>
      <c r="Q80" s="1" t="str">
        <f t="shared" si="29"/>
        <v/>
      </c>
      <c r="R80" s="1" t="str">
        <f t="shared" si="30"/>
        <v/>
      </c>
      <c r="S80" s="1" t="str">
        <f t="shared" si="31"/>
        <v/>
      </c>
      <c r="T80" s="1" t="str">
        <f t="shared" si="32"/>
        <v/>
      </c>
      <c r="U80" s="1" t="str">
        <f t="shared" si="33"/>
        <v/>
      </c>
      <c r="V80" s="1" t="str">
        <f t="shared" si="34"/>
        <v/>
      </c>
      <c r="W80" s="26" t="str">
        <f t="shared" si="35"/>
        <v/>
      </c>
      <c r="X80" s="13" t="str">
        <f t="shared" si="36"/>
        <v/>
      </c>
      <c r="Y80" s="9">
        <f t="shared" si="37"/>
        <v>0</v>
      </c>
    </row>
    <row r="81" spans="1:25" x14ac:dyDescent="0.25">
      <c r="A81" s="28"/>
      <c r="B81" s="29"/>
      <c r="C81" s="30"/>
      <c r="D81" s="31"/>
      <c r="E81" s="29" t="s">
        <v>16</v>
      </c>
      <c r="F81" s="13" t="b">
        <f>IF($E81=Categories!$A$1,"",IF($E81=Categories!$A$2,Categories!$B$2,IF($E81=Categories!$A$3,Categories!$B$3,IF($E81=Categories!$A$4,Categories!$B$4,IF($E81=Categories!$A$5,Categories!$B$5,IF($E81=Categories!$A$6,Categories!$B$6,IF($E81=Categories!$A$7,Categories!$B$7,IF($E81=Categories!$A$8,Categories!$B$8,IF($E81=Categories!$A$9,Categories!$B$9,IF($E81=Categories!$A$10,Categories!$B$10,IF($E81=Categories!$A$11,Categories!$B$11,IF($E81=Categories!$A$12,Categories!$B$12,IF($E81=Categories!$A$13,Categories!$B$13,IF($E81=Categories!$A$14,Categories!$B$14,IF($E81=Categories!$A$15,Categories!$B$15,IF($E81=Categories!$A$16,Categories!$B$16,IF($E81=Categories!$A$17,Categories!$B$17,IF($E81=Categories!$A$18,Categories!$B$18,IF($E81=Categories!$A$19,Categories!$B$19)))))))))))))))))))</f>
        <v>0</v>
      </c>
      <c r="G81" s="9" t="str">
        <f t="shared" si="19"/>
        <v/>
      </c>
      <c r="H81" s="1" t="str">
        <f t="shared" si="20"/>
        <v/>
      </c>
      <c r="I81" s="1" t="str">
        <f t="shared" si="21"/>
        <v/>
      </c>
      <c r="J81" s="1" t="str">
        <f t="shared" si="22"/>
        <v/>
      </c>
      <c r="K81" s="13" t="str">
        <f t="shared" si="23"/>
        <v/>
      </c>
      <c r="L81" s="9" t="str">
        <f t="shared" si="24"/>
        <v/>
      </c>
      <c r="M81" s="1" t="str">
        <f t="shared" si="25"/>
        <v/>
      </c>
      <c r="N81" s="1" t="str">
        <f t="shared" si="26"/>
        <v/>
      </c>
      <c r="O81" s="1" t="str">
        <f t="shared" si="27"/>
        <v/>
      </c>
      <c r="P81" s="1" t="str">
        <f t="shared" si="28"/>
        <v/>
      </c>
      <c r="Q81" s="1" t="str">
        <f t="shared" si="29"/>
        <v/>
      </c>
      <c r="R81" s="1" t="str">
        <f t="shared" si="30"/>
        <v/>
      </c>
      <c r="S81" s="1" t="str">
        <f t="shared" si="31"/>
        <v/>
      </c>
      <c r="T81" s="1" t="str">
        <f t="shared" si="32"/>
        <v/>
      </c>
      <c r="U81" s="1" t="str">
        <f t="shared" si="33"/>
        <v/>
      </c>
      <c r="V81" s="1" t="str">
        <f t="shared" si="34"/>
        <v/>
      </c>
      <c r="W81" s="26" t="str">
        <f t="shared" si="35"/>
        <v/>
      </c>
      <c r="X81" s="13" t="str">
        <f t="shared" si="36"/>
        <v/>
      </c>
      <c r="Y81" s="9">
        <f t="shared" si="37"/>
        <v>0</v>
      </c>
    </row>
    <row r="82" spans="1:25" x14ac:dyDescent="0.25">
      <c r="A82" s="28"/>
      <c r="B82" s="29"/>
      <c r="C82" s="30"/>
      <c r="D82" s="31"/>
      <c r="E82" s="29" t="s">
        <v>16</v>
      </c>
      <c r="F82" s="13" t="b">
        <f>IF($E82=Categories!$A$1,"",IF($E82=Categories!$A$2,Categories!$B$2,IF($E82=Categories!$A$3,Categories!$B$3,IF($E82=Categories!$A$4,Categories!$B$4,IF($E82=Categories!$A$5,Categories!$B$5,IF($E82=Categories!$A$6,Categories!$B$6,IF($E82=Categories!$A$7,Categories!$B$7,IF($E82=Categories!$A$8,Categories!$B$8,IF($E82=Categories!$A$9,Categories!$B$9,IF($E82=Categories!$A$10,Categories!$B$10,IF($E82=Categories!$A$11,Categories!$B$11,IF($E82=Categories!$A$12,Categories!$B$12,IF($E82=Categories!$A$13,Categories!$B$13,IF($E82=Categories!$A$14,Categories!$B$14,IF($E82=Categories!$A$15,Categories!$B$15,IF($E82=Categories!$A$16,Categories!$B$16,IF($E82=Categories!$A$17,Categories!$B$17,IF($E82=Categories!$A$18,Categories!$B$18,IF($E82=Categories!$A$19,Categories!$B$19)))))))))))))))))))</f>
        <v>0</v>
      </c>
      <c r="G82" s="9" t="str">
        <f t="shared" si="19"/>
        <v/>
      </c>
      <c r="H82" s="1" t="str">
        <f t="shared" si="20"/>
        <v/>
      </c>
      <c r="I82" s="1" t="str">
        <f t="shared" si="21"/>
        <v/>
      </c>
      <c r="J82" s="1" t="str">
        <f t="shared" si="22"/>
        <v/>
      </c>
      <c r="K82" s="13" t="str">
        <f t="shared" si="23"/>
        <v/>
      </c>
      <c r="L82" s="9" t="str">
        <f t="shared" si="24"/>
        <v/>
      </c>
      <c r="M82" s="1" t="str">
        <f t="shared" si="25"/>
        <v/>
      </c>
      <c r="N82" s="1" t="str">
        <f t="shared" si="26"/>
        <v/>
      </c>
      <c r="O82" s="1" t="str">
        <f t="shared" si="27"/>
        <v/>
      </c>
      <c r="P82" s="1" t="str">
        <f t="shared" si="28"/>
        <v/>
      </c>
      <c r="Q82" s="1" t="str">
        <f t="shared" si="29"/>
        <v/>
      </c>
      <c r="R82" s="1" t="str">
        <f t="shared" si="30"/>
        <v/>
      </c>
      <c r="S82" s="1" t="str">
        <f t="shared" si="31"/>
        <v/>
      </c>
      <c r="T82" s="1" t="str">
        <f t="shared" si="32"/>
        <v/>
      </c>
      <c r="U82" s="1" t="str">
        <f t="shared" si="33"/>
        <v/>
      </c>
      <c r="V82" s="1" t="str">
        <f t="shared" si="34"/>
        <v/>
      </c>
      <c r="W82" s="26" t="str">
        <f t="shared" si="35"/>
        <v/>
      </c>
      <c r="X82" s="13" t="str">
        <f t="shared" si="36"/>
        <v/>
      </c>
      <c r="Y82" s="9">
        <f t="shared" si="37"/>
        <v>0</v>
      </c>
    </row>
    <row r="83" spans="1:25" x14ac:dyDescent="0.25">
      <c r="A83" s="28"/>
      <c r="B83" s="29"/>
      <c r="C83" s="30"/>
      <c r="D83" s="31"/>
      <c r="E83" s="29" t="s">
        <v>16</v>
      </c>
      <c r="F83" s="13" t="b">
        <f>IF($E83=Categories!$A$1,"",IF($E83=Categories!$A$2,Categories!$B$2,IF($E83=Categories!$A$3,Categories!$B$3,IF($E83=Categories!$A$4,Categories!$B$4,IF($E83=Categories!$A$5,Categories!$B$5,IF($E83=Categories!$A$6,Categories!$B$6,IF($E83=Categories!$A$7,Categories!$B$7,IF($E83=Categories!$A$8,Categories!$B$8,IF($E83=Categories!$A$9,Categories!$B$9,IF($E83=Categories!$A$10,Categories!$B$10,IF($E83=Categories!$A$11,Categories!$B$11,IF($E83=Categories!$A$12,Categories!$B$12,IF($E83=Categories!$A$13,Categories!$B$13,IF($E83=Categories!$A$14,Categories!$B$14,IF($E83=Categories!$A$15,Categories!$B$15,IF($E83=Categories!$A$16,Categories!$B$16,IF($E83=Categories!$A$17,Categories!$B$17,IF($E83=Categories!$A$18,Categories!$B$18,IF($E83=Categories!$A$19,Categories!$B$19)))))))))))))))))))</f>
        <v>0</v>
      </c>
      <c r="G83" s="9" t="str">
        <f t="shared" si="19"/>
        <v/>
      </c>
      <c r="H83" s="1" t="str">
        <f t="shared" si="20"/>
        <v/>
      </c>
      <c r="I83" s="1" t="str">
        <f t="shared" si="21"/>
        <v/>
      </c>
      <c r="J83" s="1" t="str">
        <f t="shared" si="22"/>
        <v/>
      </c>
      <c r="K83" s="13" t="str">
        <f t="shared" si="23"/>
        <v/>
      </c>
      <c r="L83" s="9" t="str">
        <f t="shared" si="24"/>
        <v/>
      </c>
      <c r="M83" s="1" t="str">
        <f t="shared" si="25"/>
        <v/>
      </c>
      <c r="N83" s="1" t="str">
        <f t="shared" si="26"/>
        <v/>
      </c>
      <c r="O83" s="1" t="str">
        <f t="shared" si="27"/>
        <v/>
      </c>
      <c r="P83" s="1" t="str">
        <f t="shared" si="28"/>
        <v/>
      </c>
      <c r="Q83" s="1" t="str">
        <f t="shared" si="29"/>
        <v/>
      </c>
      <c r="R83" s="1" t="str">
        <f t="shared" si="30"/>
        <v/>
      </c>
      <c r="S83" s="1" t="str">
        <f t="shared" si="31"/>
        <v/>
      </c>
      <c r="T83" s="1" t="str">
        <f t="shared" si="32"/>
        <v/>
      </c>
      <c r="U83" s="1" t="str">
        <f t="shared" si="33"/>
        <v/>
      </c>
      <c r="V83" s="1" t="str">
        <f t="shared" si="34"/>
        <v/>
      </c>
      <c r="W83" s="26" t="str">
        <f t="shared" si="35"/>
        <v/>
      </c>
      <c r="X83" s="13" t="str">
        <f t="shared" si="36"/>
        <v/>
      </c>
      <c r="Y83" s="9">
        <f t="shared" si="37"/>
        <v>0</v>
      </c>
    </row>
    <row r="84" spans="1:25" x14ac:dyDescent="0.25">
      <c r="A84" s="28"/>
      <c r="B84" s="29"/>
      <c r="C84" s="30"/>
      <c r="D84" s="31"/>
      <c r="E84" s="29" t="s">
        <v>16</v>
      </c>
      <c r="F84" s="13" t="b">
        <f>IF($E84=Categories!$A$1,"",IF($E84=Categories!$A$2,Categories!$B$2,IF($E84=Categories!$A$3,Categories!$B$3,IF($E84=Categories!$A$4,Categories!$B$4,IF($E84=Categories!$A$5,Categories!$B$5,IF($E84=Categories!$A$6,Categories!$B$6,IF($E84=Categories!$A$7,Categories!$B$7,IF($E84=Categories!$A$8,Categories!$B$8,IF($E84=Categories!$A$9,Categories!$B$9,IF($E84=Categories!$A$10,Categories!$B$10,IF($E84=Categories!$A$11,Categories!$B$11,IF($E84=Categories!$A$12,Categories!$B$12,IF($E84=Categories!$A$13,Categories!$B$13,IF($E84=Categories!$A$14,Categories!$B$14,IF($E84=Categories!$A$15,Categories!$B$15,IF($E84=Categories!$A$16,Categories!$B$16,IF($E84=Categories!$A$17,Categories!$B$17,IF($E84=Categories!$A$18,Categories!$B$18,IF($E84=Categories!$A$19,Categories!$B$19)))))))))))))))))))</f>
        <v>0</v>
      </c>
      <c r="G84" s="9" t="str">
        <f t="shared" si="19"/>
        <v/>
      </c>
      <c r="H84" s="1" t="str">
        <f t="shared" si="20"/>
        <v/>
      </c>
      <c r="I84" s="1" t="str">
        <f t="shared" si="21"/>
        <v/>
      </c>
      <c r="J84" s="1" t="str">
        <f t="shared" si="22"/>
        <v/>
      </c>
      <c r="K84" s="13" t="str">
        <f t="shared" si="23"/>
        <v/>
      </c>
      <c r="L84" s="9" t="str">
        <f t="shared" si="24"/>
        <v/>
      </c>
      <c r="M84" s="1" t="str">
        <f t="shared" si="25"/>
        <v/>
      </c>
      <c r="N84" s="1" t="str">
        <f t="shared" si="26"/>
        <v/>
      </c>
      <c r="O84" s="1" t="str">
        <f t="shared" si="27"/>
        <v/>
      </c>
      <c r="P84" s="1" t="str">
        <f t="shared" si="28"/>
        <v/>
      </c>
      <c r="Q84" s="1" t="str">
        <f t="shared" si="29"/>
        <v/>
      </c>
      <c r="R84" s="1" t="str">
        <f t="shared" si="30"/>
        <v/>
      </c>
      <c r="S84" s="1" t="str">
        <f t="shared" si="31"/>
        <v/>
      </c>
      <c r="T84" s="1" t="str">
        <f t="shared" si="32"/>
        <v/>
      </c>
      <c r="U84" s="1" t="str">
        <f t="shared" si="33"/>
        <v/>
      </c>
      <c r="V84" s="1" t="str">
        <f t="shared" si="34"/>
        <v/>
      </c>
      <c r="W84" s="26" t="str">
        <f t="shared" si="35"/>
        <v/>
      </c>
      <c r="X84" s="13" t="str">
        <f t="shared" si="36"/>
        <v/>
      </c>
      <c r="Y84" s="9">
        <f t="shared" si="37"/>
        <v>0</v>
      </c>
    </row>
    <row r="85" spans="1:25" x14ac:dyDescent="0.25">
      <c r="A85" s="28"/>
      <c r="B85" s="29"/>
      <c r="C85" s="30"/>
      <c r="D85" s="31"/>
      <c r="E85" s="29" t="s">
        <v>16</v>
      </c>
      <c r="F85" s="13" t="b">
        <f>IF($E85=Categories!$A$1,"",IF($E85=Categories!$A$2,Categories!$B$2,IF($E85=Categories!$A$3,Categories!$B$3,IF($E85=Categories!$A$4,Categories!$B$4,IF($E85=Categories!$A$5,Categories!$B$5,IF($E85=Categories!$A$6,Categories!$B$6,IF($E85=Categories!$A$7,Categories!$B$7,IF($E85=Categories!$A$8,Categories!$B$8,IF($E85=Categories!$A$9,Categories!$B$9,IF($E85=Categories!$A$10,Categories!$B$10,IF($E85=Categories!$A$11,Categories!$B$11,IF($E85=Categories!$A$12,Categories!$B$12,IF($E85=Categories!$A$13,Categories!$B$13,IF($E85=Categories!$A$14,Categories!$B$14,IF($E85=Categories!$A$15,Categories!$B$15,IF($E85=Categories!$A$16,Categories!$B$16,IF($E85=Categories!$A$17,Categories!$B$17,IF($E85=Categories!$A$18,Categories!$B$18,IF($E85=Categories!$A$19,Categories!$B$19)))))))))))))))))))</f>
        <v>0</v>
      </c>
      <c r="G85" s="9" t="str">
        <f t="shared" si="19"/>
        <v/>
      </c>
      <c r="H85" s="1" t="str">
        <f t="shared" si="20"/>
        <v/>
      </c>
      <c r="I85" s="1" t="str">
        <f t="shared" si="21"/>
        <v/>
      </c>
      <c r="J85" s="1" t="str">
        <f t="shared" si="22"/>
        <v/>
      </c>
      <c r="K85" s="13" t="str">
        <f t="shared" si="23"/>
        <v/>
      </c>
      <c r="L85" s="9" t="str">
        <f t="shared" si="24"/>
        <v/>
      </c>
      <c r="M85" s="1" t="str">
        <f t="shared" si="25"/>
        <v/>
      </c>
      <c r="N85" s="1" t="str">
        <f t="shared" si="26"/>
        <v/>
      </c>
      <c r="O85" s="1" t="str">
        <f t="shared" si="27"/>
        <v/>
      </c>
      <c r="P85" s="1" t="str">
        <f t="shared" si="28"/>
        <v/>
      </c>
      <c r="Q85" s="1" t="str">
        <f t="shared" si="29"/>
        <v/>
      </c>
      <c r="R85" s="1" t="str">
        <f t="shared" si="30"/>
        <v/>
      </c>
      <c r="S85" s="1" t="str">
        <f t="shared" si="31"/>
        <v/>
      </c>
      <c r="T85" s="1" t="str">
        <f t="shared" si="32"/>
        <v/>
      </c>
      <c r="U85" s="1" t="str">
        <f t="shared" si="33"/>
        <v/>
      </c>
      <c r="V85" s="1" t="str">
        <f t="shared" si="34"/>
        <v/>
      </c>
      <c r="W85" s="26" t="str">
        <f t="shared" si="35"/>
        <v/>
      </c>
      <c r="X85" s="13" t="str">
        <f t="shared" si="36"/>
        <v/>
      </c>
      <c r="Y85" s="9">
        <f t="shared" si="37"/>
        <v>0</v>
      </c>
    </row>
    <row r="86" spans="1:25" x14ac:dyDescent="0.25">
      <c r="A86" s="28"/>
      <c r="B86" s="29"/>
      <c r="C86" s="30"/>
      <c r="D86" s="31"/>
      <c r="E86" s="29" t="s">
        <v>16</v>
      </c>
      <c r="F86" s="13" t="b">
        <f>IF($E86=Categories!$A$1,"",IF($E86=Categories!$A$2,Categories!$B$2,IF($E86=Categories!$A$3,Categories!$B$3,IF($E86=Categories!$A$4,Categories!$B$4,IF($E86=Categories!$A$5,Categories!$B$5,IF($E86=Categories!$A$6,Categories!$B$6,IF($E86=Categories!$A$7,Categories!$B$7,IF($E86=Categories!$A$8,Categories!$B$8,IF($E86=Categories!$A$9,Categories!$B$9,IF($E86=Categories!$A$10,Categories!$B$10,IF($E86=Categories!$A$11,Categories!$B$11,IF($E86=Categories!$A$12,Categories!$B$12,IF($E86=Categories!$A$13,Categories!$B$13,IF($E86=Categories!$A$14,Categories!$B$14,IF($E86=Categories!$A$15,Categories!$B$15,IF($E86=Categories!$A$16,Categories!$B$16,IF($E86=Categories!$A$17,Categories!$B$17,IF($E86=Categories!$A$18,Categories!$B$18,IF($E86=Categories!$A$19,Categories!$B$19)))))))))))))))))))</f>
        <v>0</v>
      </c>
      <c r="G86" s="9" t="str">
        <f t="shared" si="19"/>
        <v/>
      </c>
      <c r="H86" s="1" t="str">
        <f t="shared" si="20"/>
        <v/>
      </c>
      <c r="I86" s="1" t="str">
        <f t="shared" si="21"/>
        <v/>
      </c>
      <c r="J86" s="1" t="str">
        <f t="shared" si="22"/>
        <v/>
      </c>
      <c r="K86" s="13" t="str">
        <f t="shared" si="23"/>
        <v/>
      </c>
      <c r="L86" s="9" t="str">
        <f t="shared" si="24"/>
        <v/>
      </c>
      <c r="M86" s="1" t="str">
        <f t="shared" si="25"/>
        <v/>
      </c>
      <c r="N86" s="1" t="str">
        <f t="shared" si="26"/>
        <v/>
      </c>
      <c r="O86" s="1" t="str">
        <f t="shared" si="27"/>
        <v/>
      </c>
      <c r="P86" s="1" t="str">
        <f t="shared" si="28"/>
        <v/>
      </c>
      <c r="Q86" s="1" t="str">
        <f t="shared" si="29"/>
        <v/>
      </c>
      <c r="R86" s="1" t="str">
        <f t="shared" si="30"/>
        <v/>
      </c>
      <c r="S86" s="1" t="str">
        <f t="shared" si="31"/>
        <v/>
      </c>
      <c r="T86" s="1" t="str">
        <f t="shared" si="32"/>
        <v/>
      </c>
      <c r="U86" s="1" t="str">
        <f t="shared" si="33"/>
        <v/>
      </c>
      <c r="V86" s="1" t="str">
        <f t="shared" si="34"/>
        <v/>
      </c>
      <c r="W86" s="26" t="str">
        <f t="shared" si="35"/>
        <v/>
      </c>
      <c r="X86" s="13" t="str">
        <f t="shared" si="36"/>
        <v/>
      </c>
      <c r="Y86" s="9">
        <f t="shared" si="37"/>
        <v>0</v>
      </c>
    </row>
    <row r="87" spans="1:25" x14ac:dyDescent="0.25">
      <c r="A87" s="28"/>
      <c r="B87" s="29"/>
      <c r="C87" s="30"/>
      <c r="D87" s="31"/>
      <c r="E87" s="29" t="s">
        <v>16</v>
      </c>
      <c r="F87" s="13" t="b">
        <f>IF($E87=Categories!$A$1,"",IF($E87=Categories!$A$2,Categories!$B$2,IF($E87=Categories!$A$3,Categories!$B$3,IF($E87=Categories!$A$4,Categories!$B$4,IF($E87=Categories!$A$5,Categories!$B$5,IF($E87=Categories!$A$6,Categories!$B$6,IF($E87=Categories!$A$7,Categories!$B$7,IF($E87=Categories!$A$8,Categories!$B$8,IF($E87=Categories!$A$9,Categories!$B$9,IF($E87=Categories!$A$10,Categories!$B$10,IF($E87=Categories!$A$11,Categories!$B$11,IF($E87=Categories!$A$12,Categories!$B$12,IF($E87=Categories!$A$13,Categories!$B$13,IF($E87=Categories!$A$14,Categories!$B$14,IF($E87=Categories!$A$15,Categories!$B$15,IF($E87=Categories!$A$16,Categories!$B$16,IF($E87=Categories!$A$17,Categories!$B$17,IF($E87=Categories!$A$18,Categories!$B$18,IF($E87=Categories!$A$19,Categories!$B$19)))))))))))))))))))</f>
        <v>0</v>
      </c>
      <c r="G87" s="9" t="str">
        <f t="shared" si="19"/>
        <v/>
      </c>
      <c r="H87" s="1" t="str">
        <f t="shared" si="20"/>
        <v/>
      </c>
      <c r="I87" s="1" t="str">
        <f t="shared" si="21"/>
        <v/>
      </c>
      <c r="J87" s="1" t="str">
        <f t="shared" si="22"/>
        <v/>
      </c>
      <c r="K87" s="13" t="str">
        <f t="shared" si="23"/>
        <v/>
      </c>
      <c r="L87" s="9" t="str">
        <f t="shared" si="24"/>
        <v/>
      </c>
      <c r="M87" s="1" t="str">
        <f t="shared" si="25"/>
        <v/>
      </c>
      <c r="N87" s="1" t="str">
        <f t="shared" si="26"/>
        <v/>
      </c>
      <c r="O87" s="1" t="str">
        <f t="shared" si="27"/>
        <v/>
      </c>
      <c r="P87" s="1" t="str">
        <f t="shared" si="28"/>
        <v/>
      </c>
      <c r="Q87" s="1" t="str">
        <f t="shared" si="29"/>
        <v/>
      </c>
      <c r="R87" s="1" t="str">
        <f t="shared" si="30"/>
        <v/>
      </c>
      <c r="S87" s="1" t="str">
        <f t="shared" si="31"/>
        <v/>
      </c>
      <c r="T87" s="1" t="str">
        <f t="shared" si="32"/>
        <v/>
      </c>
      <c r="U87" s="1" t="str">
        <f t="shared" si="33"/>
        <v/>
      </c>
      <c r="V87" s="1" t="str">
        <f t="shared" si="34"/>
        <v/>
      </c>
      <c r="W87" s="26" t="str">
        <f t="shared" si="35"/>
        <v/>
      </c>
      <c r="X87" s="13" t="str">
        <f t="shared" si="36"/>
        <v/>
      </c>
      <c r="Y87" s="9">
        <f t="shared" si="37"/>
        <v>0</v>
      </c>
    </row>
    <row r="88" spans="1:25" x14ac:dyDescent="0.25">
      <c r="A88" s="28"/>
      <c r="B88" s="29"/>
      <c r="C88" s="30"/>
      <c r="D88" s="31"/>
      <c r="E88" s="29" t="s">
        <v>16</v>
      </c>
      <c r="F88" s="13" t="b">
        <f>IF($E88=Categories!$A$1,"",IF($E88=Categories!$A$2,Categories!$B$2,IF($E88=Categories!$A$3,Categories!$B$3,IF($E88=Categories!$A$4,Categories!$B$4,IF($E88=Categories!$A$5,Categories!$B$5,IF($E88=Categories!$A$6,Categories!$B$6,IF($E88=Categories!$A$7,Categories!$B$7,IF($E88=Categories!$A$8,Categories!$B$8,IF($E88=Categories!$A$9,Categories!$B$9,IF($E88=Categories!$A$10,Categories!$B$10,IF($E88=Categories!$A$11,Categories!$B$11,IF($E88=Categories!$A$12,Categories!$B$12,IF($E88=Categories!$A$13,Categories!$B$13,IF($E88=Categories!$A$14,Categories!$B$14,IF($E88=Categories!$A$15,Categories!$B$15,IF($E88=Categories!$A$16,Categories!$B$16,IF($E88=Categories!$A$17,Categories!$B$17,IF($E88=Categories!$A$18,Categories!$B$18,IF($E88=Categories!$A$19,Categories!$B$19)))))))))))))))))))</f>
        <v>0</v>
      </c>
      <c r="G88" s="9" t="str">
        <f t="shared" si="19"/>
        <v/>
      </c>
      <c r="H88" s="1" t="str">
        <f t="shared" si="20"/>
        <v/>
      </c>
      <c r="I88" s="1" t="str">
        <f t="shared" si="21"/>
        <v/>
      </c>
      <c r="J88" s="1" t="str">
        <f t="shared" si="22"/>
        <v/>
      </c>
      <c r="K88" s="13" t="str">
        <f t="shared" si="23"/>
        <v/>
      </c>
      <c r="L88" s="9" t="str">
        <f t="shared" si="24"/>
        <v/>
      </c>
      <c r="M88" s="1" t="str">
        <f t="shared" si="25"/>
        <v/>
      </c>
      <c r="N88" s="1" t="str">
        <f t="shared" si="26"/>
        <v/>
      </c>
      <c r="O88" s="1" t="str">
        <f t="shared" si="27"/>
        <v/>
      </c>
      <c r="P88" s="1" t="str">
        <f t="shared" si="28"/>
        <v/>
      </c>
      <c r="Q88" s="1" t="str">
        <f t="shared" si="29"/>
        <v/>
      </c>
      <c r="R88" s="1" t="str">
        <f t="shared" si="30"/>
        <v/>
      </c>
      <c r="S88" s="1" t="str">
        <f t="shared" si="31"/>
        <v/>
      </c>
      <c r="T88" s="1" t="str">
        <f t="shared" si="32"/>
        <v/>
      </c>
      <c r="U88" s="1" t="str">
        <f t="shared" si="33"/>
        <v/>
      </c>
      <c r="V88" s="1" t="str">
        <f t="shared" si="34"/>
        <v/>
      </c>
      <c r="W88" s="26" t="str">
        <f t="shared" si="35"/>
        <v/>
      </c>
      <c r="X88" s="13" t="str">
        <f t="shared" si="36"/>
        <v/>
      </c>
      <c r="Y88" s="9">
        <f t="shared" si="37"/>
        <v>0</v>
      </c>
    </row>
    <row r="89" spans="1:25" x14ac:dyDescent="0.25">
      <c r="A89" s="28"/>
      <c r="B89" s="29"/>
      <c r="C89" s="30"/>
      <c r="D89" s="31"/>
      <c r="E89" s="29" t="s">
        <v>16</v>
      </c>
      <c r="F89" s="13" t="b">
        <f>IF($E89=Categories!$A$1,"",IF($E89=Categories!$A$2,Categories!$B$2,IF($E89=Categories!$A$3,Categories!$B$3,IF($E89=Categories!$A$4,Categories!$B$4,IF($E89=Categories!$A$5,Categories!$B$5,IF($E89=Categories!$A$6,Categories!$B$6,IF($E89=Categories!$A$7,Categories!$B$7,IF($E89=Categories!$A$8,Categories!$B$8,IF($E89=Categories!$A$9,Categories!$B$9,IF($E89=Categories!$A$10,Categories!$B$10,IF($E89=Categories!$A$11,Categories!$B$11,IF($E89=Categories!$A$12,Categories!$B$12,IF($E89=Categories!$A$13,Categories!$B$13,IF($E89=Categories!$A$14,Categories!$B$14,IF($E89=Categories!$A$15,Categories!$B$15,IF($E89=Categories!$A$16,Categories!$B$16,IF($E89=Categories!$A$17,Categories!$B$17,IF($E89=Categories!$A$18,Categories!$B$18,IF($E89=Categories!$A$19,Categories!$B$19)))))))))))))))))))</f>
        <v>0</v>
      </c>
      <c r="G89" s="9" t="str">
        <f t="shared" si="19"/>
        <v/>
      </c>
      <c r="H89" s="1" t="str">
        <f t="shared" si="20"/>
        <v/>
      </c>
      <c r="I89" s="1" t="str">
        <f t="shared" si="21"/>
        <v/>
      </c>
      <c r="J89" s="1" t="str">
        <f t="shared" si="22"/>
        <v/>
      </c>
      <c r="K89" s="13" t="str">
        <f t="shared" si="23"/>
        <v/>
      </c>
      <c r="L89" s="9" t="str">
        <f t="shared" si="24"/>
        <v/>
      </c>
      <c r="M89" s="1" t="str">
        <f t="shared" si="25"/>
        <v/>
      </c>
      <c r="N89" s="1" t="str">
        <f t="shared" si="26"/>
        <v/>
      </c>
      <c r="O89" s="1" t="str">
        <f t="shared" si="27"/>
        <v/>
      </c>
      <c r="P89" s="1" t="str">
        <f t="shared" si="28"/>
        <v/>
      </c>
      <c r="Q89" s="1" t="str">
        <f t="shared" si="29"/>
        <v/>
      </c>
      <c r="R89" s="1" t="str">
        <f t="shared" si="30"/>
        <v/>
      </c>
      <c r="S89" s="1" t="str">
        <f t="shared" si="31"/>
        <v/>
      </c>
      <c r="T89" s="1" t="str">
        <f t="shared" si="32"/>
        <v/>
      </c>
      <c r="U89" s="1" t="str">
        <f t="shared" si="33"/>
        <v/>
      </c>
      <c r="V89" s="1" t="str">
        <f t="shared" si="34"/>
        <v/>
      </c>
      <c r="W89" s="26" t="str">
        <f t="shared" si="35"/>
        <v/>
      </c>
      <c r="X89" s="13" t="str">
        <f t="shared" si="36"/>
        <v/>
      </c>
      <c r="Y89" s="9">
        <f t="shared" si="37"/>
        <v>0</v>
      </c>
    </row>
    <row r="90" spans="1:25" x14ac:dyDescent="0.25">
      <c r="A90" s="28"/>
      <c r="B90" s="29"/>
      <c r="C90" s="30"/>
      <c r="D90" s="31"/>
      <c r="E90" s="29" t="s">
        <v>16</v>
      </c>
      <c r="F90" s="13" t="b">
        <f>IF($E90=Categories!$A$1,"",IF($E90=Categories!$A$2,Categories!$B$2,IF($E90=Categories!$A$3,Categories!$B$3,IF($E90=Categories!$A$4,Categories!$B$4,IF($E90=Categories!$A$5,Categories!$B$5,IF($E90=Categories!$A$6,Categories!$B$6,IF($E90=Categories!$A$7,Categories!$B$7,IF($E90=Categories!$A$8,Categories!$B$8,IF($E90=Categories!$A$9,Categories!$B$9,IF($E90=Categories!$A$10,Categories!$B$10,IF($E90=Categories!$A$11,Categories!$B$11,IF($E90=Categories!$A$12,Categories!$B$12,IF($E90=Categories!$A$13,Categories!$B$13,IF($E90=Categories!$A$14,Categories!$B$14,IF($E90=Categories!$A$15,Categories!$B$15,IF($E90=Categories!$A$16,Categories!$B$16,IF($E90=Categories!$A$17,Categories!$B$17,IF($E90=Categories!$A$18,Categories!$B$18,IF($E90=Categories!$A$19,Categories!$B$19)))))))))))))))))))</f>
        <v>0</v>
      </c>
      <c r="G90" s="9" t="str">
        <f t="shared" si="19"/>
        <v/>
      </c>
      <c r="H90" s="1" t="str">
        <f t="shared" si="20"/>
        <v/>
      </c>
      <c r="I90" s="1" t="str">
        <f t="shared" si="21"/>
        <v/>
      </c>
      <c r="J90" s="1" t="str">
        <f t="shared" si="22"/>
        <v/>
      </c>
      <c r="K90" s="13" t="str">
        <f t="shared" si="23"/>
        <v/>
      </c>
      <c r="L90" s="9" t="str">
        <f t="shared" si="24"/>
        <v/>
      </c>
      <c r="M90" s="1" t="str">
        <f t="shared" si="25"/>
        <v/>
      </c>
      <c r="N90" s="1" t="str">
        <f t="shared" si="26"/>
        <v/>
      </c>
      <c r="O90" s="1" t="str">
        <f t="shared" si="27"/>
        <v/>
      </c>
      <c r="P90" s="1" t="str">
        <f t="shared" si="28"/>
        <v/>
      </c>
      <c r="Q90" s="1" t="str">
        <f t="shared" si="29"/>
        <v/>
      </c>
      <c r="R90" s="1" t="str">
        <f t="shared" si="30"/>
        <v/>
      </c>
      <c r="S90" s="1" t="str">
        <f t="shared" si="31"/>
        <v/>
      </c>
      <c r="T90" s="1" t="str">
        <f t="shared" si="32"/>
        <v/>
      </c>
      <c r="U90" s="1" t="str">
        <f t="shared" si="33"/>
        <v/>
      </c>
      <c r="V90" s="1" t="str">
        <f t="shared" si="34"/>
        <v/>
      </c>
      <c r="W90" s="26" t="str">
        <f t="shared" si="35"/>
        <v/>
      </c>
      <c r="X90" s="13" t="str">
        <f t="shared" si="36"/>
        <v/>
      </c>
      <c r="Y90" s="9">
        <f t="shared" si="37"/>
        <v>0</v>
      </c>
    </row>
    <row r="91" spans="1:25" x14ac:dyDescent="0.25">
      <c r="A91" s="28"/>
      <c r="B91" s="29"/>
      <c r="C91" s="30"/>
      <c r="D91" s="31"/>
      <c r="E91" s="29" t="s">
        <v>16</v>
      </c>
      <c r="F91" s="13" t="b">
        <f>IF($E91=Categories!$A$1,"",IF($E91=Categories!$A$2,Categories!$B$2,IF($E91=Categories!$A$3,Categories!$B$3,IF($E91=Categories!$A$4,Categories!$B$4,IF($E91=Categories!$A$5,Categories!$B$5,IF($E91=Categories!$A$6,Categories!$B$6,IF($E91=Categories!$A$7,Categories!$B$7,IF($E91=Categories!$A$8,Categories!$B$8,IF($E91=Categories!$A$9,Categories!$B$9,IF($E91=Categories!$A$10,Categories!$B$10,IF($E91=Categories!$A$11,Categories!$B$11,IF($E91=Categories!$A$12,Categories!$B$12,IF($E91=Categories!$A$13,Categories!$B$13,IF($E91=Categories!$A$14,Categories!$B$14,IF($E91=Categories!$A$15,Categories!$B$15,IF($E91=Categories!$A$16,Categories!$B$16,IF($E91=Categories!$A$17,Categories!$B$17,IF($E91=Categories!$A$18,Categories!$B$18,IF($E91=Categories!$A$19,Categories!$B$19)))))))))))))))))))</f>
        <v>0</v>
      </c>
      <c r="G91" s="9" t="str">
        <f t="shared" si="19"/>
        <v/>
      </c>
      <c r="H91" s="1" t="str">
        <f t="shared" si="20"/>
        <v/>
      </c>
      <c r="I91" s="1" t="str">
        <f t="shared" si="21"/>
        <v/>
      </c>
      <c r="J91" s="1" t="str">
        <f t="shared" si="22"/>
        <v/>
      </c>
      <c r="K91" s="13" t="str">
        <f t="shared" si="23"/>
        <v/>
      </c>
      <c r="L91" s="9" t="str">
        <f t="shared" si="24"/>
        <v/>
      </c>
      <c r="M91" s="1" t="str">
        <f t="shared" si="25"/>
        <v/>
      </c>
      <c r="N91" s="1" t="str">
        <f t="shared" si="26"/>
        <v/>
      </c>
      <c r="O91" s="1" t="str">
        <f t="shared" si="27"/>
        <v/>
      </c>
      <c r="P91" s="1" t="str">
        <f t="shared" si="28"/>
        <v/>
      </c>
      <c r="Q91" s="1" t="str">
        <f t="shared" si="29"/>
        <v/>
      </c>
      <c r="R91" s="1" t="str">
        <f t="shared" si="30"/>
        <v/>
      </c>
      <c r="S91" s="1" t="str">
        <f t="shared" si="31"/>
        <v/>
      </c>
      <c r="T91" s="1" t="str">
        <f t="shared" si="32"/>
        <v/>
      </c>
      <c r="U91" s="1" t="str">
        <f t="shared" si="33"/>
        <v/>
      </c>
      <c r="V91" s="1" t="str">
        <f t="shared" si="34"/>
        <v/>
      </c>
      <c r="W91" s="26" t="str">
        <f t="shared" si="35"/>
        <v/>
      </c>
      <c r="X91" s="13" t="str">
        <f t="shared" si="36"/>
        <v/>
      </c>
      <c r="Y91" s="9">
        <f t="shared" si="37"/>
        <v>0</v>
      </c>
    </row>
    <row r="92" spans="1:25" x14ac:dyDescent="0.25">
      <c r="A92" s="28"/>
      <c r="B92" s="29"/>
      <c r="C92" s="30"/>
      <c r="D92" s="31"/>
      <c r="E92" s="29" t="s">
        <v>16</v>
      </c>
      <c r="F92" s="13" t="b">
        <f>IF($E92=Categories!$A$1,"",IF($E92=Categories!$A$2,Categories!$B$2,IF($E92=Categories!$A$3,Categories!$B$3,IF($E92=Categories!$A$4,Categories!$B$4,IF($E92=Categories!$A$5,Categories!$B$5,IF($E92=Categories!$A$6,Categories!$B$6,IF($E92=Categories!$A$7,Categories!$B$7,IF($E92=Categories!$A$8,Categories!$B$8,IF($E92=Categories!$A$9,Categories!$B$9,IF($E92=Categories!$A$10,Categories!$B$10,IF($E92=Categories!$A$11,Categories!$B$11,IF($E92=Categories!$A$12,Categories!$B$12,IF($E92=Categories!$A$13,Categories!$B$13,IF($E92=Categories!$A$14,Categories!$B$14,IF($E92=Categories!$A$15,Categories!$B$15,IF($E92=Categories!$A$16,Categories!$B$16,IF($E92=Categories!$A$17,Categories!$B$17,IF($E92=Categories!$A$18,Categories!$B$18,IF($E92=Categories!$A$19,Categories!$B$19)))))))))))))))))))</f>
        <v>0</v>
      </c>
      <c r="G92" s="9" t="str">
        <f t="shared" si="19"/>
        <v/>
      </c>
      <c r="H92" s="1" t="str">
        <f t="shared" si="20"/>
        <v/>
      </c>
      <c r="I92" s="1" t="str">
        <f t="shared" si="21"/>
        <v/>
      </c>
      <c r="J92" s="1" t="str">
        <f t="shared" si="22"/>
        <v/>
      </c>
      <c r="K92" s="13" t="str">
        <f t="shared" si="23"/>
        <v/>
      </c>
      <c r="L92" s="9" t="str">
        <f t="shared" si="24"/>
        <v/>
      </c>
      <c r="M92" s="1" t="str">
        <f t="shared" si="25"/>
        <v/>
      </c>
      <c r="N92" s="1" t="str">
        <f t="shared" si="26"/>
        <v/>
      </c>
      <c r="O92" s="1" t="str">
        <f t="shared" si="27"/>
        <v/>
      </c>
      <c r="P92" s="1" t="str">
        <f t="shared" si="28"/>
        <v/>
      </c>
      <c r="Q92" s="1" t="str">
        <f t="shared" si="29"/>
        <v/>
      </c>
      <c r="R92" s="1" t="str">
        <f t="shared" si="30"/>
        <v/>
      </c>
      <c r="S92" s="1" t="str">
        <f t="shared" si="31"/>
        <v/>
      </c>
      <c r="T92" s="1" t="str">
        <f t="shared" si="32"/>
        <v/>
      </c>
      <c r="U92" s="1" t="str">
        <f t="shared" si="33"/>
        <v/>
      </c>
      <c r="V92" s="1" t="str">
        <f t="shared" si="34"/>
        <v/>
      </c>
      <c r="W92" s="26" t="str">
        <f t="shared" si="35"/>
        <v/>
      </c>
      <c r="X92" s="13" t="str">
        <f t="shared" si="36"/>
        <v/>
      </c>
      <c r="Y92" s="9">
        <f t="shared" si="37"/>
        <v>0</v>
      </c>
    </row>
    <row r="93" spans="1:25" x14ac:dyDescent="0.25">
      <c r="A93" s="28"/>
      <c r="B93" s="29"/>
      <c r="C93" s="30"/>
      <c r="D93" s="31"/>
      <c r="E93" s="29" t="s">
        <v>16</v>
      </c>
      <c r="F93" s="13" t="b">
        <f>IF($E93=Categories!$A$1,"",IF($E93=Categories!$A$2,Categories!$B$2,IF($E93=Categories!$A$3,Categories!$B$3,IF($E93=Categories!$A$4,Categories!$B$4,IF($E93=Categories!$A$5,Categories!$B$5,IF($E93=Categories!$A$6,Categories!$B$6,IF($E93=Categories!$A$7,Categories!$B$7,IF($E93=Categories!$A$8,Categories!$B$8,IF($E93=Categories!$A$9,Categories!$B$9,IF($E93=Categories!$A$10,Categories!$B$10,IF($E93=Categories!$A$11,Categories!$B$11,IF($E93=Categories!$A$12,Categories!$B$12,IF($E93=Categories!$A$13,Categories!$B$13,IF($E93=Categories!$A$14,Categories!$B$14,IF($E93=Categories!$A$15,Categories!$B$15,IF($E93=Categories!$A$16,Categories!$B$16,IF($E93=Categories!$A$17,Categories!$B$17,IF($E93=Categories!$A$18,Categories!$B$18,IF($E93=Categories!$A$19,Categories!$B$19)))))))))))))))))))</f>
        <v>0</v>
      </c>
      <c r="G93" s="9" t="str">
        <f t="shared" si="19"/>
        <v/>
      </c>
      <c r="H93" s="1" t="str">
        <f t="shared" si="20"/>
        <v/>
      </c>
      <c r="I93" s="1" t="str">
        <f t="shared" si="21"/>
        <v/>
      </c>
      <c r="J93" s="1" t="str">
        <f t="shared" si="22"/>
        <v/>
      </c>
      <c r="K93" s="13" t="str">
        <f t="shared" si="23"/>
        <v/>
      </c>
      <c r="L93" s="9" t="str">
        <f t="shared" si="24"/>
        <v/>
      </c>
      <c r="M93" s="1" t="str">
        <f t="shared" si="25"/>
        <v/>
      </c>
      <c r="N93" s="1" t="str">
        <f t="shared" si="26"/>
        <v/>
      </c>
      <c r="O93" s="1" t="str">
        <f t="shared" si="27"/>
        <v/>
      </c>
      <c r="P93" s="1" t="str">
        <f t="shared" si="28"/>
        <v/>
      </c>
      <c r="Q93" s="1" t="str">
        <f t="shared" si="29"/>
        <v/>
      </c>
      <c r="R93" s="1" t="str">
        <f t="shared" si="30"/>
        <v/>
      </c>
      <c r="S93" s="1" t="str">
        <f t="shared" si="31"/>
        <v/>
      </c>
      <c r="T93" s="1" t="str">
        <f t="shared" si="32"/>
        <v/>
      </c>
      <c r="U93" s="1" t="str">
        <f t="shared" si="33"/>
        <v/>
      </c>
      <c r="V93" s="1" t="str">
        <f t="shared" si="34"/>
        <v/>
      </c>
      <c r="W93" s="26" t="str">
        <f t="shared" si="35"/>
        <v/>
      </c>
      <c r="X93" s="13" t="str">
        <f t="shared" si="36"/>
        <v/>
      </c>
      <c r="Y93" s="9">
        <f t="shared" si="37"/>
        <v>0</v>
      </c>
    </row>
    <row r="94" spans="1:25" x14ac:dyDescent="0.25">
      <c r="A94" s="28"/>
      <c r="B94" s="29"/>
      <c r="C94" s="30"/>
      <c r="D94" s="31"/>
      <c r="E94" s="29" t="s">
        <v>16</v>
      </c>
      <c r="F94" s="13" t="b">
        <f>IF($E94=Categories!$A$1,"",IF($E94=Categories!$A$2,Categories!$B$2,IF($E94=Categories!$A$3,Categories!$B$3,IF($E94=Categories!$A$4,Categories!$B$4,IF($E94=Categories!$A$5,Categories!$B$5,IF($E94=Categories!$A$6,Categories!$B$6,IF($E94=Categories!$A$7,Categories!$B$7,IF($E94=Categories!$A$8,Categories!$B$8,IF($E94=Categories!$A$9,Categories!$B$9,IF($E94=Categories!$A$10,Categories!$B$10,IF($E94=Categories!$A$11,Categories!$B$11,IF($E94=Categories!$A$12,Categories!$B$12,IF($E94=Categories!$A$13,Categories!$B$13,IF($E94=Categories!$A$14,Categories!$B$14,IF($E94=Categories!$A$15,Categories!$B$15,IF($E94=Categories!$A$16,Categories!$B$16,IF($E94=Categories!$A$17,Categories!$B$17,IF($E94=Categories!$A$18,Categories!$B$18,IF($E94=Categories!$A$19,Categories!$B$19)))))))))))))))))))</f>
        <v>0</v>
      </c>
      <c r="G94" s="9" t="str">
        <f t="shared" si="19"/>
        <v/>
      </c>
      <c r="H94" s="1" t="str">
        <f t="shared" si="20"/>
        <v/>
      </c>
      <c r="I94" s="1" t="str">
        <f t="shared" si="21"/>
        <v/>
      </c>
      <c r="J94" s="1" t="str">
        <f t="shared" si="22"/>
        <v/>
      </c>
      <c r="K94" s="13" t="str">
        <f t="shared" si="23"/>
        <v/>
      </c>
      <c r="L94" s="9" t="str">
        <f t="shared" si="24"/>
        <v/>
      </c>
      <c r="M94" s="1" t="str">
        <f t="shared" si="25"/>
        <v/>
      </c>
      <c r="N94" s="1" t="str">
        <f t="shared" si="26"/>
        <v/>
      </c>
      <c r="O94" s="1" t="str">
        <f t="shared" si="27"/>
        <v/>
      </c>
      <c r="P94" s="1" t="str">
        <f t="shared" si="28"/>
        <v/>
      </c>
      <c r="Q94" s="1" t="str">
        <f t="shared" si="29"/>
        <v/>
      </c>
      <c r="R94" s="1" t="str">
        <f t="shared" si="30"/>
        <v/>
      </c>
      <c r="S94" s="1" t="str">
        <f t="shared" si="31"/>
        <v/>
      </c>
      <c r="T94" s="1" t="str">
        <f t="shared" si="32"/>
        <v/>
      </c>
      <c r="U94" s="1" t="str">
        <f t="shared" si="33"/>
        <v/>
      </c>
      <c r="V94" s="1" t="str">
        <f t="shared" si="34"/>
        <v/>
      </c>
      <c r="W94" s="26" t="str">
        <f t="shared" si="35"/>
        <v/>
      </c>
      <c r="X94" s="13" t="str">
        <f t="shared" si="36"/>
        <v/>
      </c>
      <c r="Y94" s="9">
        <f t="shared" si="37"/>
        <v>0</v>
      </c>
    </row>
    <row r="95" spans="1:25" x14ac:dyDescent="0.25">
      <c r="A95" s="28"/>
      <c r="B95" s="29"/>
      <c r="C95" s="30"/>
      <c r="D95" s="31"/>
      <c r="E95" s="29" t="s">
        <v>16</v>
      </c>
      <c r="F95" s="13" t="b">
        <f>IF($E95=Categories!$A$1,"",IF($E95=Categories!$A$2,Categories!$B$2,IF($E95=Categories!$A$3,Categories!$B$3,IF($E95=Categories!$A$4,Categories!$B$4,IF($E95=Categories!$A$5,Categories!$B$5,IF($E95=Categories!$A$6,Categories!$B$6,IF($E95=Categories!$A$7,Categories!$B$7,IF($E95=Categories!$A$8,Categories!$B$8,IF($E95=Categories!$A$9,Categories!$B$9,IF($E95=Categories!$A$10,Categories!$B$10,IF($E95=Categories!$A$11,Categories!$B$11,IF($E95=Categories!$A$12,Categories!$B$12,IF($E95=Categories!$A$13,Categories!$B$13,IF($E95=Categories!$A$14,Categories!$B$14,IF($E95=Categories!$A$15,Categories!$B$15,IF($E95=Categories!$A$16,Categories!$B$16,IF($E95=Categories!$A$17,Categories!$B$17,IF($E95=Categories!$A$18,Categories!$B$18,IF($E95=Categories!$A$19,Categories!$B$19)))))))))))))))))))</f>
        <v>0</v>
      </c>
      <c r="G95" s="9" t="str">
        <f t="shared" si="19"/>
        <v/>
      </c>
      <c r="H95" s="1" t="str">
        <f t="shared" si="20"/>
        <v/>
      </c>
      <c r="I95" s="1" t="str">
        <f t="shared" si="21"/>
        <v/>
      </c>
      <c r="J95" s="1" t="str">
        <f t="shared" si="22"/>
        <v/>
      </c>
      <c r="K95" s="13" t="str">
        <f t="shared" si="23"/>
        <v/>
      </c>
      <c r="L95" s="9" t="str">
        <f t="shared" si="24"/>
        <v/>
      </c>
      <c r="M95" s="1" t="str">
        <f t="shared" si="25"/>
        <v/>
      </c>
      <c r="N95" s="1" t="str">
        <f t="shared" si="26"/>
        <v/>
      </c>
      <c r="O95" s="1" t="str">
        <f t="shared" si="27"/>
        <v/>
      </c>
      <c r="P95" s="1" t="str">
        <f t="shared" si="28"/>
        <v/>
      </c>
      <c r="Q95" s="1" t="str">
        <f t="shared" si="29"/>
        <v/>
      </c>
      <c r="R95" s="1" t="str">
        <f t="shared" si="30"/>
        <v/>
      </c>
      <c r="S95" s="1" t="str">
        <f t="shared" si="31"/>
        <v/>
      </c>
      <c r="T95" s="1" t="str">
        <f t="shared" si="32"/>
        <v/>
      </c>
      <c r="U95" s="1" t="str">
        <f t="shared" si="33"/>
        <v/>
      </c>
      <c r="V95" s="1" t="str">
        <f t="shared" si="34"/>
        <v/>
      </c>
      <c r="W95" s="26" t="str">
        <f t="shared" si="35"/>
        <v/>
      </c>
      <c r="X95" s="13" t="str">
        <f t="shared" si="36"/>
        <v/>
      </c>
      <c r="Y95" s="9">
        <f t="shared" si="37"/>
        <v>0</v>
      </c>
    </row>
    <row r="96" spans="1:25" x14ac:dyDescent="0.25">
      <c r="A96" s="11"/>
      <c r="B96" s="16" t="s">
        <v>30</v>
      </c>
      <c r="C96" s="11"/>
      <c r="D96" s="11"/>
      <c r="E96" s="11"/>
      <c r="F96" s="21"/>
      <c r="G96" s="18">
        <f>SUM(G6:G95)</f>
        <v>0</v>
      </c>
      <c r="H96" s="18">
        <f t="shared" ref="H96:X96" si="38">SUM(H6:H95)</f>
        <v>0</v>
      </c>
      <c r="I96" s="18">
        <f t="shared" si="38"/>
        <v>0</v>
      </c>
      <c r="J96" s="18">
        <f t="shared" si="38"/>
        <v>0</v>
      </c>
      <c r="K96" s="19">
        <f t="shared" si="38"/>
        <v>0</v>
      </c>
      <c r="L96" s="20">
        <f t="shared" si="38"/>
        <v>0</v>
      </c>
      <c r="M96" s="18">
        <f t="shared" si="38"/>
        <v>0</v>
      </c>
      <c r="N96" s="18">
        <f t="shared" si="38"/>
        <v>0</v>
      </c>
      <c r="O96" s="18">
        <f t="shared" si="38"/>
        <v>0</v>
      </c>
      <c r="P96" s="18">
        <f t="shared" si="38"/>
        <v>0</v>
      </c>
      <c r="Q96" s="18">
        <f t="shared" si="38"/>
        <v>0</v>
      </c>
      <c r="R96" s="18">
        <f t="shared" si="38"/>
        <v>0</v>
      </c>
      <c r="S96" s="18">
        <f t="shared" si="38"/>
        <v>0</v>
      </c>
      <c r="T96" s="18">
        <f t="shared" si="38"/>
        <v>0</v>
      </c>
      <c r="U96" s="18">
        <f t="shared" si="38"/>
        <v>0</v>
      </c>
      <c r="V96" s="18">
        <f t="shared" si="38"/>
        <v>0</v>
      </c>
      <c r="W96" s="18">
        <f t="shared" si="38"/>
        <v>0</v>
      </c>
      <c r="X96" s="18">
        <f t="shared" si="38"/>
        <v>0</v>
      </c>
      <c r="Y96" s="18"/>
    </row>
  </sheetData>
  <mergeCells count="1">
    <mergeCell ref="A4:E4"/>
  </mergeCells>
  <pageMargins left="0.23622047244094491" right="0.23622047244094491" top="0.74803149606299213" bottom="0.74803149606299213" header="0.31496062992125984" footer="0.31496062992125984"/>
  <pageSetup paperSize="9" scale="50" fitToHeight="2" orientation="landscape" r:id="rId1"/>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Categories!$A$1:$A$19</xm:f>
          </x14:formula1>
          <xm:sqref>E6:E95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Y96"/>
  <sheetViews>
    <sheetView workbookViewId="0">
      <pane xSplit="6" ySplit="5" topLeftCell="G6" activePane="bottomRight" state="frozen"/>
      <selection activeCell="B78" sqref="B78"/>
      <selection pane="topRight" activeCell="B78" sqref="B78"/>
      <selection pane="bottomLeft" activeCell="B78" sqref="B78"/>
      <selection pane="bottomRight" activeCell="B78" sqref="B78"/>
    </sheetView>
  </sheetViews>
  <sheetFormatPr defaultRowHeight="15" x14ac:dyDescent="0.25"/>
  <cols>
    <col min="1" max="1" width="10.7109375" bestFit="1" customWidth="1"/>
    <col min="2" max="2" width="13.7109375" customWidth="1"/>
    <col min="3" max="3" width="12" customWidth="1"/>
    <col min="5" max="5" width="15.28515625" customWidth="1"/>
    <col min="6" max="6" width="12.7109375" hidden="1" customWidth="1"/>
    <col min="7" max="25" width="11.7109375" customWidth="1"/>
  </cols>
  <sheetData>
    <row r="1" spans="1:25" ht="23.25" x14ac:dyDescent="0.35">
      <c r="A1" s="3" t="s">
        <v>42</v>
      </c>
      <c r="D1" s="8" t="str">
        <f>Instructions!C3</f>
        <v>Lucy's Tailored Tails</v>
      </c>
      <c r="Y1" s="9"/>
    </row>
    <row r="2" spans="1:25" ht="15" customHeight="1" x14ac:dyDescent="0.35">
      <c r="A2" s="3"/>
      <c r="D2" s="8"/>
      <c r="Y2" s="9"/>
    </row>
    <row r="3" spans="1:25" x14ac:dyDescent="0.25">
      <c r="R3" t="s">
        <v>0</v>
      </c>
      <c r="Y3" s="9">
        <f>IF(Instructions!C7="March",Instructions!C6,Feb!Y95)</f>
        <v>0</v>
      </c>
    </row>
    <row r="4" spans="1:25" x14ac:dyDescent="0.25">
      <c r="A4" s="39" t="s">
        <v>111</v>
      </c>
      <c r="B4" s="40"/>
      <c r="C4" s="40"/>
      <c r="D4" s="40"/>
      <c r="E4" s="41"/>
      <c r="F4" s="12"/>
      <c r="G4" s="17" t="s">
        <v>31</v>
      </c>
      <c r="H4" s="11"/>
      <c r="I4" s="11"/>
      <c r="J4" s="11"/>
      <c r="K4" s="12"/>
      <c r="L4" s="17" t="s">
        <v>33</v>
      </c>
      <c r="M4" s="11"/>
      <c r="N4" s="11"/>
      <c r="O4" s="11"/>
      <c r="P4" s="11"/>
      <c r="Q4" s="11"/>
      <c r="R4" s="11"/>
      <c r="S4" s="11"/>
      <c r="T4" s="11"/>
      <c r="U4" s="11"/>
      <c r="V4" s="11"/>
      <c r="W4" s="21"/>
      <c r="X4" s="12"/>
      <c r="Y4" s="10"/>
    </row>
    <row r="5" spans="1:25" ht="30" x14ac:dyDescent="0.25">
      <c r="A5" s="34" t="s">
        <v>1</v>
      </c>
      <c r="B5" s="35" t="s">
        <v>39</v>
      </c>
      <c r="C5" s="34" t="s">
        <v>2</v>
      </c>
      <c r="D5" s="34" t="s">
        <v>3</v>
      </c>
      <c r="E5" s="34" t="s">
        <v>105</v>
      </c>
      <c r="F5" s="12"/>
      <c r="G5" s="10" t="str">
        <f>Categories!A2</f>
        <v>Shop Sales</v>
      </c>
      <c r="H5" s="11" t="str">
        <f>Categories!A3</f>
        <v>Income 2</v>
      </c>
      <c r="I5" s="11" t="str">
        <f>Categories!A4</f>
        <v>Income 3</v>
      </c>
      <c r="J5" s="11" t="str">
        <f>Categories!A5</f>
        <v>Income 4</v>
      </c>
      <c r="K5" s="12" t="str">
        <f>Categories!A6</f>
        <v>Income 5</v>
      </c>
      <c r="L5" s="10" t="str">
        <f>Categories!A7</f>
        <v>Website Fees</v>
      </c>
      <c r="M5" s="11" t="str">
        <f>Categories!A8</f>
        <v>Exp 2</v>
      </c>
      <c r="N5" s="11" t="str">
        <f>Categories!A9</f>
        <v>Exp 3</v>
      </c>
      <c r="O5" s="11" t="str">
        <f>Categories!A10</f>
        <v>Exp 4</v>
      </c>
      <c r="P5" s="11" t="str">
        <f>Categories!A11</f>
        <v>Exp 5</v>
      </c>
      <c r="Q5" s="11" t="str">
        <f>Categories!A12</f>
        <v>Exp 6</v>
      </c>
      <c r="R5" s="11" t="str">
        <f>Categories!A13</f>
        <v>Exp 7</v>
      </c>
      <c r="S5" s="11" t="str">
        <f>Categories!A14</f>
        <v>Exp 8</v>
      </c>
      <c r="T5" s="11" t="str">
        <f>Categories!A15</f>
        <v>Exp 9</v>
      </c>
      <c r="U5" s="11" t="str">
        <f>Categories!A16</f>
        <v>Exp 10</v>
      </c>
      <c r="V5" s="11" t="str">
        <f>Categories!A17</f>
        <v>Exp 11</v>
      </c>
      <c r="W5" s="21" t="str">
        <f>Categories!A18</f>
        <v>Exp 12</v>
      </c>
      <c r="X5" s="12" t="str">
        <f>Categories!A19</f>
        <v>Exp 13</v>
      </c>
      <c r="Y5" s="10" t="s">
        <v>4</v>
      </c>
    </row>
    <row r="6" spans="1:25" x14ac:dyDescent="0.25">
      <c r="A6" s="28"/>
      <c r="B6" s="29"/>
      <c r="C6" s="30"/>
      <c r="D6" s="31"/>
      <c r="E6" s="29" t="s">
        <v>16</v>
      </c>
      <c r="F6" s="13" t="b">
        <f>IF($E6=Categories!$A$1,"",IF($E6=Categories!$A$2,Categories!$B$2,IF($E6=Categories!$A$3,Categories!$B$3,IF($E6=Categories!$A$4,Categories!$B$4,IF($E6=Categories!$A$5,Categories!$B$5,IF($E6=Categories!$A$6,Categories!$B$6,IF($E6=Categories!$A$7,Categories!$B$7,IF($E6=Categories!$A$8,Categories!$B$8,IF($E6=Categories!$A$9,Categories!$B$9,IF($E6=Categories!$A$10,Categories!$B$10,IF($E6=Categories!$A$11,Categories!$B$11,IF($E6=Categories!$A$12,Categories!$B$12,IF($E6=Categories!$A$13,Categories!$B$13,IF($E6=Categories!$A$14,Categories!$B$14,IF($E6=Categories!$A$15,Categories!$B$15,IF($E6=Categories!$A$16,Categories!$B$16,IF($E6=Categories!$A$17,Categories!$B$17,IF($E6=Categories!$A$18,Categories!$B$18,IF($E6=Categories!$A$19,Categories!$B$19)))))))))))))))))))</f>
        <v>0</v>
      </c>
      <c r="G6" s="9" t="str">
        <f>IF($F6="Inc1",$D6,"")</f>
        <v/>
      </c>
      <c r="H6" s="1" t="str">
        <f>IF($F6="Inc2",$D6,"")</f>
        <v/>
      </c>
      <c r="I6" s="1" t="str">
        <f>IF($F6="Int",$D6,"")</f>
        <v/>
      </c>
      <c r="J6" s="1" t="str">
        <f>IF($F6="Inc4",$D6,"")</f>
        <v/>
      </c>
      <c r="K6" s="13" t="str">
        <f>IF($F6="Inc5",$D6,"")</f>
        <v/>
      </c>
      <c r="L6" s="9" t="str">
        <f>IF($F6="ExpA",$D6,"")</f>
        <v/>
      </c>
      <c r="M6" s="1" t="str">
        <f>IF($F6="ExpB",$D6,"")</f>
        <v/>
      </c>
      <c r="N6" s="1" t="str">
        <f>IF($F6="ExpC",$D6,"")</f>
        <v/>
      </c>
      <c r="O6" s="1" t="str">
        <f>IF($F6="ExpD",$D6,"")</f>
        <v/>
      </c>
      <c r="P6" s="1" t="str">
        <f>IF($F6="ExpE",$D6,"")</f>
        <v/>
      </c>
      <c r="Q6" s="1" t="str">
        <f>IF($F6="ExpF",$D6,"")</f>
        <v/>
      </c>
      <c r="R6" s="1" t="str">
        <f>IF($F6="ExpG",$D6,"")</f>
        <v/>
      </c>
      <c r="S6" s="1" t="str">
        <f>IF($F6="ExpH",$D6,"")</f>
        <v/>
      </c>
      <c r="T6" s="1" t="str">
        <f>IF($F6="ExpI",$D6,"")</f>
        <v/>
      </c>
      <c r="U6" s="1" t="str">
        <f>IF($F6="ExpJ",$D6,"")</f>
        <v/>
      </c>
      <c r="V6" s="1" t="str">
        <f>IF($F6="ExpK",$D6,"")</f>
        <v/>
      </c>
      <c r="W6" s="26" t="str">
        <f>IF($F6="ExpL",$D6,"")</f>
        <v/>
      </c>
      <c r="X6" s="13" t="str">
        <f>IF($F6="Expm",$D6,"")</f>
        <v/>
      </c>
      <c r="Y6" s="9">
        <f>$Y$3+SUM(G6:K6)-SUM(L6:X6)</f>
        <v>0</v>
      </c>
    </row>
    <row r="7" spans="1:25" x14ac:dyDescent="0.25">
      <c r="A7" s="28"/>
      <c r="B7" s="29"/>
      <c r="C7" s="30"/>
      <c r="D7" s="31"/>
      <c r="E7" s="29" t="s">
        <v>16</v>
      </c>
      <c r="F7" s="13" t="b">
        <f>IF($E7=Categories!$A$1,"",IF($E7=Categories!$A$2,Categories!$B$2,IF($E7=Categories!$A$3,Categories!$B$3,IF($E7=Categories!$A$4,Categories!$B$4,IF($E7=Categories!$A$5,Categories!$B$5,IF($E7=Categories!$A$6,Categories!$B$6,IF($E7=Categories!$A$7,Categories!$B$7,IF($E7=Categories!$A$8,Categories!$B$8,IF($E7=Categories!$A$9,Categories!$B$9,IF($E7=Categories!$A$10,Categories!$B$10,IF($E7=Categories!$A$11,Categories!$B$11,IF($E7=Categories!$A$12,Categories!$B$12,IF($E7=Categories!$A$13,Categories!$B$13,IF($E7=Categories!$A$14,Categories!$B$14,IF($E7=Categories!$A$15,Categories!$B$15,IF($E7=Categories!$A$16,Categories!$B$16,IF($E7=Categories!$A$17,Categories!$B$17,IF($E7=Categories!$A$18,Categories!$B$18,IF($E7=Categories!$A$19,Categories!$B$19)))))))))))))))))))</f>
        <v>0</v>
      </c>
      <c r="G7" s="9" t="str">
        <f t="shared" ref="G7:G70" si="0">IF($F7="Inc1",$D7,"")</f>
        <v/>
      </c>
      <c r="H7" s="1" t="str">
        <f t="shared" ref="H7:H70" si="1">IF($F7="Inc2",$D7,"")</f>
        <v/>
      </c>
      <c r="I7" s="1" t="str">
        <f t="shared" ref="I7:I70" si="2">IF($F7="Int",$D7,"")</f>
        <v/>
      </c>
      <c r="J7" s="1" t="str">
        <f t="shared" ref="J7:J70" si="3">IF($F7="Inc4",$D7,"")</f>
        <v/>
      </c>
      <c r="K7" s="13" t="str">
        <f t="shared" ref="K7:K70" si="4">IF($F7="Inc5",$D7,"")</f>
        <v/>
      </c>
      <c r="L7" s="9" t="str">
        <f t="shared" ref="L7:L70" si="5">IF($F7="ExpA",$D7,"")</f>
        <v/>
      </c>
      <c r="M7" s="1" t="str">
        <f t="shared" ref="M7:M70" si="6">IF($F7="ExpB",$D7,"")</f>
        <v/>
      </c>
      <c r="N7" s="1" t="str">
        <f t="shared" ref="N7:N70" si="7">IF($F7="ExpC",$D7,"")</f>
        <v/>
      </c>
      <c r="O7" s="1" t="str">
        <f t="shared" ref="O7:O70" si="8">IF($F7="ExpD",$D7,"")</f>
        <v/>
      </c>
      <c r="P7" s="1" t="str">
        <f t="shared" ref="P7:P70" si="9">IF($F7="ExpE",$D7,"")</f>
        <v/>
      </c>
      <c r="Q7" s="1" t="str">
        <f t="shared" ref="Q7:Q70" si="10">IF($F7="ExpF",$D7,"")</f>
        <v/>
      </c>
      <c r="R7" s="1" t="str">
        <f t="shared" ref="R7:R70" si="11">IF($F7="ExpG",$D7,"")</f>
        <v/>
      </c>
      <c r="S7" s="1" t="str">
        <f t="shared" ref="S7:S70" si="12">IF($F7="ExpH",$D7,"")</f>
        <v/>
      </c>
      <c r="T7" s="1" t="str">
        <f t="shared" ref="T7:T70" si="13">IF($F7="ExpI",$D7,"")</f>
        <v/>
      </c>
      <c r="U7" s="1" t="str">
        <f t="shared" ref="U7:U70" si="14">IF($F7="ExpJ",$D7,"")</f>
        <v/>
      </c>
      <c r="V7" s="1" t="str">
        <f t="shared" ref="V7:V70" si="15">IF($F7="ExpK",$D7,"")</f>
        <v/>
      </c>
      <c r="W7" s="26" t="str">
        <f t="shared" ref="W7:W70" si="16">IF($F7="ExpL",$D7,"")</f>
        <v/>
      </c>
      <c r="X7" s="13" t="str">
        <f t="shared" ref="X7:X70" si="17">IF($F7="Expm",$D7,"")</f>
        <v/>
      </c>
      <c r="Y7" s="9">
        <f>Y6+SUM(G7:K7)-SUM(L7:X7)</f>
        <v>0</v>
      </c>
    </row>
    <row r="8" spans="1:25" x14ac:dyDescent="0.25">
      <c r="A8" s="28"/>
      <c r="B8" s="29"/>
      <c r="C8" s="30"/>
      <c r="D8" s="31"/>
      <c r="E8" s="29" t="s">
        <v>16</v>
      </c>
      <c r="F8" s="13" t="b">
        <f>IF($E8=Categories!$A$1,"",IF($E8=Categories!$A$2,Categories!$B$2,IF($E8=Categories!$A$3,Categories!$B$3,IF($E8=Categories!$A$4,Categories!$B$4,IF($E8=Categories!$A$5,Categories!$B$5,IF($E8=Categories!$A$6,Categories!$B$6,IF($E8=Categories!$A$7,Categories!$B$7,IF($E8=Categories!$A$8,Categories!$B$8,IF($E8=Categories!$A$9,Categories!$B$9,IF($E8=Categories!$A$10,Categories!$B$10,IF($E8=Categories!$A$11,Categories!$B$11,IF($E8=Categories!$A$12,Categories!$B$12,IF($E8=Categories!$A$13,Categories!$B$13,IF($E8=Categories!$A$14,Categories!$B$14,IF($E8=Categories!$A$15,Categories!$B$15,IF($E8=Categories!$A$16,Categories!$B$16,IF($E8=Categories!$A$17,Categories!$B$17,IF($E8=Categories!$A$18,Categories!$B$18,IF($E8=Categories!$A$19,Categories!$B$19)))))))))))))))))))</f>
        <v>0</v>
      </c>
      <c r="G8" s="9" t="str">
        <f t="shared" si="0"/>
        <v/>
      </c>
      <c r="H8" s="1" t="str">
        <f t="shared" si="1"/>
        <v/>
      </c>
      <c r="I8" s="1" t="str">
        <f t="shared" si="2"/>
        <v/>
      </c>
      <c r="J8" s="1" t="str">
        <f t="shared" si="3"/>
        <v/>
      </c>
      <c r="K8" s="13" t="str">
        <f t="shared" si="4"/>
        <v/>
      </c>
      <c r="L8" s="9" t="str">
        <f t="shared" si="5"/>
        <v/>
      </c>
      <c r="M8" s="1" t="str">
        <f t="shared" si="6"/>
        <v/>
      </c>
      <c r="N8" s="1" t="str">
        <f t="shared" si="7"/>
        <v/>
      </c>
      <c r="O8" s="1" t="str">
        <f t="shared" si="8"/>
        <v/>
      </c>
      <c r="P8" s="1" t="str">
        <f t="shared" si="9"/>
        <v/>
      </c>
      <c r="Q8" s="1" t="str">
        <f t="shared" si="10"/>
        <v/>
      </c>
      <c r="R8" s="1" t="str">
        <f t="shared" si="11"/>
        <v/>
      </c>
      <c r="S8" s="1" t="str">
        <f t="shared" si="12"/>
        <v/>
      </c>
      <c r="T8" s="1" t="str">
        <f t="shared" si="13"/>
        <v/>
      </c>
      <c r="U8" s="1" t="str">
        <f t="shared" si="14"/>
        <v/>
      </c>
      <c r="V8" s="1" t="str">
        <f t="shared" si="15"/>
        <v/>
      </c>
      <c r="W8" s="26" t="str">
        <f t="shared" si="16"/>
        <v/>
      </c>
      <c r="X8" s="13" t="str">
        <f t="shared" si="17"/>
        <v/>
      </c>
      <c r="Y8" s="9">
        <f t="shared" ref="Y8:Y71" si="18">Y7+SUM(G8:K8)-SUM(L8:X8)</f>
        <v>0</v>
      </c>
    </row>
    <row r="9" spans="1:25" x14ac:dyDescent="0.25">
      <c r="A9" s="28"/>
      <c r="B9" s="29"/>
      <c r="C9" s="30"/>
      <c r="D9" s="31"/>
      <c r="E9" s="29" t="s">
        <v>16</v>
      </c>
      <c r="F9" s="13" t="b">
        <f>IF($E9=Categories!$A$1,"",IF($E9=Categories!$A$2,Categories!$B$2,IF($E9=Categories!$A$3,Categories!$B$3,IF($E9=Categories!$A$4,Categories!$B$4,IF($E9=Categories!$A$5,Categories!$B$5,IF($E9=Categories!$A$6,Categories!$B$6,IF($E9=Categories!$A$7,Categories!$B$7,IF($E9=Categories!$A$8,Categories!$B$8,IF($E9=Categories!$A$9,Categories!$B$9,IF($E9=Categories!$A$10,Categories!$B$10,IF($E9=Categories!$A$11,Categories!$B$11,IF($E9=Categories!$A$12,Categories!$B$12,IF($E9=Categories!$A$13,Categories!$B$13,IF($E9=Categories!$A$14,Categories!$B$14,IF($E9=Categories!$A$15,Categories!$B$15,IF($E9=Categories!$A$16,Categories!$B$16,IF($E9=Categories!$A$17,Categories!$B$17,IF($E9=Categories!$A$18,Categories!$B$18,IF($E9=Categories!$A$19,Categories!$B$19)))))))))))))))))))</f>
        <v>0</v>
      </c>
      <c r="G9" s="9" t="str">
        <f t="shared" si="0"/>
        <v/>
      </c>
      <c r="H9" s="1" t="str">
        <f t="shared" si="1"/>
        <v/>
      </c>
      <c r="I9" s="1" t="str">
        <f t="shared" si="2"/>
        <v/>
      </c>
      <c r="J9" s="1" t="str">
        <f t="shared" si="3"/>
        <v/>
      </c>
      <c r="K9" s="13" t="str">
        <f t="shared" si="4"/>
        <v/>
      </c>
      <c r="L9" s="9" t="str">
        <f t="shared" si="5"/>
        <v/>
      </c>
      <c r="M9" s="1" t="str">
        <f t="shared" si="6"/>
        <v/>
      </c>
      <c r="N9" s="1" t="str">
        <f t="shared" si="7"/>
        <v/>
      </c>
      <c r="O9" s="1" t="str">
        <f t="shared" si="8"/>
        <v/>
      </c>
      <c r="P9" s="1" t="str">
        <f t="shared" si="9"/>
        <v/>
      </c>
      <c r="Q9" s="1" t="str">
        <f t="shared" si="10"/>
        <v/>
      </c>
      <c r="R9" s="1" t="str">
        <f t="shared" si="11"/>
        <v/>
      </c>
      <c r="S9" s="1" t="str">
        <f t="shared" si="12"/>
        <v/>
      </c>
      <c r="T9" s="1" t="str">
        <f t="shared" si="13"/>
        <v/>
      </c>
      <c r="U9" s="1" t="str">
        <f t="shared" si="14"/>
        <v/>
      </c>
      <c r="V9" s="1" t="str">
        <f t="shared" si="15"/>
        <v/>
      </c>
      <c r="W9" s="26" t="str">
        <f t="shared" si="16"/>
        <v/>
      </c>
      <c r="X9" s="13" t="str">
        <f t="shared" si="17"/>
        <v/>
      </c>
      <c r="Y9" s="9">
        <f t="shared" si="18"/>
        <v>0</v>
      </c>
    </row>
    <row r="10" spans="1:25" x14ac:dyDescent="0.25">
      <c r="A10" s="28"/>
      <c r="B10" s="29"/>
      <c r="C10" s="30"/>
      <c r="D10" s="31"/>
      <c r="E10" s="29" t="s">
        <v>16</v>
      </c>
      <c r="F10" s="13" t="b">
        <f>IF($E10=Categories!$A$1,"",IF($E10=Categories!$A$2,Categories!$B$2,IF($E10=Categories!$A$3,Categories!$B$3,IF($E10=Categories!$A$4,Categories!$B$4,IF($E10=Categories!$A$5,Categories!$B$5,IF($E10=Categories!$A$6,Categories!$B$6,IF($E10=Categories!$A$7,Categories!$B$7,IF($E10=Categories!$A$8,Categories!$B$8,IF($E10=Categories!$A$9,Categories!$B$9,IF($E10=Categories!$A$10,Categories!$B$10,IF($E10=Categories!$A$11,Categories!$B$11,IF($E10=Categories!$A$12,Categories!$B$12,IF($E10=Categories!$A$13,Categories!$B$13,IF($E10=Categories!$A$14,Categories!$B$14,IF($E10=Categories!$A$15,Categories!$B$15,IF($E10=Categories!$A$16,Categories!$B$16,IF($E10=Categories!$A$17,Categories!$B$17,IF($E10=Categories!$A$18,Categories!$B$18,IF($E10=Categories!$A$19,Categories!$B$19)))))))))))))))))))</f>
        <v>0</v>
      </c>
      <c r="G10" s="9" t="str">
        <f t="shared" si="0"/>
        <v/>
      </c>
      <c r="H10" s="1" t="str">
        <f t="shared" si="1"/>
        <v/>
      </c>
      <c r="I10" s="1" t="str">
        <f t="shared" si="2"/>
        <v/>
      </c>
      <c r="J10" s="1" t="str">
        <f t="shared" si="3"/>
        <v/>
      </c>
      <c r="K10" s="13" t="str">
        <f t="shared" si="4"/>
        <v/>
      </c>
      <c r="L10" s="9" t="str">
        <f t="shared" si="5"/>
        <v/>
      </c>
      <c r="M10" s="1" t="str">
        <f t="shared" si="6"/>
        <v/>
      </c>
      <c r="N10" s="1" t="str">
        <f t="shared" si="7"/>
        <v/>
      </c>
      <c r="O10" s="1" t="str">
        <f t="shared" si="8"/>
        <v/>
      </c>
      <c r="P10" s="1" t="str">
        <f t="shared" si="9"/>
        <v/>
      </c>
      <c r="Q10" s="1" t="str">
        <f t="shared" si="10"/>
        <v/>
      </c>
      <c r="R10" s="1" t="str">
        <f t="shared" si="11"/>
        <v/>
      </c>
      <c r="S10" s="1" t="str">
        <f t="shared" si="12"/>
        <v/>
      </c>
      <c r="T10" s="1" t="str">
        <f t="shared" si="13"/>
        <v/>
      </c>
      <c r="U10" s="1" t="str">
        <f t="shared" si="14"/>
        <v/>
      </c>
      <c r="V10" s="1" t="str">
        <f t="shared" si="15"/>
        <v/>
      </c>
      <c r="W10" s="26" t="str">
        <f t="shared" si="16"/>
        <v/>
      </c>
      <c r="X10" s="13" t="str">
        <f t="shared" si="17"/>
        <v/>
      </c>
      <c r="Y10" s="9">
        <f t="shared" si="18"/>
        <v>0</v>
      </c>
    </row>
    <row r="11" spans="1:25" x14ac:dyDescent="0.25">
      <c r="A11" s="28"/>
      <c r="B11" s="29"/>
      <c r="C11" s="30"/>
      <c r="D11" s="31"/>
      <c r="E11" s="29" t="s">
        <v>16</v>
      </c>
      <c r="F11" s="13" t="b">
        <f>IF($E11=Categories!$A$1,"",IF($E11=Categories!$A$2,Categories!$B$2,IF($E11=Categories!$A$3,Categories!$B$3,IF($E11=Categories!$A$4,Categories!$B$4,IF($E11=Categories!$A$5,Categories!$B$5,IF($E11=Categories!$A$6,Categories!$B$6,IF($E11=Categories!$A$7,Categories!$B$7,IF($E11=Categories!$A$8,Categories!$B$8,IF($E11=Categories!$A$9,Categories!$B$9,IF($E11=Categories!$A$10,Categories!$B$10,IF($E11=Categories!$A$11,Categories!$B$11,IF($E11=Categories!$A$12,Categories!$B$12,IF($E11=Categories!$A$13,Categories!$B$13,IF($E11=Categories!$A$14,Categories!$B$14,IF($E11=Categories!$A$15,Categories!$B$15,IF($E11=Categories!$A$16,Categories!$B$16,IF($E11=Categories!$A$17,Categories!$B$17,IF($E11=Categories!$A$18,Categories!$B$18,IF($E11=Categories!$A$19,Categories!$B$19)))))))))))))))))))</f>
        <v>0</v>
      </c>
      <c r="G11" s="9" t="str">
        <f t="shared" si="0"/>
        <v/>
      </c>
      <c r="H11" s="1" t="str">
        <f t="shared" si="1"/>
        <v/>
      </c>
      <c r="I11" s="1" t="str">
        <f t="shared" si="2"/>
        <v/>
      </c>
      <c r="J11" s="1" t="str">
        <f t="shared" si="3"/>
        <v/>
      </c>
      <c r="K11" s="13" t="str">
        <f t="shared" si="4"/>
        <v/>
      </c>
      <c r="L11" s="9" t="str">
        <f t="shared" si="5"/>
        <v/>
      </c>
      <c r="M11" s="1" t="str">
        <f t="shared" si="6"/>
        <v/>
      </c>
      <c r="N11" s="1" t="str">
        <f t="shared" si="7"/>
        <v/>
      </c>
      <c r="O11" s="1" t="str">
        <f t="shared" si="8"/>
        <v/>
      </c>
      <c r="P11" s="1" t="str">
        <f t="shared" si="9"/>
        <v/>
      </c>
      <c r="Q11" s="1" t="str">
        <f t="shared" si="10"/>
        <v/>
      </c>
      <c r="R11" s="1" t="str">
        <f t="shared" si="11"/>
        <v/>
      </c>
      <c r="S11" s="1" t="str">
        <f t="shared" si="12"/>
        <v/>
      </c>
      <c r="T11" s="1" t="str">
        <f t="shared" si="13"/>
        <v/>
      </c>
      <c r="U11" s="1" t="str">
        <f t="shared" si="14"/>
        <v/>
      </c>
      <c r="V11" s="1" t="str">
        <f t="shared" si="15"/>
        <v/>
      </c>
      <c r="W11" s="26" t="str">
        <f t="shared" si="16"/>
        <v/>
      </c>
      <c r="X11" s="13" t="str">
        <f t="shared" si="17"/>
        <v/>
      </c>
      <c r="Y11" s="9">
        <f t="shared" si="18"/>
        <v>0</v>
      </c>
    </row>
    <row r="12" spans="1:25" x14ac:dyDescent="0.25">
      <c r="A12" s="28"/>
      <c r="B12" s="29"/>
      <c r="C12" s="30"/>
      <c r="D12" s="31"/>
      <c r="E12" s="29" t="s">
        <v>16</v>
      </c>
      <c r="F12" s="13" t="b">
        <f>IF($E12=Categories!$A$1,"",IF($E12=Categories!$A$2,Categories!$B$2,IF($E12=Categories!$A$3,Categories!$B$3,IF($E12=Categories!$A$4,Categories!$B$4,IF($E12=Categories!$A$5,Categories!$B$5,IF($E12=Categories!$A$6,Categories!$B$6,IF($E12=Categories!$A$7,Categories!$B$7,IF($E12=Categories!$A$8,Categories!$B$8,IF($E12=Categories!$A$9,Categories!$B$9,IF($E12=Categories!$A$10,Categories!$B$10,IF($E12=Categories!$A$11,Categories!$B$11,IF($E12=Categories!$A$12,Categories!$B$12,IF($E12=Categories!$A$13,Categories!$B$13,IF($E12=Categories!$A$14,Categories!$B$14,IF($E12=Categories!$A$15,Categories!$B$15,IF($E12=Categories!$A$16,Categories!$B$16,IF($E12=Categories!$A$17,Categories!$B$17,IF($E12=Categories!$A$18,Categories!$B$18,IF($E12=Categories!$A$19,Categories!$B$19)))))))))))))))))))</f>
        <v>0</v>
      </c>
      <c r="G12" s="9" t="str">
        <f t="shared" si="0"/>
        <v/>
      </c>
      <c r="H12" s="1" t="str">
        <f t="shared" si="1"/>
        <v/>
      </c>
      <c r="I12" s="1" t="str">
        <f t="shared" si="2"/>
        <v/>
      </c>
      <c r="J12" s="1" t="str">
        <f t="shared" si="3"/>
        <v/>
      </c>
      <c r="K12" s="13" t="str">
        <f t="shared" si="4"/>
        <v/>
      </c>
      <c r="L12" s="9" t="str">
        <f t="shared" si="5"/>
        <v/>
      </c>
      <c r="M12" s="1" t="str">
        <f t="shared" si="6"/>
        <v/>
      </c>
      <c r="N12" s="1" t="str">
        <f t="shared" si="7"/>
        <v/>
      </c>
      <c r="O12" s="1" t="str">
        <f t="shared" si="8"/>
        <v/>
      </c>
      <c r="P12" s="1" t="str">
        <f t="shared" si="9"/>
        <v/>
      </c>
      <c r="Q12" s="1" t="str">
        <f t="shared" si="10"/>
        <v/>
      </c>
      <c r="R12" s="1" t="str">
        <f t="shared" si="11"/>
        <v/>
      </c>
      <c r="S12" s="1" t="str">
        <f t="shared" si="12"/>
        <v/>
      </c>
      <c r="T12" s="1" t="str">
        <f t="shared" si="13"/>
        <v/>
      </c>
      <c r="U12" s="1" t="str">
        <f t="shared" si="14"/>
        <v/>
      </c>
      <c r="V12" s="1" t="str">
        <f t="shared" si="15"/>
        <v/>
      </c>
      <c r="W12" s="26" t="str">
        <f t="shared" si="16"/>
        <v/>
      </c>
      <c r="X12" s="13" t="str">
        <f t="shared" si="17"/>
        <v/>
      </c>
      <c r="Y12" s="9">
        <f t="shared" si="18"/>
        <v>0</v>
      </c>
    </row>
    <row r="13" spans="1:25" x14ac:dyDescent="0.25">
      <c r="A13" s="28"/>
      <c r="B13" s="29"/>
      <c r="C13" s="30"/>
      <c r="D13" s="31"/>
      <c r="E13" s="29" t="s">
        <v>16</v>
      </c>
      <c r="F13" s="13" t="b">
        <f>IF($E13=Categories!$A$1,"",IF($E13=Categories!$A$2,Categories!$B$2,IF($E13=Categories!$A$3,Categories!$B$3,IF($E13=Categories!$A$4,Categories!$B$4,IF($E13=Categories!$A$5,Categories!$B$5,IF($E13=Categories!$A$6,Categories!$B$6,IF($E13=Categories!$A$7,Categories!$B$7,IF($E13=Categories!$A$8,Categories!$B$8,IF($E13=Categories!$A$9,Categories!$B$9,IF($E13=Categories!$A$10,Categories!$B$10,IF($E13=Categories!$A$11,Categories!$B$11,IF($E13=Categories!$A$12,Categories!$B$12,IF($E13=Categories!$A$13,Categories!$B$13,IF($E13=Categories!$A$14,Categories!$B$14,IF($E13=Categories!$A$15,Categories!$B$15,IF($E13=Categories!$A$16,Categories!$B$16,IF($E13=Categories!$A$17,Categories!$B$17,IF($E13=Categories!$A$18,Categories!$B$18,IF($E13=Categories!$A$19,Categories!$B$19)))))))))))))))))))</f>
        <v>0</v>
      </c>
      <c r="G13" s="9" t="str">
        <f t="shared" si="0"/>
        <v/>
      </c>
      <c r="H13" s="1" t="str">
        <f t="shared" si="1"/>
        <v/>
      </c>
      <c r="I13" s="1" t="str">
        <f t="shared" si="2"/>
        <v/>
      </c>
      <c r="J13" s="1" t="str">
        <f t="shared" si="3"/>
        <v/>
      </c>
      <c r="K13" s="13" t="str">
        <f t="shared" si="4"/>
        <v/>
      </c>
      <c r="L13" s="9" t="str">
        <f t="shared" si="5"/>
        <v/>
      </c>
      <c r="M13" s="1" t="str">
        <f t="shared" si="6"/>
        <v/>
      </c>
      <c r="N13" s="1" t="str">
        <f t="shared" si="7"/>
        <v/>
      </c>
      <c r="O13" s="1" t="str">
        <f t="shared" si="8"/>
        <v/>
      </c>
      <c r="P13" s="1" t="str">
        <f t="shared" si="9"/>
        <v/>
      </c>
      <c r="Q13" s="1" t="str">
        <f t="shared" si="10"/>
        <v/>
      </c>
      <c r="R13" s="1" t="str">
        <f t="shared" si="11"/>
        <v/>
      </c>
      <c r="S13" s="1" t="str">
        <f t="shared" si="12"/>
        <v/>
      </c>
      <c r="T13" s="1" t="str">
        <f t="shared" si="13"/>
        <v/>
      </c>
      <c r="U13" s="1" t="str">
        <f t="shared" si="14"/>
        <v/>
      </c>
      <c r="V13" s="1" t="str">
        <f t="shared" si="15"/>
        <v/>
      </c>
      <c r="W13" s="26" t="str">
        <f t="shared" si="16"/>
        <v/>
      </c>
      <c r="X13" s="13" t="str">
        <f t="shared" si="17"/>
        <v/>
      </c>
      <c r="Y13" s="9">
        <f t="shared" si="18"/>
        <v>0</v>
      </c>
    </row>
    <row r="14" spans="1:25" x14ac:dyDescent="0.25">
      <c r="A14" s="28"/>
      <c r="B14" s="29"/>
      <c r="C14" s="30"/>
      <c r="D14" s="31"/>
      <c r="E14" s="29" t="s">
        <v>16</v>
      </c>
      <c r="F14" s="13" t="b">
        <f>IF($E14=Categories!$A$1,"",IF($E14=Categories!$A$2,Categories!$B$2,IF($E14=Categories!$A$3,Categories!$B$3,IF($E14=Categories!$A$4,Categories!$B$4,IF($E14=Categories!$A$5,Categories!$B$5,IF($E14=Categories!$A$6,Categories!$B$6,IF($E14=Categories!$A$7,Categories!$B$7,IF($E14=Categories!$A$8,Categories!$B$8,IF($E14=Categories!$A$9,Categories!$B$9,IF($E14=Categories!$A$10,Categories!$B$10,IF($E14=Categories!$A$11,Categories!$B$11,IF($E14=Categories!$A$12,Categories!$B$12,IF($E14=Categories!$A$13,Categories!$B$13,IF($E14=Categories!$A$14,Categories!$B$14,IF($E14=Categories!$A$15,Categories!$B$15,IF($E14=Categories!$A$16,Categories!$B$16,IF($E14=Categories!$A$17,Categories!$B$17,IF($E14=Categories!$A$18,Categories!$B$18,IF($E14=Categories!$A$19,Categories!$B$19)))))))))))))))))))</f>
        <v>0</v>
      </c>
      <c r="G14" s="9" t="str">
        <f t="shared" si="0"/>
        <v/>
      </c>
      <c r="H14" s="1" t="str">
        <f t="shared" si="1"/>
        <v/>
      </c>
      <c r="I14" s="1" t="str">
        <f t="shared" si="2"/>
        <v/>
      </c>
      <c r="J14" s="1" t="str">
        <f t="shared" si="3"/>
        <v/>
      </c>
      <c r="K14" s="13" t="str">
        <f t="shared" si="4"/>
        <v/>
      </c>
      <c r="L14" s="9" t="str">
        <f t="shared" si="5"/>
        <v/>
      </c>
      <c r="M14" s="1" t="str">
        <f t="shared" si="6"/>
        <v/>
      </c>
      <c r="N14" s="1" t="str">
        <f t="shared" si="7"/>
        <v/>
      </c>
      <c r="O14" s="1" t="str">
        <f t="shared" si="8"/>
        <v/>
      </c>
      <c r="P14" s="1" t="str">
        <f t="shared" si="9"/>
        <v/>
      </c>
      <c r="Q14" s="1" t="str">
        <f t="shared" si="10"/>
        <v/>
      </c>
      <c r="R14" s="1" t="str">
        <f t="shared" si="11"/>
        <v/>
      </c>
      <c r="S14" s="1" t="str">
        <f t="shared" si="12"/>
        <v/>
      </c>
      <c r="T14" s="1" t="str">
        <f t="shared" si="13"/>
        <v/>
      </c>
      <c r="U14" s="1" t="str">
        <f t="shared" si="14"/>
        <v/>
      </c>
      <c r="V14" s="1" t="str">
        <f t="shared" si="15"/>
        <v/>
      </c>
      <c r="W14" s="26" t="str">
        <f t="shared" si="16"/>
        <v/>
      </c>
      <c r="X14" s="13" t="str">
        <f t="shared" si="17"/>
        <v/>
      </c>
      <c r="Y14" s="9">
        <f t="shared" si="18"/>
        <v>0</v>
      </c>
    </row>
    <row r="15" spans="1:25" x14ac:dyDescent="0.25">
      <c r="A15" s="28"/>
      <c r="B15" s="29"/>
      <c r="C15" s="30"/>
      <c r="D15" s="31"/>
      <c r="E15" s="29" t="s">
        <v>16</v>
      </c>
      <c r="F15" s="13" t="b">
        <f>IF($E15=Categories!$A$1,"",IF($E15=Categories!$A$2,Categories!$B$2,IF($E15=Categories!$A$3,Categories!$B$3,IF($E15=Categories!$A$4,Categories!$B$4,IF($E15=Categories!$A$5,Categories!$B$5,IF($E15=Categories!$A$6,Categories!$B$6,IF($E15=Categories!$A$7,Categories!$B$7,IF($E15=Categories!$A$8,Categories!$B$8,IF($E15=Categories!$A$9,Categories!$B$9,IF($E15=Categories!$A$10,Categories!$B$10,IF($E15=Categories!$A$11,Categories!$B$11,IF($E15=Categories!$A$12,Categories!$B$12,IF($E15=Categories!$A$13,Categories!$B$13,IF($E15=Categories!$A$14,Categories!$B$14,IF($E15=Categories!$A$15,Categories!$B$15,IF($E15=Categories!$A$16,Categories!$B$16,IF($E15=Categories!$A$17,Categories!$B$17,IF($E15=Categories!$A$18,Categories!$B$18,IF($E15=Categories!$A$19,Categories!$B$19)))))))))))))))))))</f>
        <v>0</v>
      </c>
      <c r="G15" s="9" t="str">
        <f t="shared" si="0"/>
        <v/>
      </c>
      <c r="H15" s="1" t="str">
        <f t="shared" si="1"/>
        <v/>
      </c>
      <c r="I15" s="1" t="str">
        <f t="shared" si="2"/>
        <v/>
      </c>
      <c r="J15" s="1" t="str">
        <f t="shared" si="3"/>
        <v/>
      </c>
      <c r="K15" s="13" t="str">
        <f t="shared" si="4"/>
        <v/>
      </c>
      <c r="L15" s="9" t="str">
        <f t="shared" si="5"/>
        <v/>
      </c>
      <c r="M15" s="1" t="str">
        <f t="shared" si="6"/>
        <v/>
      </c>
      <c r="N15" s="1" t="str">
        <f t="shared" si="7"/>
        <v/>
      </c>
      <c r="O15" s="1" t="str">
        <f t="shared" si="8"/>
        <v/>
      </c>
      <c r="P15" s="1" t="str">
        <f t="shared" si="9"/>
        <v/>
      </c>
      <c r="Q15" s="1" t="str">
        <f t="shared" si="10"/>
        <v/>
      </c>
      <c r="R15" s="1" t="str">
        <f t="shared" si="11"/>
        <v/>
      </c>
      <c r="S15" s="1" t="str">
        <f t="shared" si="12"/>
        <v/>
      </c>
      <c r="T15" s="1" t="str">
        <f t="shared" si="13"/>
        <v/>
      </c>
      <c r="U15" s="1" t="str">
        <f t="shared" si="14"/>
        <v/>
      </c>
      <c r="V15" s="1" t="str">
        <f t="shared" si="15"/>
        <v/>
      </c>
      <c r="W15" s="26" t="str">
        <f t="shared" si="16"/>
        <v/>
      </c>
      <c r="X15" s="13" t="str">
        <f t="shared" si="17"/>
        <v/>
      </c>
      <c r="Y15" s="9">
        <f t="shared" si="18"/>
        <v>0</v>
      </c>
    </row>
    <row r="16" spans="1:25" x14ac:dyDescent="0.25">
      <c r="A16" s="28"/>
      <c r="B16" s="29"/>
      <c r="C16" s="30"/>
      <c r="D16" s="31"/>
      <c r="E16" s="29" t="s">
        <v>16</v>
      </c>
      <c r="F16" s="13" t="b">
        <f>IF($E16=Categories!$A$1,"",IF($E16=Categories!$A$2,Categories!$B$2,IF($E16=Categories!$A$3,Categories!$B$3,IF($E16=Categories!$A$4,Categories!$B$4,IF($E16=Categories!$A$5,Categories!$B$5,IF($E16=Categories!$A$6,Categories!$B$6,IF($E16=Categories!$A$7,Categories!$B$7,IF($E16=Categories!$A$8,Categories!$B$8,IF($E16=Categories!$A$9,Categories!$B$9,IF($E16=Categories!$A$10,Categories!$B$10,IF($E16=Categories!$A$11,Categories!$B$11,IF($E16=Categories!$A$12,Categories!$B$12,IF($E16=Categories!$A$13,Categories!$B$13,IF($E16=Categories!$A$14,Categories!$B$14,IF($E16=Categories!$A$15,Categories!$B$15,IF($E16=Categories!$A$16,Categories!$B$16,IF($E16=Categories!$A$17,Categories!$B$17,IF($E16=Categories!$A$18,Categories!$B$18,IF($E16=Categories!$A$19,Categories!$B$19)))))))))))))))))))</f>
        <v>0</v>
      </c>
      <c r="G16" s="9" t="str">
        <f t="shared" si="0"/>
        <v/>
      </c>
      <c r="H16" s="1" t="str">
        <f t="shared" si="1"/>
        <v/>
      </c>
      <c r="I16" s="1" t="str">
        <f t="shared" si="2"/>
        <v/>
      </c>
      <c r="J16" s="1" t="str">
        <f t="shared" si="3"/>
        <v/>
      </c>
      <c r="K16" s="13" t="str">
        <f t="shared" si="4"/>
        <v/>
      </c>
      <c r="L16" s="9" t="str">
        <f t="shared" si="5"/>
        <v/>
      </c>
      <c r="M16" s="1" t="str">
        <f t="shared" si="6"/>
        <v/>
      </c>
      <c r="N16" s="1" t="str">
        <f t="shared" si="7"/>
        <v/>
      </c>
      <c r="O16" s="1" t="str">
        <f t="shared" si="8"/>
        <v/>
      </c>
      <c r="P16" s="1" t="str">
        <f t="shared" si="9"/>
        <v/>
      </c>
      <c r="Q16" s="1" t="str">
        <f t="shared" si="10"/>
        <v/>
      </c>
      <c r="R16" s="1" t="str">
        <f t="shared" si="11"/>
        <v/>
      </c>
      <c r="S16" s="1" t="str">
        <f t="shared" si="12"/>
        <v/>
      </c>
      <c r="T16" s="1" t="str">
        <f t="shared" si="13"/>
        <v/>
      </c>
      <c r="U16" s="1" t="str">
        <f t="shared" si="14"/>
        <v/>
      </c>
      <c r="V16" s="1" t="str">
        <f t="shared" si="15"/>
        <v/>
      </c>
      <c r="W16" s="26" t="str">
        <f t="shared" si="16"/>
        <v/>
      </c>
      <c r="X16" s="13" t="str">
        <f t="shared" si="17"/>
        <v/>
      </c>
      <c r="Y16" s="9">
        <f t="shared" si="18"/>
        <v>0</v>
      </c>
    </row>
    <row r="17" spans="1:25" x14ac:dyDescent="0.25">
      <c r="A17" s="28"/>
      <c r="B17" s="29"/>
      <c r="C17" s="30"/>
      <c r="D17" s="31"/>
      <c r="E17" s="29" t="s">
        <v>16</v>
      </c>
      <c r="F17" s="13" t="b">
        <f>IF($E17=Categories!$A$1,"",IF($E17=Categories!$A$2,Categories!$B$2,IF($E17=Categories!$A$3,Categories!$B$3,IF($E17=Categories!$A$4,Categories!$B$4,IF($E17=Categories!$A$5,Categories!$B$5,IF($E17=Categories!$A$6,Categories!$B$6,IF($E17=Categories!$A$7,Categories!$B$7,IF($E17=Categories!$A$8,Categories!$B$8,IF($E17=Categories!$A$9,Categories!$B$9,IF($E17=Categories!$A$10,Categories!$B$10,IF($E17=Categories!$A$11,Categories!$B$11,IF($E17=Categories!$A$12,Categories!$B$12,IF($E17=Categories!$A$13,Categories!$B$13,IF($E17=Categories!$A$14,Categories!$B$14,IF($E17=Categories!$A$15,Categories!$B$15,IF($E17=Categories!$A$16,Categories!$B$16,IF($E17=Categories!$A$17,Categories!$B$17,IF($E17=Categories!$A$18,Categories!$B$18,IF($E17=Categories!$A$19,Categories!$B$19)))))))))))))))))))</f>
        <v>0</v>
      </c>
      <c r="G17" s="9" t="str">
        <f t="shared" si="0"/>
        <v/>
      </c>
      <c r="H17" s="1" t="str">
        <f t="shared" si="1"/>
        <v/>
      </c>
      <c r="I17" s="1" t="str">
        <f t="shared" si="2"/>
        <v/>
      </c>
      <c r="J17" s="1" t="str">
        <f t="shared" si="3"/>
        <v/>
      </c>
      <c r="K17" s="13" t="str">
        <f t="shared" si="4"/>
        <v/>
      </c>
      <c r="L17" s="9" t="str">
        <f t="shared" si="5"/>
        <v/>
      </c>
      <c r="M17" s="1" t="str">
        <f t="shared" si="6"/>
        <v/>
      </c>
      <c r="N17" s="1" t="str">
        <f t="shared" si="7"/>
        <v/>
      </c>
      <c r="O17" s="1" t="str">
        <f t="shared" si="8"/>
        <v/>
      </c>
      <c r="P17" s="1" t="str">
        <f t="shared" si="9"/>
        <v/>
      </c>
      <c r="Q17" s="1" t="str">
        <f t="shared" si="10"/>
        <v/>
      </c>
      <c r="R17" s="1" t="str">
        <f t="shared" si="11"/>
        <v/>
      </c>
      <c r="S17" s="1" t="str">
        <f t="shared" si="12"/>
        <v/>
      </c>
      <c r="T17" s="1" t="str">
        <f t="shared" si="13"/>
        <v/>
      </c>
      <c r="U17" s="1" t="str">
        <f t="shared" si="14"/>
        <v/>
      </c>
      <c r="V17" s="1" t="str">
        <f t="shared" si="15"/>
        <v/>
      </c>
      <c r="W17" s="26" t="str">
        <f t="shared" si="16"/>
        <v/>
      </c>
      <c r="X17" s="13" t="str">
        <f t="shared" si="17"/>
        <v/>
      </c>
      <c r="Y17" s="9">
        <f t="shared" si="18"/>
        <v>0</v>
      </c>
    </row>
    <row r="18" spans="1:25" x14ac:dyDescent="0.25">
      <c r="A18" s="28"/>
      <c r="B18" s="29"/>
      <c r="C18" s="30"/>
      <c r="D18" s="31"/>
      <c r="E18" s="29" t="s">
        <v>16</v>
      </c>
      <c r="F18" s="13" t="b">
        <f>IF($E18=Categories!$A$1,"",IF($E18=Categories!$A$2,Categories!$B$2,IF($E18=Categories!$A$3,Categories!$B$3,IF($E18=Categories!$A$4,Categories!$B$4,IF($E18=Categories!$A$5,Categories!$B$5,IF($E18=Categories!$A$6,Categories!$B$6,IF($E18=Categories!$A$7,Categories!$B$7,IF($E18=Categories!$A$8,Categories!$B$8,IF($E18=Categories!$A$9,Categories!$B$9,IF($E18=Categories!$A$10,Categories!$B$10,IF($E18=Categories!$A$11,Categories!$B$11,IF($E18=Categories!$A$12,Categories!$B$12,IF($E18=Categories!$A$13,Categories!$B$13,IF($E18=Categories!$A$14,Categories!$B$14,IF($E18=Categories!$A$15,Categories!$B$15,IF($E18=Categories!$A$16,Categories!$B$16,IF($E18=Categories!$A$17,Categories!$B$17,IF($E18=Categories!$A$18,Categories!$B$18,IF($E18=Categories!$A$19,Categories!$B$19)))))))))))))))))))</f>
        <v>0</v>
      </c>
      <c r="G18" s="9" t="str">
        <f t="shared" si="0"/>
        <v/>
      </c>
      <c r="H18" s="1" t="str">
        <f t="shared" si="1"/>
        <v/>
      </c>
      <c r="I18" s="1" t="str">
        <f t="shared" si="2"/>
        <v/>
      </c>
      <c r="J18" s="1" t="str">
        <f t="shared" si="3"/>
        <v/>
      </c>
      <c r="K18" s="13" t="str">
        <f t="shared" si="4"/>
        <v/>
      </c>
      <c r="L18" s="9" t="str">
        <f t="shared" si="5"/>
        <v/>
      </c>
      <c r="M18" s="1" t="str">
        <f t="shared" si="6"/>
        <v/>
      </c>
      <c r="N18" s="1" t="str">
        <f t="shared" si="7"/>
        <v/>
      </c>
      <c r="O18" s="1" t="str">
        <f t="shared" si="8"/>
        <v/>
      </c>
      <c r="P18" s="1" t="str">
        <f t="shared" si="9"/>
        <v/>
      </c>
      <c r="Q18" s="1" t="str">
        <f t="shared" si="10"/>
        <v/>
      </c>
      <c r="R18" s="1" t="str">
        <f t="shared" si="11"/>
        <v/>
      </c>
      <c r="S18" s="1" t="str">
        <f t="shared" si="12"/>
        <v/>
      </c>
      <c r="T18" s="1" t="str">
        <f t="shared" si="13"/>
        <v/>
      </c>
      <c r="U18" s="1" t="str">
        <f t="shared" si="14"/>
        <v/>
      </c>
      <c r="V18" s="1" t="str">
        <f t="shared" si="15"/>
        <v/>
      </c>
      <c r="W18" s="26" t="str">
        <f t="shared" si="16"/>
        <v/>
      </c>
      <c r="X18" s="13" t="str">
        <f t="shared" si="17"/>
        <v/>
      </c>
      <c r="Y18" s="9">
        <f t="shared" si="18"/>
        <v>0</v>
      </c>
    </row>
    <row r="19" spans="1:25" x14ac:dyDescent="0.25">
      <c r="A19" s="28"/>
      <c r="B19" s="29"/>
      <c r="C19" s="30"/>
      <c r="D19" s="31"/>
      <c r="E19" s="29" t="s">
        <v>16</v>
      </c>
      <c r="F19" s="13" t="b">
        <f>IF($E19=Categories!$A$1,"",IF($E19=Categories!$A$2,Categories!$B$2,IF($E19=Categories!$A$3,Categories!$B$3,IF($E19=Categories!$A$4,Categories!$B$4,IF($E19=Categories!$A$5,Categories!$B$5,IF($E19=Categories!$A$6,Categories!$B$6,IF($E19=Categories!$A$7,Categories!$B$7,IF($E19=Categories!$A$8,Categories!$B$8,IF($E19=Categories!$A$9,Categories!$B$9,IF($E19=Categories!$A$10,Categories!$B$10,IF($E19=Categories!$A$11,Categories!$B$11,IF($E19=Categories!$A$12,Categories!$B$12,IF($E19=Categories!$A$13,Categories!$B$13,IF($E19=Categories!$A$14,Categories!$B$14,IF($E19=Categories!$A$15,Categories!$B$15,IF($E19=Categories!$A$16,Categories!$B$16,IF($E19=Categories!$A$17,Categories!$B$17,IF($E19=Categories!$A$18,Categories!$B$18,IF($E19=Categories!$A$19,Categories!$B$19)))))))))))))))))))</f>
        <v>0</v>
      </c>
      <c r="G19" s="9" t="str">
        <f t="shared" si="0"/>
        <v/>
      </c>
      <c r="H19" s="1" t="str">
        <f t="shared" si="1"/>
        <v/>
      </c>
      <c r="I19" s="1" t="str">
        <f t="shared" si="2"/>
        <v/>
      </c>
      <c r="J19" s="1" t="str">
        <f t="shared" si="3"/>
        <v/>
      </c>
      <c r="K19" s="13" t="str">
        <f t="shared" si="4"/>
        <v/>
      </c>
      <c r="L19" s="9" t="str">
        <f t="shared" si="5"/>
        <v/>
      </c>
      <c r="M19" s="1" t="str">
        <f t="shared" si="6"/>
        <v/>
      </c>
      <c r="N19" s="1" t="str">
        <f t="shared" si="7"/>
        <v/>
      </c>
      <c r="O19" s="1" t="str">
        <f t="shared" si="8"/>
        <v/>
      </c>
      <c r="P19" s="1" t="str">
        <f t="shared" si="9"/>
        <v/>
      </c>
      <c r="Q19" s="1" t="str">
        <f t="shared" si="10"/>
        <v/>
      </c>
      <c r="R19" s="1" t="str">
        <f t="shared" si="11"/>
        <v/>
      </c>
      <c r="S19" s="1" t="str">
        <f t="shared" si="12"/>
        <v/>
      </c>
      <c r="T19" s="1" t="str">
        <f t="shared" si="13"/>
        <v/>
      </c>
      <c r="U19" s="1" t="str">
        <f t="shared" si="14"/>
        <v/>
      </c>
      <c r="V19" s="1" t="str">
        <f t="shared" si="15"/>
        <v/>
      </c>
      <c r="W19" s="26" t="str">
        <f t="shared" si="16"/>
        <v/>
      </c>
      <c r="X19" s="13" t="str">
        <f t="shared" si="17"/>
        <v/>
      </c>
      <c r="Y19" s="9">
        <f t="shared" si="18"/>
        <v>0</v>
      </c>
    </row>
    <row r="20" spans="1:25" x14ac:dyDescent="0.25">
      <c r="A20" s="28"/>
      <c r="B20" s="29"/>
      <c r="C20" s="30"/>
      <c r="D20" s="31"/>
      <c r="E20" s="29" t="s">
        <v>16</v>
      </c>
      <c r="F20" s="13" t="b">
        <f>IF($E20=Categories!$A$1,"",IF($E20=Categories!$A$2,Categories!$B$2,IF($E20=Categories!$A$3,Categories!$B$3,IF($E20=Categories!$A$4,Categories!$B$4,IF($E20=Categories!$A$5,Categories!$B$5,IF($E20=Categories!$A$6,Categories!$B$6,IF($E20=Categories!$A$7,Categories!$B$7,IF($E20=Categories!$A$8,Categories!$B$8,IF($E20=Categories!$A$9,Categories!$B$9,IF($E20=Categories!$A$10,Categories!$B$10,IF($E20=Categories!$A$11,Categories!$B$11,IF($E20=Categories!$A$12,Categories!$B$12,IF($E20=Categories!$A$13,Categories!$B$13,IF($E20=Categories!$A$14,Categories!$B$14,IF($E20=Categories!$A$15,Categories!$B$15,IF($E20=Categories!$A$16,Categories!$B$16,IF($E20=Categories!$A$17,Categories!$B$17,IF($E20=Categories!$A$18,Categories!$B$18,IF($E20=Categories!$A$19,Categories!$B$19)))))))))))))))))))</f>
        <v>0</v>
      </c>
      <c r="G20" s="9" t="str">
        <f t="shared" si="0"/>
        <v/>
      </c>
      <c r="H20" s="1" t="str">
        <f t="shared" si="1"/>
        <v/>
      </c>
      <c r="I20" s="1" t="str">
        <f t="shared" si="2"/>
        <v/>
      </c>
      <c r="J20" s="1" t="str">
        <f t="shared" si="3"/>
        <v/>
      </c>
      <c r="K20" s="13" t="str">
        <f t="shared" si="4"/>
        <v/>
      </c>
      <c r="L20" s="9" t="str">
        <f t="shared" si="5"/>
        <v/>
      </c>
      <c r="M20" s="1" t="str">
        <f t="shared" si="6"/>
        <v/>
      </c>
      <c r="N20" s="1" t="str">
        <f t="shared" si="7"/>
        <v/>
      </c>
      <c r="O20" s="1" t="str">
        <f t="shared" si="8"/>
        <v/>
      </c>
      <c r="P20" s="1" t="str">
        <f t="shared" si="9"/>
        <v/>
      </c>
      <c r="Q20" s="1" t="str">
        <f t="shared" si="10"/>
        <v/>
      </c>
      <c r="R20" s="1" t="str">
        <f t="shared" si="11"/>
        <v/>
      </c>
      <c r="S20" s="1" t="str">
        <f t="shared" si="12"/>
        <v/>
      </c>
      <c r="T20" s="1" t="str">
        <f t="shared" si="13"/>
        <v/>
      </c>
      <c r="U20" s="1" t="str">
        <f t="shared" si="14"/>
        <v/>
      </c>
      <c r="V20" s="1" t="str">
        <f t="shared" si="15"/>
        <v/>
      </c>
      <c r="W20" s="26" t="str">
        <f t="shared" si="16"/>
        <v/>
      </c>
      <c r="X20" s="13" t="str">
        <f t="shared" si="17"/>
        <v/>
      </c>
      <c r="Y20" s="9">
        <f t="shared" si="18"/>
        <v>0</v>
      </c>
    </row>
    <row r="21" spans="1:25" x14ac:dyDescent="0.25">
      <c r="A21" s="28"/>
      <c r="B21" s="29"/>
      <c r="C21" s="30"/>
      <c r="D21" s="31"/>
      <c r="E21" s="29" t="s">
        <v>16</v>
      </c>
      <c r="F21" s="13" t="b">
        <f>IF($E21=Categories!$A$1,"",IF($E21=Categories!$A$2,Categories!$B$2,IF($E21=Categories!$A$3,Categories!$B$3,IF($E21=Categories!$A$4,Categories!$B$4,IF($E21=Categories!$A$5,Categories!$B$5,IF($E21=Categories!$A$6,Categories!$B$6,IF($E21=Categories!$A$7,Categories!$B$7,IF($E21=Categories!$A$8,Categories!$B$8,IF($E21=Categories!$A$9,Categories!$B$9,IF($E21=Categories!$A$10,Categories!$B$10,IF($E21=Categories!$A$11,Categories!$B$11,IF($E21=Categories!$A$12,Categories!$B$12,IF($E21=Categories!$A$13,Categories!$B$13,IF($E21=Categories!$A$14,Categories!$B$14,IF($E21=Categories!$A$15,Categories!$B$15,IF($E21=Categories!$A$16,Categories!$B$16,IF($E21=Categories!$A$17,Categories!$B$17,IF($E21=Categories!$A$18,Categories!$B$18,IF($E21=Categories!$A$19,Categories!$B$19)))))))))))))))))))</f>
        <v>0</v>
      </c>
      <c r="G21" s="9" t="str">
        <f t="shared" si="0"/>
        <v/>
      </c>
      <c r="H21" s="1" t="str">
        <f t="shared" si="1"/>
        <v/>
      </c>
      <c r="I21" s="1" t="str">
        <f t="shared" si="2"/>
        <v/>
      </c>
      <c r="J21" s="1" t="str">
        <f t="shared" si="3"/>
        <v/>
      </c>
      <c r="K21" s="13" t="str">
        <f t="shared" si="4"/>
        <v/>
      </c>
      <c r="L21" s="9" t="str">
        <f t="shared" si="5"/>
        <v/>
      </c>
      <c r="M21" s="1" t="str">
        <f t="shared" si="6"/>
        <v/>
      </c>
      <c r="N21" s="1" t="str">
        <f t="shared" si="7"/>
        <v/>
      </c>
      <c r="O21" s="1" t="str">
        <f t="shared" si="8"/>
        <v/>
      </c>
      <c r="P21" s="1" t="str">
        <f t="shared" si="9"/>
        <v/>
      </c>
      <c r="Q21" s="1" t="str">
        <f t="shared" si="10"/>
        <v/>
      </c>
      <c r="R21" s="1" t="str">
        <f t="shared" si="11"/>
        <v/>
      </c>
      <c r="S21" s="1" t="str">
        <f t="shared" si="12"/>
        <v/>
      </c>
      <c r="T21" s="1" t="str">
        <f t="shared" si="13"/>
        <v/>
      </c>
      <c r="U21" s="1" t="str">
        <f t="shared" si="14"/>
        <v/>
      </c>
      <c r="V21" s="1" t="str">
        <f t="shared" si="15"/>
        <v/>
      </c>
      <c r="W21" s="26" t="str">
        <f t="shared" si="16"/>
        <v/>
      </c>
      <c r="X21" s="13" t="str">
        <f t="shared" si="17"/>
        <v/>
      </c>
      <c r="Y21" s="9">
        <f t="shared" si="18"/>
        <v>0</v>
      </c>
    </row>
    <row r="22" spans="1:25" x14ac:dyDescent="0.25">
      <c r="A22" s="28"/>
      <c r="B22" s="29"/>
      <c r="C22" s="30"/>
      <c r="D22" s="31"/>
      <c r="E22" s="29" t="s">
        <v>16</v>
      </c>
      <c r="F22" s="13" t="b">
        <f>IF($E22=Categories!$A$1,"",IF($E22=Categories!$A$2,Categories!$B$2,IF($E22=Categories!$A$3,Categories!$B$3,IF($E22=Categories!$A$4,Categories!$B$4,IF($E22=Categories!$A$5,Categories!$B$5,IF($E22=Categories!$A$6,Categories!$B$6,IF($E22=Categories!$A$7,Categories!$B$7,IF($E22=Categories!$A$8,Categories!$B$8,IF($E22=Categories!$A$9,Categories!$B$9,IF($E22=Categories!$A$10,Categories!$B$10,IF($E22=Categories!$A$11,Categories!$B$11,IF($E22=Categories!$A$12,Categories!$B$12,IF($E22=Categories!$A$13,Categories!$B$13,IF($E22=Categories!$A$14,Categories!$B$14,IF($E22=Categories!$A$15,Categories!$B$15,IF($E22=Categories!$A$16,Categories!$B$16,IF($E22=Categories!$A$17,Categories!$B$17,IF($E22=Categories!$A$18,Categories!$B$18,IF($E22=Categories!$A$19,Categories!$B$19)))))))))))))))))))</f>
        <v>0</v>
      </c>
      <c r="G22" s="9" t="str">
        <f t="shared" si="0"/>
        <v/>
      </c>
      <c r="H22" s="1" t="str">
        <f t="shared" si="1"/>
        <v/>
      </c>
      <c r="I22" s="1" t="str">
        <f t="shared" si="2"/>
        <v/>
      </c>
      <c r="J22" s="1" t="str">
        <f t="shared" si="3"/>
        <v/>
      </c>
      <c r="K22" s="13" t="str">
        <f t="shared" si="4"/>
        <v/>
      </c>
      <c r="L22" s="9" t="str">
        <f t="shared" si="5"/>
        <v/>
      </c>
      <c r="M22" s="1" t="str">
        <f t="shared" si="6"/>
        <v/>
      </c>
      <c r="N22" s="1" t="str">
        <f t="shared" si="7"/>
        <v/>
      </c>
      <c r="O22" s="1" t="str">
        <f t="shared" si="8"/>
        <v/>
      </c>
      <c r="P22" s="1" t="str">
        <f t="shared" si="9"/>
        <v/>
      </c>
      <c r="Q22" s="1" t="str">
        <f t="shared" si="10"/>
        <v/>
      </c>
      <c r="R22" s="1" t="str">
        <f t="shared" si="11"/>
        <v/>
      </c>
      <c r="S22" s="1" t="str">
        <f t="shared" si="12"/>
        <v/>
      </c>
      <c r="T22" s="1" t="str">
        <f t="shared" si="13"/>
        <v/>
      </c>
      <c r="U22" s="1" t="str">
        <f t="shared" si="14"/>
        <v/>
      </c>
      <c r="V22" s="1" t="str">
        <f t="shared" si="15"/>
        <v/>
      </c>
      <c r="W22" s="26" t="str">
        <f t="shared" si="16"/>
        <v/>
      </c>
      <c r="X22" s="13" t="str">
        <f t="shared" si="17"/>
        <v/>
      </c>
      <c r="Y22" s="9">
        <f t="shared" si="18"/>
        <v>0</v>
      </c>
    </row>
    <row r="23" spans="1:25" x14ac:dyDescent="0.25">
      <c r="A23" s="28"/>
      <c r="B23" s="29"/>
      <c r="C23" s="30"/>
      <c r="D23" s="31"/>
      <c r="E23" s="29" t="s">
        <v>16</v>
      </c>
      <c r="F23" s="13" t="b">
        <f>IF($E23=Categories!$A$1,"",IF($E23=Categories!$A$2,Categories!$B$2,IF($E23=Categories!$A$3,Categories!$B$3,IF($E23=Categories!$A$4,Categories!$B$4,IF($E23=Categories!$A$5,Categories!$B$5,IF($E23=Categories!$A$6,Categories!$B$6,IF($E23=Categories!$A$7,Categories!$B$7,IF($E23=Categories!$A$8,Categories!$B$8,IF($E23=Categories!$A$9,Categories!$B$9,IF($E23=Categories!$A$10,Categories!$B$10,IF($E23=Categories!$A$11,Categories!$B$11,IF($E23=Categories!$A$12,Categories!$B$12,IF($E23=Categories!$A$13,Categories!$B$13,IF($E23=Categories!$A$14,Categories!$B$14,IF($E23=Categories!$A$15,Categories!$B$15,IF($E23=Categories!$A$16,Categories!$B$16,IF($E23=Categories!$A$17,Categories!$B$17,IF($E23=Categories!$A$18,Categories!$B$18,IF($E23=Categories!$A$19,Categories!$B$19)))))))))))))))))))</f>
        <v>0</v>
      </c>
      <c r="G23" s="9" t="str">
        <f t="shared" si="0"/>
        <v/>
      </c>
      <c r="H23" s="1" t="str">
        <f t="shared" si="1"/>
        <v/>
      </c>
      <c r="I23" s="1" t="str">
        <f t="shared" si="2"/>
        <v/>
      </c>
      <c r="J23" s="1" t="str">
        <f t="shared" si="3"/>
        <v/>
      </c>
      <c r="K23" s="13" t="str">
        <f t="shared" si="4"/>
        <v/>
      </c>
      <c r="L23" s="9" t="str">
        <f t="shared" si="5"/>
        <v/>
      </c>
      <c r="M23" s="1" t="str">
        <f t="shared" si="6"/>
        <v/>
      </c>
      <c r="N23" s="1" t="str">
        <f t="shared" si="7"/>
        <v/>
      </c>
      <c r="O23" s="1" t="str">
        <f t="shared" si="8"/>
        <v/>
      </c>
      <c r="P23" s="1" t="str">
        <f t="shared" si="9"/>
        <v/>
      </c>
      <c r="Q23" s="1" t="str">
        <f t="shared" si="10"/>
        <v/>
      </c>
      <c r="R23" s="1" t="str">
        <f t="shared" si="11"/>
        <v/>
      </c>
      <c r="S23" s="1" t="str">
        <f t="shared" si="12"/>
        <v/>
      </c>
      <c r="T23" s="1" t="str">
        <f t="shared" si="13"/>
        <v/>
      </c>
      <c r="U23" s="1" t="str">
        <f t="shared" si="14"/>
        <v/>
      </c>
      <c r="V23" s="1" t="str">
        <f t="shared" si="15"/>
        <v/>
      </c>
      <c r="W23" s="26" t="str">
        <f t="shared" si="16"/>
        <v/>
      </c>
      <c r="X23" s="13" t="str">
        <f t="shared" si="17"/>
        <v/>
      </c>
      <c r="Y23" s="9">
        <f t="shared" si="18"/>
        <v>0</v>
      </c>
    </row>
    <row r="24" spans="1:25" x14ac:dyDescent="0.25">
      <c r="A24" s="28"/>
      <c r="B24" s="29"/>
      <c r="C24" s="30"/>
      <c r="D24" s="31"/>
      <c r="E24" s="29" t="s">
        <v>16</v>
      </c>
      <c r="F24" s="13" t="b">
        <f>IF($E24=Categories!$A$1,"",IF($E24=Categories!$A$2,Categories!$B$2,IF($E24=Categories!$A$3,Categories!$B$3,IF($E24=Categories!$A$4,Categories!$B$4,IF($E24=Categories!$A$5,Categories!$B$5,IF($E24=Categories!$A$6,Categories!$B$6,IF($E24=Categories!$A$7,Categories!$B$7,IF($E24=Categories!$A$8,Categories!$B$8,IF($E24=Categories!$A$9,Categories!$B$9,IF($E24=Categories!$A$10,Categories!$B$10,IF($E24=Categories!$A$11,Categories!$B$11,IF($E24=Categories!$A$12,Categories!$B$12,IF($E24=Categories!$A$13,Categories!$B$13,IF($E24=Categories!$A$14,Categories!$B$14,IF($E24=Categories!$A$15,Categories!$B$15,IF($E24=Categories!$A$16,Categories!$B$16,IF($E24=Categories!$A$17,Categories!$B$17,IF($E24=Categories!$A$18,Categories!$B$18,IF($E24=Categories!$A$19,Categories!$B$19)))))))))))))))))))</f>
        <v>0</v>
      </c>
      <c r="G24" s="9" t="str">
        <f t="shared" si="0"/>
        <v/>
      </c>
      <c r="H24" s="1" t="str">
        <f t="shared" si="1"/>
        <v/>
      </c>
      <c r="I24" s="1" t="str">
        <f t="shared" si="2"/>
        <v/>
      </c>
      <c r="J24" s="1" t="str">
        <f t="shared" si="3"/>
        <v/>
      </c>
      <c r="K24" s="13" t="str">
        <f t="shared" si="4"/>
        <v/>
      </c>
      <c r="L24" s="9" t="str">
        <f t="shared" si="5"/>
        <v/>
      </c>
      <c r="M24" s="1" t="str">
        <f t="shared" si="6"/>
        <v/>
      </c>
      <c r="N24" s="1" t="str">
        <f t="shared" si="7"/>
        <v/>
      </c>
      <c r="O24" s="1" t="str">
        <f t="shared" si="8"/>
        <v/>
      </c>
      <c r="P24" s="1" t="str">
        <f t="shared" si="9"/>
        <v/>
      </c>
      <c r="Q24" s="1" t="str">
        <f t="shared" si="10"/>
        <v/>
      </c>
      <c r="R24" s="1" t="str">
        <f t="shared" si="11"/>
        <v/>
      </c>
      <c r="S24" s="1" t="str">
        <f t="shared" si="12"/>
        <v/>
      </c>
      <c r="T24" s="1" t="str">
        <f t="shared" si="13"/>
        <v/>
      </c>
      <c r="U24" s="1" t="str">
        <f t="shared" si="14"/>
        <v/>
      </c>
      <c r="V24" s="1" t="str">
        <f t="shared" si="15"/>
        <v/>
      </c>
      <c r="W24" s="26" t="str">
        <f t="shared" si="16"/>
        <v/>
      </c>
      <c r="X24" s="13" t="str">
        <f t="shared" si="17"/>
        <v/>
      </c>
      <c r="Y24" s="9">
        <f t="shared" si="18"/>
        <v>0</v>
      </c>
    </row>
    <row r="25" spans="1:25" x14ac:dyDescent="0.25">
      <c r="A25" s="28"/>
      <c r="B25" s="29"/>
      <c r="C25" s="30"/>
      <c r="D25" s="31"/>
      <c r="E25" s="29" t="s">
        <v>16</v>
      </c>
      <c r="F25" s="13" t="b">
        <f>IF($E25=Categories!$A$1,"",IF($E25=Categories!$A$2,Categories!$B$2,IF($E25=Categories!$A$3,Categories!$B$3,IF($E25=Categories!$A$4,Categories!$B$4,IF($E25=Categories!$A$5,Categories!$B$5,IF($E25=Categories!$A$6,Categories!$B$6,IF($E25=Categories!$A$7,Categories!$B$7,IF($E25=Categories!$A$8,Categories!$B$8,IF($E25=Categories!$A$9,Categories!$B$9,IF($E25=Categories!$A$10,Categories!$B$10,IF($E25=Categories!$A$11,Categories!$B$11,IF($E25=Categories!$A$12,Categories!$B$12,IF($E25=Categories!$A$13,Categories!$B$13,IF($E25=Categories!$A$14,Categories!$B$14,IF($E25=Categories!$A$15,Categories!$B$15,IF($E25=Categories!$A$16,Categories!$B$16,IF($E25=Categories!$A$17,Categories!$B$17,IF($E25=Categories!$A$18,Categories!$B$18,IF($E25=Categories!$A$19,Categories!$B$19)))))))))))))))))))</f>
        <v>0</v>
      </c>
      <c r="G25" s="9" t="str">
        <f t="shared" si="0"/>
        <v/>
      </c>
      <c r="H25" s="1" t="str">
        <f t="shared" si="1"/>
        <v/>
      </c>
      <c r="I25" s="1" t="str">
        <f t="shared" si="2"/>
        <v/>
      </c>
      <c r="J25" s="1" t="str">
        <f t="shared" si="3"/>
        <v/>
      </c>
      <c r="K25" s="13" t="str">
        <f t="shared" si="4"/>
        <v/>
      </c>
      <c r="L25" s="9" t="str">
        <f t="shared" si="5"/>
        <v/>
      </c>
      <c r="M25" s="1" t="str">
        <f t="shared" si="6"/>
        <v/>
      </c>
      <c r="N25" s="1" t="str">
        <f t="shared" si="7"/>
        <v/>
      </c>
      <c r="O25" s="1" t="str">
        <f t="shared" si="8"/>
        <v/>
      </c>
      <c r="P25" s="1" t="str">
        <f t="shared" si="9"/>
        <v/>
      </c>
      <c r="Q25" s="1" t="str">
        <f t="shared" si="10"/>
        <v/>
      </c>
      <c r="R25" s="1" t="str">
        <f t="shared" si="11"/>
        <v/>
      </c>
      <c r="S25" s="1" t="str">
        <f t="shared" si="12"/>
        <v/>
      </c>
      <c r="T25" s="1" t="str">
        <f t="shared" si="13"/>
        <v/>
      </c>
      <c r="U25" s="1" t="str">
        <f t="shared" si="14"/>
        <v/>
      </c>
      <c r="V25" s="1" t="str">
        <f t="shared" si="15"/>
        <v/>
      </c>
      <c r="W25" s="26" t="str">
        <f t="shared" si="16"/>
        <v/>
      </c>
      <c r="X25" s="13" t="str">
        <f t="shared" si="17"/>
        <v/>
      </c>
      <c r="Y25" s="9">
        <f t="shared" si="18"/>
        <v>0</v>
      </c>
    </row>
    <row r="26" spans="1:25" x14ac:dyDescent="0.25">
      <c r="A26" s="28"/>
      <c r="B26" s="29"/>
      <c r="C26" s="30"/>
      <c r="D26" s="31"/>
      <c r="E26" s="29" t="s">
        <v>16</v>
      </c>
      <c r="F26" s="13" t="b">
        <f>IF($E26=Categories!$A$1,"",IF($E26=Categories!$A$2,Categories!$B$2,IF($E26=Categories!$A$3,Categories!$B$3,IF($E26=Categories!$A$4,Categories!$B$4,IF($E26=Categories!$A$5,Categories!$B$5,IF($E26=Categories!$A$6,Categories!$B$6,IF($E26=Categories!$A$7,Categories!$B$7,IF($E26=Categories!$A$8,Categories!$B$8,IF($E26=Categories!$A$9,Categories!$B$9,IF($E26=Categories!$A$10,Categories!$B$10,IF($E26=Categories!$A$11,Categories!$B$11,IF($E26=Categories!$A$12,Categories!$B$12,IF($E26=Categories!$A$13,Categories!$B$13,IF($E26=Categories!$A$14,Categories!$B$14,IF($E26=Categories!$A$15,Categories!$B$15,IF($E26=Categories!$A$16,Categories!$B$16,IF($E26=Categories!$A$17,Categories!$B$17,IF($E26=Categories!$A$18,Categories!$B$18,IF($E26=Categories!$A$19,Categories!$B$19)))))))))))))))))))</f>
        <v>0</v>
      </c>
      <c r="G26" s="9" t="str">
        <f t="shared" si="0"/>
        <v/>
      </c>
      <c r="H26" s="1" t="str">
        <f t="shared" si="1"/>
        <v/>
      </c>
      <c r="I26" s="1" t="str">
        <f t="shared" si="2"/>
        <v/>
      </c>
      <c r="J26" s="1" t="str">
        <f t="shared" si="3"/>
        <v/>
      </c>
      <c r="K26" s="13" t="str">
        <f t="shared" si="4"/>
        <v/>
      </c>
      <c r="L26" s="9" t="str">
        <f t="shared" si="5"/>
        <v/>
      </c>
      <c r="M26" s="1" t="str">
        <f t="shared" si="6"/>
        <v/>
      </c>
      <c r="N26" s="1" t="str">
        <f t="shared" si="7"/>
        <v/>
      </c>
      <c r="O26" s="1" t="str">
        <f t="shared" si="8"/>
        <v/>
      </c>
      <c r="P26" s="1" t="str">
        <f t="shared" si="9"/>
        <v/>
      </c>
      <c r="Q26" s="1" t="str">
        <f t="shared" si="10"/>
        <v/>
      </c>
      <c r="R26" s="1" t="str">
        <f t="shared" si="11"/>
        <v/>
      </c>
      <c r="S26" s="1" t="str">
        <f t="shared" si="12"/>
        <v/>
      </c>
      <c r="T26" s="1" t="str">
        <f t="shared" si="13"/>
        <v/>
      </c>
      <c r="U26" s="1" t="str">
        <f t="shared" si="14"/>
        <v/>
      </c>
      <c r="V26" s="1" t="str">
        <f t="shared" si="15"/>
        <v/>
      </c>
      <c r="W26" s="26" t="str">
        <f t="shared" si="16"/>
        <v/>
      </c>
      <c r="X26" s="13" t="str">
        <f t="shared" si="17"/>
        <v/>
      </c>
      <c r="Y26" s="9">
        <f t="shared" si="18"/>
        <v>0</v>
      </c>
    </row>
    <row r="27" spans="1:25" x14ac:dyDescent="0.25">
      <c r="A27" s="28"/>
      <c r="B27" s="29"/>
      <c r="C27" s="30"/>
      <c r="D27" s="31"/>
      <c r="E27" s="29" t="s">
        <v>16</v>
      </c>
      <c r="F27" s="13" t="b">
        <f>IF($E27=Categories!$A$1,"",IF($E27=Categories!$A$2,Categories!$B$2,IF($E27=Categories!$A$3,Categories!$B$3,IF($E27=Categories!$A$4,Categories!$B$4,IF($E27=Categories!$A$5,Categories!$B$5,IF($E27=Categories!$A$6,Categories!$B$6,IF($E27=Categories!$A$7,Categories!$B$7,IF($E27=Categories!$A$8,Categories!$B$8,IF($E27=Categories!$A$9,Categories!$B$9,IF($E27=Categories!$A$10,Categories!$B$10,IF($E27=Categories!$A$11,Categories!$B$11,IF($E27=Categories!$A$12,Categories!$B$12,IF($E27=Categories!$A$13,Categories!$B$13,IF($E27=Categories!$A$14,Categories!$B$14,IF($E27=Categories!$A$15,Categories!$B$15,IF($E27=Categories!$A$16,Categories!$B$16,IF($E27=Categories!$A$17,Categories!$B$17,IF($E27=Categories!$A$18,Categories!$B$18,IF($E27=Categories!$A$19,Categories!$B$19)))))))))))))))))))</f>
        <v>0</v>
      </c>
      <c r="G27" s="9" t="str">
        <f t="shared" si="0"/>
        <v/>
      </c>
      <c r="H27" s="1" t="str">
        <f t="shared" si="1"/>
        <v/>
      </c>
      <c r="I27" s="1" t="str">
        <f t="shared" si="2"/>
        <v/>
      </c>
      <c r="J27" s="1" t="str">
        <f t="shared" si="3"/>
        <v/>
      </c>
      <c r="K27" s="13" t="str">
        <f t="shared" si="4"/>
        <v/>
      </c>
      <c r="L27" s="9" t="str">
        <f t="shared" si="5"/>
        <v/>
      </c>
      <c r="M27" s="1" t="str">
        <f t="shared" si="6"/>
        <v/>
      </c>
      <c r="N27" s="1" t="str">
        <f t="shared" si="7"/>
        <v/>
      </c>
      <c r="O27" s="1" t="str">
        <f t="shared" si="8"/>
        <v/>
      </c>
      <c r="P27" s="1" t="str">
        <f t="shared" si="9"/>
        <v/>
      </c>
      <c r="Q27" s="1" t="str">
        <f t="shared" si="10"/>
        <v/>
      </c>
      <c r="R27" s="1" t="str">
        <f t="shared" si="11"/>
        <v/>
      </c>
      <c r="S27" s="1" t="str">
        <f t="shared" si="12"/>
        <v/>
      </c>
      <c r="T27" s="1" t="str">
        <f t="shared" si="13"/>
        <v/>
      </c>
      <c r="U27" s="1" t="str">
        <f t="shared" si="14"/>
        <v/>
      </c>
      <c r="V27" s="1" t="str">
        <f t="shared" si="15"/>
        <v/>
      </c>
      <c r="W27" s="26" t="str">
        <f t="shared" si="16"/>
        <v/>
      </c>
      <c r="X27" s="13" t="str">
        <f t="shared" si="17"/>
        <v/>
      </c>
      <c r="Y27" s="9">
        <f t="shared" si="18"/>
        <v>0</v>
      </c>
    </row>
    <row r="28" spans="1:25" x14ac:dyDescent="0.25">
      <c r="A28" s="28"/>
      <c r="B28" s="29"/>
      <c r="C28" s="30"/>
      <c r="D28" s="31"/>
      <c r="E28" s="29" t="s">
        <v>16</v>
      </c>
      <c r="F28" s="13" t="b">
        <f>IF($E28=Categories!$A$1,"",IF($E28=Categories!$A$2,Categories!$B$2,IF($E28=Categories!$A$3,Categories!$B$3,IF($E28=Categories!$A$4,Categories!$B$4,IF($E28=Categories!$A$5,Categories!$B$5,IF($E28=Categories!$A$6,Categories!$B$6,IF($E28=Categories!$A$7,Categories!$B$7,IF($E28=Categories!$A$8,Categories!$B$8,IF($E28=Categories!$A$9,Categories!$B$9,IF($E28=Categories!$A$10,Categories!$B$10,IF($E28=Categories!$A$11,Categories!$B$11,IF($E28=Categories!$A$12,Categories!$B$12,IF($E28=Categories!$A$13,Categories!$B$13,IF($E28=Categories!$A$14,Categories!$B$14,IF($E28=Categories!$A$15,Categories!$B$15,IF($E28=Categories!$A$16,Categories!$B$16,IF($E28=Categories!$A$17,Categories!$B$17,IF($E28=Categories!$A$18,Categories!$B$18,IF($E28=Categories!$A$19,Categories!$B$19)))))))))))))))))))</f>
        <v>0</v>
      </c>
      <c r="G28" s="9" t="str">
        <f t="shared" si="0"/>
        <v/>
      </c>
      <c r="H28" s="1" t="str">
        <f t="shared" si="1"/>
        <v/>
      </c>
      <c r="I28" s="1" t="str">
        <f t="shared" si="2"/>
        <v/>
      </c>
      <c r="J28" s="1" t="str">
        <f t="shared" si="3"/>
        <v/>
      </c>
      <c r="K28" s="13" t="str">
        <f t="shared" si="4"/>
        <v/>
      </c>
      <c r="L28" s="9" t="str">
        <f t="shared" si="5"/>
        <v/>
      </c>
      <c r="M28" s="1" t="str">
        <f t="shared" si="6"/>
        <v/>
      </c>
      <c r="N28" s="1" t="str">
        <f t="shared" si="7"/>
        <v/>
      </c>
      <c r="O28" s="1" t="str">
        <f t="shared" si="8"/>
        <v/>
      </c>
      <c r="P28" s="1" t="str">
        <f t="shared" si="9"/>
        <v/>
      </c>
      <c r="Q28" s="1" t="str">
        <f t="shared" si="10"/>
        <v/>
      </c>
      <c r="R28" s="1" t="str">
        <f t="shared" si="11"/>
        <v/>
      </c>
      <c r="S28" s="1" t="str">
        <f t="shared" si="12"/>
        <v/>
      </c>
      <c r="T28" s="1" t="str">
        <f t="shared" si="13"/>
        <v/>
      </c>
      <c r="U28" s="1" t="str">
        <f t="shared" si="14"/>
        <v/>
      </c>
      <c r="V28" s="1" t="str">
        <f t="shared" si="15"/>
        <v/>
      </c>
      <c r="W28" s="26" t="str">
        <f t="shared" si="16"/>
        <v/>
      </c>
      <c r="X28" s="13" t="str">
        <f t="shared" si="17"/>
        <v/>
      </c>
      <c r="Y28" s="9">
        <f t="shared" si="18"/>
        <v>0</v>
      </c>
    </row>
    <row r="29" spans="1:25" x14ac:dyDescent="0.25">
      <c r="A29" s="28"/>
      <c r="B29" s="29"/>
      <c r="C29" s="30"/>
      <c r="D29" s="31"/>
      <c r="E29" s="29" t="s">
        <v>16</v>
      </c>
      <c r="F29" s="13" t="b">
        <f>IF($E29=Categories!$A$1,"",IF($E29=Categories!$A$2,Categories!$B$2,IF($E29=Categories!$A$3,Categories!$B$3,IF($E29=Categories!$A$4,Categories!$B$4,IF($E29=Categories!$A$5,Categories!$B$5,IF($E29=Categories!$A$6,Categories!$B$6,IF($E29=Categories!$A$7,Categories!$B$7,IF($E29=Categories!$A$8,Categories!$B$8,IF($E29=Categories!$A$9,Categories!$B$9,IF($E29=Categories!$A$10,Categories!$B$10,IF($E29=Categories!$A$11,Categories!$B$11,IF($E29=Categories!$A$12,Categories!$B$12,IF($E29=Categories!$A$13,Categories!$B$13,IF($E29=Categories!$A$14,Categories!$B$14,IF($E29=Categories!$A$15,Categories!$B$15,IF($E29=Categories!$A$16,Categories!$B$16,IF($E29=Categories!$A$17,Categories!$B$17,IF($E29=Categories!$A$18,Categories!$B$18,IF($E29=Categories!$A$19,Categories!$B$19)))))))))))))))))))</f>
        <v>0</v>
      </c>
      <c r="G29" s="9" t="str">
        <f t="shared" si="0"/>
        <v/>
      </c>
      <c r="H29" s="1" t="str">
        <f t="shared" si="1"/>
        <v/>
      </c>
      <c r="I29" s="1" t="str">
        <f t="shared" si="2"/>
        <v/>
      </c>
      <c r="J29" s="1" t="str">
        <f t="shared" si="3"/>
        <v/>
      </c>
      <c r="K29" s="13" t="str">
        <f t="shared" si="4"/>
        <v/>
      </c>
      <c r="L29" s="9" t="str">
        <f t="shared" si="5"/>
        <v/>
      </c>
      <c r="M29" s="1" t="str">
        <f t="shared" si="6"/>
        <v/>
      </c>
      <c r="N29" s="1" t="str">
        <f t="shared" si="7"/>
        <v/>
      </c>
      <c r="O29" s="1" t="str">
        <f t="shared" si="8"/>
        <v/>
      </c>
      <c r="P29" s="1" t="str">
        <f t="shared" si="9"/>
        <v/>
      </c>
      <c r="Q29" s="1" t="str">
        <f t="shared" si="10"/>
        <v/>
      </c>
      <c r="R29" s="1" t="str">
        <f t="shared" si="11"/>
        <v/>
      </c>
      <c r="S29" s="1" t="str">
        <f t="shared" si="12"/>
        <v/>
      </c>
      <c r="T29" s="1" t="str">
        <f t="shared" si="13"/>
        <v/>
      </c>
      <c r="U29" s="1" t="str">
        <f t="shared" si="14"/>
        <v/>
      </c>
      <c r="V29" s="1" t="str">
        <f t="shared" si="15"/>
        <v/>
      </c>
      <c r="W29" s="26" t="str">
        <f t="shared" si="16"/>
        <v/>
      </c>
      <c r="X29" s="13" t="str">
        <f t="shared" si="17"/>
        <v/>
      </c>
      <c r="Y29" s="9">
        <f t="shared" si="18"/>
        <v>0</v>
      </c>
    </row>
    <row r="30" spans="1:25" x14ac:dyDescent="0.25">
      <c r="A30" s="28"/>
      <c r="B30" s="29"/>
      <c r="C30" s="30"/>
      <c r="D30" s="31"/>
      <c r="E30" s="29" t="s">
        <v>16</v>
      </c>
      <c r="F30" s="13" t="b">
        <f>IF($E30=Categories!$A$1,"",IF($E30=Categories!$A$2,Categories!$B$2,IF($E30=Categories!$A$3,Categories!$B$3,IF($E30=Categories!$A$4,Categories!$B$4,IF($E30=Categories!$A$5,Categories!$B$5,IF($E30=Categories!$A$6,Categories!$B$6,IF($E30=Categories!$A$7,Categories!$B$7,IF($E30=Categories!$A$8,Categories!$B$8,IF($E30=Categories!$A$9,Categories!$B$9,IF($E30=Categories!$A$10,Categories!$B$10,IF($E30=Categories!$A$11,Categories!$B$11,IF($E30=Categories!$A$12,Categories!$B$12,IF($E30=Categories!$A$13,Categories!$B$13,IF($E30=Categories!$A$14,Categories!$B$14,IF($E30=Categories!$A$15,Categories!$B$15,IF($E30=Categories!$A$16,Categories!$B$16,IF($E30=Categories!$A$17,Categories!$B$17,IF($E30=Categories!$A$18,Categories!$B$18,IF($E30=Categories!$A$19,Categories!$B$19)))))))))))))))))))</f>
        <v>0</v>
      </c>
      <c r="G30" s="9" t="str">
        <f t="shared" si="0"/>
        <v/>
      </c>
      <c r="H30" s="1" t="str">
        <f t="shared" si="1"/>
        <v/>
      </c>
      <c r="I30" s="1" t="str">
        <f t="shared" si="2"/>
        <v/>
      </c>
      <c r="J30" s="1" t="str">
        <f t="shared" si="3"/>
        <v/>
      </c>
      <c r="K30" s="13" t="str">
        <f t="shared" si="4"/>
        <v/>
      </c>
      <c r="L30" s="9" t="str">
        <f t="shared" si="5"/>
        <v/>
      </c>
      <c r="M30" s="1" t="str">
        <f t="shared" si="6"/>
        <v/>
      </c>
      <c r="N30" s="1" t="str">
        <f t="shared" si="7"/>
        <v/>
      </c>
      <c r="O30" s="1" t="str">
        <f t="shared" si="8"/>
        <v/>
      </c>
      <c r="P30" s="1" t="str">
        <f t="shared" si="9"/>
        <v/>
      </c>
      <c r="Q30" s="1" t="str">
        <f t="shared" si="10"/>
        <v/>
      </c>
      <c r="R30" s="1" t="str">
        <f t="shared" si="11"/>
        <v/>
      </c>
      <c r="S30" s="1" t="str">
        <f t="shared" si="12"/>
        <v/>
      </c>
      <c r="T30" s="1" t="str">
        <f t="shared" si="13"/>
        <v/>
      </c>
      <c r="U30" s="1" t="str">
        <f t="shared" si="14"/>
        <v/>
      </c>
      <c r="V30" s="1" t="str">
        <f t="shared" si="15"/>
        <v/>
      </c>
      <c r="W30" s="26" t="str">
        <f t="shared" si="16"/>
        <v/>
      </c>
      <c r="X30" s="13" t="str">
        <f t="shared" si="17"/>
        <v/>
      </c>
      <c r="Y30" s="9">
        <f t="shared" si="18"/>
        <v>0</v>
      </c>
    </row>
    <row r="31" spans="1:25" x14ac:dyDescent="0.25">
      <c r="A31" s="28"/>
      <c r="B31" s="29"/>
      <c r="C31" s="30"/>
      <c r="D31" s="31"/>
      <c r="E31" s="29" t="s">
        <v>16</v>
      </c>
      <c r="F31" s="13" t="b">
        <f>IF($E31=Categories!$A$1,"",IF($E31=Categories!$A$2,Categories!$B$2,IF($E31=Categories!$A$3,Categories!$B$3,IF($E31=Categories!$A$4,Categories!$B$4,IF($E31=Categories!$A$5,Categories!$B$5,IF($E31=Categories!$A$6,Categories!$B$6,IF($E31=Categories!$A$7,Categories!$B$7,IF($E31=Categories!$A$8,Categories!$B$8,IF($E31=Categories!$A$9,Categories!$B$9,IF($E31=Categories!$A$10,Categories!$B$10,IF($E31=Categories!$A$11,Categories!$B$11,IF($E31=Categories!$A$12,Categories!$B$12,IF($E31=Categories!$A$13,Categories!$B$13,IF($E31=Categories!$A$14,Categories!$B$14,IF($E31=Categories!$A$15,Categories!$B$15,IF($E31=Categories!$A$16,Categories!$B$16,IF($E31=Categories!$A$17,Categories!$B$17,IF($E31=Categories!$A$18,Categories!$B$18,IF($E31=Categories!$A$19,Categories!$B$19)))))))))))))))))))</f>
        <v>0</v>
      </c>
      <c r="G31" s="9" t="str">
        <f t="shared" si="0"/>
        <v/>
      </c>
      <c r="H31" s="1" t="str">
        <f t="shared" si="1"/>
        <v/>
      </c>
      <c r="I31" s="1" t="str">
        <f t="shared" si="2"/>
        <v/>
      </c>
      <c r="J31" s="1" t="str">
        <f t="shared" si="3"/>
        <v/>
      </c>
      <c r="K31" s="13" t="str">
        <f t="shared" si="4"/>
        <v/>
      </c>
      <c r="L31" s="9" t="str">
        <f t="shared" si="5"/>
        <v/>
      </c>
      <c r="M31" s="1" t="str">
        <f t="shared" si="6"/>
        <v/>
      </c>
      <c r="N31" s="1" t="str">
        <f t="shared" si="7"/>
        <v/>
      </c>
      <c r="O31" s="1" t="str">
        <f t="shared" si="8"/>
        <v/>
      </c>
      <c r="P31" s="1" t="str">
        <f t="shared" si="9"/>
        <v/>
      </c>
      <c r="Q31" s="1" t="str">
        <f t="shared" si="10"/>
        <v/>
      </c>
      <c r="R31" s="1" t="str">
        <f t="shared" si="11"/>
        <v/>
      </c>
      <c r="S31" s="1" t="str">
        <f t="shared" si="12"/>
        <v/>
      </c>
      <c r="T31" s="1" t="str">
        <f t="shared" si="13"/>
        <v/>
      </c>
      <c r="U31" s="1" t="str">
        <f t="shared" si="14"/>
        <v/>
      </c>
      <c r="V31" s="1" t="str">
        <f t="shared" si="15"/>
        <v/>
      </c>
      <c r="W31" s="26" t="str">
        <f t="shared" si="16"/>
        <v/>
      </c>
      <c r="X31" s="13" t="str">
        <f t="shared" si="17"/>
        <v/>
      </c>
      <c r="Y31" s="9">
        <f t="shared" si="18"/>
        <v>0</v>
      </c>
    </row>
    <row r="32" spans="1:25" x14ac:dyDescent="0.25">
      <c r="A32" s="28"/>
      <c r="B32" s="29"/>
      <c r="C32" s="30"/>
      <c r="D32" s="31"/>
      <c r="E32" s="29" t="s">
        <v>16</v>
      </c>
      <c r="F32" s="13" t="b">
        <f>IF($E32=Categories!$A$1,"",IF($E32=Categories!$A$2,Categories!$B$2,IF($E32=Categories!$A$3,Categories!$B$3,IF($E32=Categories!$A$4,Categories!$B$4,IF($E32=Categories!$A$5,Categories!$B$5,IF($E32=Categories!$A$6,Categories!$B$6,IF($E32=Categories!$A$7,Categories!$B$7,IF($E32=Categories!$A$8,Categories!$B$8,IF($E32=Categories!$A$9,Categories!$B$9,IF($E32=Categories!$A$10,Categories!$B$10,IF($E32=Categories!$A$11,Categories!$B$11,IF($E32=Categories!$A$12,Categories!$B$12,IF($E32=Categories!$A$13,Categories!$B$13,IF($E32=Categories!$A$14,Categories!$B$14,IF($E32=Categories!$A$15,Categories!$B$15,IF($E32=Categories!$A$16,Categories!$B$16,IF($E32=Categories!$A$17,Categories!$B$17,IF($E32=Categories!$A$18,Categories!$B$18,IF($E32=Categories!$A$19,Categories!$B$19)))))))))))))))))))</f>
        <v>0</v>
      </c>
      <c r="G32" s="9" t="str">
        <f t="shared" si="0"/>
        <v/>
      </c>
      <c r="H32" s="1" t="str">
        <f t="shared" si="1"/>
        <v/>
      </c>
      <c r="I32" s="1" t="str">
        <f t="shared" si="2"/>
        <v/>
      </c>
      <c r="J32" s="1" t="str">
        <f t="shared" si="3"/>
        <v/>
      </c>
      <c r="K32" s="13" t="str">
        <f t="shared" si="4"/>
        <v/>
      </c>
      <c r="L32" s="9" t="str">
        <f t="shared" si="5"/>
        <v/>
      </c>
      <c r="M32" s="1" t="str">
        <f t="shared" si="6"/>
        <v/>
      </c>
      <c r="N32" s="1" t="str">
        <f t="shared" si="7"/>
        <v/>
      </c>
      <c r="O32" s="1" t="str">
        <f t="shared" si="8"/>
        <v/>
      </c>
      <c r="P32" s="1" t="str">
        <f t="shared" si="9"/>
        <v/>
      </c>
      <c r="Q32" s="1" t="str">
        <f t="shared" si="10"/>
        <v/>
      </c>
      <c r="R32" s="1" t="str">
        <f t="shared" si="11"/>
        <v/>
      </c>
      <c r="S32" s="1" t="str">
        <f t="shared" si="12"/>
        <v/>
      </c>
      <c r="T32" s="1" t="str">
        <f t="shared" si="13"/>
        <v/>
      </c>
      <c r="U32" s="1" t="str">
        <f t="shared" si="14"/>
        <v/>
      </c>
      <c r="V32" s="1" t="str">
        <f t="shared" si="15"/>
        <v/>
      </c>
      <c r="W32" s="26" t="str">
        <f t="shared" si="16"/>
        <v/>
      </c>
      <c r="X32" s="13" t="str">
        <f t="shared" si="17"/>
        <v/>
      </c>
      <c r="Y32" s="9">
        <f t="shared" si="18"/>
        <v>0</v>
      </c>
    </row>
    <row r="33" spans="1:25" x14ac:dyDescent="0.25">
      <c r="A33" s="28"/>
      <c r="B33" s="29"/>
      <c r="C33" s="30"/>
      <c r="D33" s="31"/>
      <c r="E33" s="29" t="s">
        <v>16</v>
      </c>
      <c r="F33" s="13" t="b">
        <f>IF($E33=Categories!$A$1,"",IF($E33=Categories!$A$2,Categories!$B$2,IF($E33=Categories!$A$3,Categories!$B$3,IF($E33=Categories!$A$4,Categories!$B$4,IF($E33=Categories!$A$5,Categories!$B$5,IF($E33=Categories!$A$6,Categories!$B$6,IF($E33=Categories!$A$7,Categories!$B$7,IF($E33=Categories!$A$8,Categories!$B$8,IF($E33=Categories!$A$9,Categories!$B$9,IF($E33=Categories!$A$10,Categories!$B$10,IF($E33=Categories!$A$11,Categories!$B$11,IF($E33=Categories!$A$12,Categories!$B$12,IF($E33=Categories!$A$13,Categories!$B$13,IF($E33=Categories!$A$14,Categories!$B$14,IF($E33=Categories!$A$15,Categories!$B$15,IF($E33=Categories!$A$16,Categories!$B$16,IF($E33=Categories!$A$17,Categories!$B$17,IF($E33=Categories!$A$18,Categories!$B$18,IF($E33=Categories!$A$19,Categories!$B$19)))))))))))))))))))</f>
        <v>0</v>
      </c>
      <c r="G33" s="9" t="str">
        <f t="shared" si="0"/>
        <v/>
      </c>
      <c r="H33" s="1" t="str">
        <f t="shared" si="1"/>
        <v/>
      </c>
      <c r="I33" s="1" t="str">
        <f t="shared" si="2"/>
        <v/>
      </c>
      <c r="J33" s="1" t="str">
        <f t="shared" si="3"/>
        <v/>
      </c>
      <c r="K33" s="13" t="str">
        <f t="shared" si="4"/>
        <v/>
      </c>
      <c r="L33" s="9" t="str">
        <f t="shared" si="5"/>
        <v/>
      </c>
      <c r="M33" s="1" t="str">
        <f t="shared" si="6"/>
        <v/>
      </c>
      <c r="N33" s="1" t="str">
        <f t="shared" si="7"/>
        <v/>
      </c>
      <c r="O33" s="1" t="str">
        <f t="shared" si="8"/>
        <v/>
      </c>
      <c r="P33" s="1" t="str">
        <f t="shared" si="9"/>
        <v/>
      </c>
      <c r="Q33" s="1" t="str">
        <f t="shared" si="10"/>
        <v/>
      </c>
      <c r="R33" s="1" t="str">
        <f t="shared" si="11"/>
        <v/>
      </c>
      <c r="S33" s="1" t="str">
        <f t="shared" si="12"/>
        <v/>
      </c>
      <c r="T33" s="1" t="str">
        <f t="shared" si="13"/>
        <v/>
      </c>
      <c r="U33" s="1" t="str">
        <f t="shared" si="14"/>
        <v/>
      </c>
      <c r="V33" s="1" t="str">
        <f t="shared" si="15"/>
        <v/>
      </c>
      <c r="W33" s="26" t="str">
        <f t="shared" si="16"/>
        <v/>
      </c>
      <c r="X33" s="13" t="str">
        <f t="shared" si="17"/>
        <v/>
      </c>
      <c r="Y33" s="9">
        <f t="shared" si="18"/>
        <v>0</v>
      </c>
    </row>
    <row r="34" spans="1:25" x14ac:dyDescent="0.25">
      <c r="A34" s="28"/>
      <c r="B34" s="29"/>
      <c r="C34" s="30"/>
      <c r="D34" s="31"/>
      <c r="E34" s="29" t="s">
        <v>16</v>
      </c>
      <c r="F34" s="13" t="b">
        <f>IF($E34=Categories!$A$1,"",IF($E34=Categories!$A$2,Categories!$B$2,IF($E34=Categories!$A$3,Categories!$B$3,IF($E34=Categories!$A$4,Categories!$B$4,IF($E34=Categories!$A$5,Categories!$B$5,IF($E34=Categories!$A$6,Categories!$B$6,IF($E34=Categories!$A$7,Categories!$B$7,IF($E34=Categories!$A$8,Categories!$B$8,IF($E34=Categories!$A$9,Categories!$B$9,IF($E34=Categories!$A$10,Categories!$B$10,IF($E34=Categories!$A$11,Categories!$B$11,IF($E34=Categories!$A$12,Categories!$B$12,IF($E34=Categories!$A$13,Categories!$B$13,IF($E34=Categories!$A$14,Categories!$B$14,IF($E34=Categories!$A$15,Categories!$B$15,IF($E34=Categories!$A$16,Categories!$B$16,IF($E34=Categories!$A$17,Categories!$B$17,IF($E34=Categories!$A$18,Categories!$B$18,IF($E34=Categories!$A$19,Categories!$B$19)))))))))))))))))))</f>
        <v>0</v>
      </c>
      <c r="G34" s="9" t="str">
        <f t="shared" si="0"/>
        <v/>
      </c>
      <c r="H34" s="1" t="str">
        <f t="shared" si="1"/>
        <v/>
      </c>
      <c r="I34" s="1" t="str">
        <f t="shared" si="2"/>
        <v/>
      </c>
      <c r="J34" s="1" t="str">
        <f t="shared" si="3"/>
        <v/>
      </c>
      <c r="K34" s="13" t="str">
        <f t="shared" si="4"/>
        <v/>
      </c>
      <c r="L34" s="9" t="str">
        <f t="shared" si="5"/>
        <v/>
      </c>
      <c r="M34" s="1" t="str">
        <f t="shared" si="6"/>
        <v/>
      </c>
      <c r="N34" s="1" t="str">
        <f t="shared" si="7"/>
        <v/>
      </c>
      <c r="O34" s="1" t="str">
        <f t="shared" si="8"/>
        <v/>
      </c>
      <c r="P34" s="1" t="str">
        <f t="shared" si="9"/>
        <v/>
      </c>
      <c r="Q34" s="1" t="str">
        <f t="shared" si="10"/>
        <v/>
      </c>
      <c r="R34" s="1" t="str">
        <f t="shared" si="11"/>
        <v/>
      </c>
      <c r="S34" s="1" t="str">
        <f t="shared" si="12"/>
        <v/>
      </c>
      <c r="T34" s="1" t="str">
        <f t="shared" si="13"/>
        <v/>
      </c>
      <c r="U34" s="1" t="str">
        <f t="shared" si="14"/>
        <v/>
      </c>
      <c r="V34" s="1" t="str">
        <f t="shared" si="15"/>
        <v/>
      </c>
      <c r="W34" s="26" t="str">
        <f t="shared" si="16"/>
        <v/>
      </c>
      <c r="X34" s="13" t="str">
        <f t="shared" si="17"/>
        <v/>
      </c>
      <c r="Y34" s="9">
        <f t="shared" si="18"/>
        <v>0</v>
      </c>
    </row>
    <row r="35" spans="1:25" x14ac:dyDescent="0.25">
      <c r="A35" s="28"/>
      <c r="B35" s="29"/>
      <c r="C35" s="30"/>
      <c r="D35" s="31"/>
      <c r="E35" s="29" t="s">
        <v>16</v>
      </c>
      <c r="F35" s="13" t="b">
        <f>IF($E35=Categories!$A$1,"",IF($E35=Categories!$A$2,Categories!$B$2,IF($E35=Categories!$A$3,Categories!$B$3,IF($E35=Categories!$A$4,Categories!$B$4,IF($E35=Categories!$A$5,Categories!$B$5,IF($E35=Categories!$A$6,Categories!$B$6,IF($E35=Categories!$A$7,Categories!$B$7,IF($E35=Categories!$A$8,Categories!$B$8,IF($E35=Categories!$A$9,Categories!$B$9,IF($E35=Categories!$A$10,Categories!$B$10,IF($E35=Categories!$A$11,Categories!$B$11,IF($E35=Categories!$A$12,Categories!$B$12,IF($E35=Categories!$A$13,Categories!$B$13,IF($E35=Categories!$A$14,Categories!$B$14,IF($E35=Categories!$A$15,Categories!$B$15,IF($E35=Categories!$A$16,Categories!$B$16,IF($E35=Categories!$A$17,Categories!$B$17,IF($E35=Categories!$A$18,Categories!$B$18,IF($E35=Categories!$A$19,Categories!$B$19)))))))))))))))))))</f>
        <v>0</v>
      </c>
      <c r="G35" s="9" t="str">
        <f t="shared" si="0"/>
        <v/>
      </c>
      <c r="H35" s="1" t="str">
        <f t="shared" si="1"/>
        <v/>
      </c>
      <c r="I35" s="1" t="str">
        <f t="shared" si="2"/>
        <v/>
      </c>
      <c r="J35" s="1" t="str">
        <f t="shared" si="3"/>
        <v/>
      </c>
      <c r="K35" s="13" t="str">
        <f t="shared" si="4"/>
        <v/>
      </c>
      <c r="L35" s="9" t="str">
        <f t="shared" si="5"/>
        <v/>
      </c>
      <c r="M35" s="1" t="str">
        <f t="shared" si="6"/>
        <v/>
      </c>
      <c r="N35" s="1" t="str">
        <f t="shared" si="7"/>
        <v/>
      </c>
      <c r="O35" s="1" t="str">
        <f t="shared" si="8"/>
        <v/>
      </c>
      <c r="P35" s="1" t="str">
        <f t="shared" si="9"/>
        <v/>
      </c>
      <c r="Q35" s="1" t="str">
        <f t="shared" si="10"/>
        <v/>
      </c>
      <c r="R35" s="1" t="str">
        <f t="shared" si="11"/>
        <v/>
      </c>
      <c r="S35" s="1" t="str">
        <f t="shared" si="12"/>
        <v/>
      </c>
      <c r="T35" s="1" t="str">
        <f t="shared" si="13"/>
        <v/>
      </c>
      <c r="U35" s="1" t="str">
        <f t="shared" si="14"/>
        <v/>
      </c>
      <c r="V35" s="1" t="str">
        <f t="shared" si="15"/>
        <v/>
      </c>
      <c r="W35" s="26" t="str">
        <f t="shared" si="16"/>
        <v/>
      </c>
      <c r="X35" s="13" t="str">
        <f t="shared" si="17"/>
        <v/>
      </c>
      <c r="Y35" s="9">
        <f t="shared" si="18"/>
        <v>0</v>
      </c>
    </row>
    <row r="36" spans="1:25" x14ac:dyDescent="0.25">
      <c r="A36" s="28"/>
      <c r="B36" s="29"/>
      <c r="C36" s="30"/>
      <c r="D36" s="31"/>
      <c r="E36" s="29" t="s">
        <v>16</v>
      </c>
      <c r="F36" s="13" t="b">
        <f>IF($E36=Categories!$A$1,"",IF($E36=Categories!$A$2,Categories!$B$2,IF($E36=Categories!$A$3,Categories!$B$3,IF($E36=Categories!$A$4,Categories!$B$4,IF($E36=Categories!$A$5,Categories!$B$5,IF($E36=Categories!$A$6,Categories!$B$6,IF($E36=Categories!$A$7,Categories!$B$7,IF($E36=Categories!$A$8,Categories!$B$8,IF($E36=Categories!$A$9,Categories!$B$9,IF($E36=Categories!$A$10,Categories!$B$10,IF($E36=Categories!$A$11,Categories!$B$11,IF($E36=Categories!$A$12,Categories!$B$12,IF($E36=Categories!$A$13,Categories!$B$13,IF($E36=Categories!$A$14,Categories!$B$14,IF($E36=Categories!$A$15,Categories!$B$15,IF($E36=Categories!$A$16,Categories!$B$16,IF($E36=Categories!$A$17,Categories!$B$17,IF($E36=Categories!$A$18,Categories!$B$18,IF($E36=Categories!$A$19,Categories!$B$19)))))))))))))))))))</f>
        <v>0</v>
      </c>
      <c r="G36" s="9" t="str">
        <f t="shared" si="0"/>
        <v/>
      </c>
      <c r="H36" s="1" t="str">
        <f t="shared" si="1"/>
        <v/>
      </c>
      <c r="I36" s="1" t="str">
        <f t="shared" si="2"/>
        <v/>
      </c>
      <c r="J36" s="1" t="str">
        <f t="shared" si="3"/>
        <v/>
      </c>
      <c r="K36" s="13" t="str">
        <f t="shared" si="4"/>
        <v/>
      </c>
      <c r="L36" s="9" t="str">
        <f t="shared" si="5"/>
        <v/>
      </c>
      <c r="M36" s="1" t="str">
        <f t="shared" si="6"/>
        <v/>
      </c>
      <c r="N36" s="1" t="str">
        <f t="shared" si="7"/>
        <v/>
      </c>
      <c r="O36" s="1" t="str">
        <f t="shared" si="8"/>
        <v/>
      </c>
      <c r="P36" s="1" t="str">
        <f t="shared" si="9"/>
        <v/>
      </c>
      <c r="Q36" s="1" t="str">
        <f t="shared" si="10"/>
        <v/>
      </c>
      <c r="R36" s="1" t="str">
        <f t="shared" si="11"/>
        <v/>
      </c>
      <c r="S36" s="1" t="str">
        <f t="shared" si="12"/>
        <v/>
      </c>
      <c r="T36" s="1" t="str">
        <f t="shared" si="13"/>
        <v/>
      </c>
      <c r="U36" s="1" t="str">
        <f t="shared" si="14"/>
        <v/>
      </c>
      <c r="V36" s="1" t="str">
        <f t="shared" si="15"/>
        <v/>
      </c>
      <c r="W36" s="26" t="str">
        <f t="shared" si="16"/>
        <v/>
      </c>
      <c r="X36" s="13" t="str">
        <f t="shared" si="17"/>
        <v/>
      </c>
      <c r="Y36" s="9">
        <f t="shared" si="18"/>
        <v>0</v>
      </c>
    </row>
    <row r="37" spans="1:25" x14ac:dyDescent="0.25">
      <c r="A37" s="28"/>
      <c r="B37" s="29"/>
      <c r="C37" s="30"/>
      <c r="D37" s="31"/>
      <c r="E37" s="29" t="s">
        <v>16</v>
      </c>
      <c r="F37" s="13" t="b">
        <f>IF($E37=Categories!$A$1,"",IF($E37=Categories!$A$2,Categories!$B$2,IF($E37=Categories!$A$3,Categories!$B$3,IF($E37=Categories!$A$4,Categories!$B$4,IF($E37=Categories!$A$5,Categories!$B$5,IF($E37=Categories!$A$6,Categories!$B$6,IF($E37=Categories!$A$7,Categories!$B$7,IF($E37=Categories!$A$8,Categories!$B$8,IF($E37=Categories!$A$9,Categories!$B$9,IF($E37=Categories!$A$10,Categories!$B$10,IF($E37=Categories!$A$11,Categories!$B$11,IF($E37=Categories!$A$12,Categories!$B$12,IF($E37=Categories!$A$13,Categories!$B$13,IF($E37=Categories!$A$14,Categories!$B$14,IF($E37=Categories!$A$15,Categories!$B$15,IF($E37=Categories!$A$16,Categories!$B$16,IF($E37=Categories!$A$17,Categories!$B$17,IF($E37=Categories!$A$18,Categories!$B$18,IF($E37=Categories!$A$19,Categories!$B$19)))))))))))))))))))</f>
        <v>0</v>
      </c>
      <c r="G37" s="9" t="str">
        <f t="shared" si="0"/>
        <v/>
      </c>
      <c r="H37" s="1" t="str">
        <f t="shared" si="1"/>
        <v/>
      </c>
      <c r="I37" s="1" t="str">
        <f t="shared" si="2"/>
        <v/>
      </c>
      <c r="J37" s="1" t="str">
        <f t="shared" si="3"/>
        <v/>
      </c>
      <c r="K37" s="13" t="str">
        <f t="shared" si="4"/>
        <v/>
      </c>
      <c r="L37" s="9" t="str">
        <f t="shared" si="5"/>
        <v/>
      </c>
      <c r="M37" s="1" t="str">
        <f t="shared" si="6"/>
        <v/>
      </c>
      <c r="N37" s="1" t="str">
        <f t="shared" si="7"/>
        <v/>
      </c>
      <c r="O37" s="1" t="str">
        <f t="shared" si="8"/>
        <v/>
      </c>
      <c r="P37" s="1" t="str">
        <f t="shared" si="9"/>
        <v/>
      </c>
      <c r="Q37" s="1" t="str">
        <f t="shared" si="10"/>
        <v/>
      </c>
      <c r="R37" s="1" t="str">
        <f t="shared" si="11"/>
        <v/>
      </c>
      <c r="S37" s="1" t="str">
        <f t="shared" si="12"/>
        <v/>
      </c>
      <c r="T37" s="1" t="str">
        <f t="shared" si="13"/>
        <v/>
      </c>
      <c r="U37" s="1" t="str">
        <f t="shared" si="14"/>
        <v/>
      </c>
      <c r="V37" s="1" t="str">
        <f t="shared" si="15"/>
        <v/>
      </c>
      <c r="W37" s="26" t="str">
        <f t="shared" si="16"/>
        <v/>
      </c>
      <c r="X37" s="13" t="str">
        <f t="shared" si="17"/>
        <v/>
      </c>
      <c r="Y37" s="9">
        <f t="shared" si="18"/>
        <v>0</v>
      </c>
    </row>
    <row r="38" spans="1:25" x14ac:dyDescent="0.25">
      <c r="A38" s="28"/>
      <c r="B38" s="29"/>
      <c r="C38" s="30"/>
      <c r="D38" s="31"/>
      <c r="E38" s="29" t="s">
        <v>16</v>
      </c>
      <c r="F38" s="13" t="b">
        <f>IF($E38=Categories!$A$1,"",IF($E38=Categories!$A$2,Categories!$B$2,IF($E38=Categories!$A$3,Categories!$B$3,IF($E38=Categories!$A$4,Categories!$B$4,IF($E38=Categories!$A$5,Categories!$B$5,IF($E38=Categories!$A$6,Categories!$B$6,IF($E38=Categories!$A$7,Categories!$B$7,IF($E38=Categories!$A$8,Categories!$B$8,IF($E38=Categories!$A$9,Categories!$B$9,IF($E38=Categories!$A$10,Categories!$B$10,IF($E38=Categories!$A$11,Categories!$B$11,IF($E38=Categories!$A$12,Categories!$B$12,IF($E38=Categories!$A$13,Categories!$B$13,IF($E38=Categories!$A$14,Categories!$B$14,IF($E38=Categories!$A$15,Categories!$B$15,IF($E38=Categories!$A$16,Categories!$B$16,IF($E38=Categories!$A$17,Categories!$B$17,IF($E38=Categories!$A$18,Categories!$B$18,IF($E38=Categories!$A$19,Categories!$B$19)))))))))))))))))))</f>
        <v>0</v>
      </c>
      <c r="G38" s="9" t="str">
        <f t="shared" si="0"/>
        <v/>
      </c>
      <c r="H38" s="1" t="str">
        <f t="shared" si="1"/>
        <v/>
      </c>
      <c r="I38" s="1" t="str">
        <f t="shared" si="2"/>
        <v/>
      </c>
      <c r="J38" s="1" t="str">
        <f t="shared" si="3"/>
        <v/>
      </c>
      <c r="K38" s="13" t="str">
        <f t="shared" si="4"/>
        <v/>
      </c>
      <c r="L38" s="9" t="str">
        <f t="shared" si="5"/>
        <v/>
      </c>
      <c r="M38" s="1" t="str">
        <f t="shared" si="6"/>
        <v/>
      </c>
      <c r="N38" s="1" t="str">
        <f t="shared" si="7"/>
        <v/>
      </c>
      <c r="O38" s="1" t="str">
        <f t="shared" si="8"/>
        <v/>
      </c>
      <c r="P38" s="1" t="str">
        <f t="shared" si="9"/>
        <v/>
      </c>
      <c r="Q38" s="1" t="str">
        <f t="shared" si="10"/>
        <v/>
      </c>
      <c r="R38" s="1" t="str">
        <f t="shared" si="11"/>
        <v/>
      </c>
      <c r="S38" s="1" t="str">
        <f t="shared" si="12"/>
        <v/>
      </c>
      <c r="T38" s="1" t="str">
        <f t="shared" si="13"/>
        <v/>
      </c>
      <c r="U38" s="1" t="str">
        <f t="shared" si="14"/>
        <v/>
      </c>
      <c r="V38" s="1" t="str">
        <f t="shared" si="15"/>
        <v/>
      </c>
      <c r="W38" s="26" t="str">
        <f t="shared" si="16"/>
        <v/>
      </c>
      <c r="X38" s="13" t="str">
        <f t="shared" si="17"/>
        <v/>
      </c>
      <c r="Y38" s="9">
        <f t="shared" si="18"/>
        <v>0</v>
      </c>
    </row>
    <row r="39" spans="1:25" x14ac:dyDescent="0.25">
      <c r="A39" s="28"/>
      <c r="B39" s="29"/>
      <c r="C39" s="30"/>
      <c r="D39" s="31"/>
      <c r="E39" s="29" t="s">
        <v>16</v>
      </c>
      <c r="F39" s="13" t="b">
        <f>IF($E39=Categories!$A$1,"",IF($E39=Categories!$A$2,Categories!$B$2,IF($E39=Categories!$A$3,Categories!$B$3,IF($E39=Categories!$A$4,Categories!$B$4,IF($E39=Categories!$A$5,Categories!$B$5,IF($E39=Categories!$A$6,Categories!$B$6,IF($E39=Categories!$A$7,Categories!$B$7,IF($E39=Categories!$A$8,Categories!$B$8,IF($E39=Categories!$A$9,Categories!$B$9,IF($E39=Categories!$A$10,Categories!$B$10,IF($E39=Categories!$A$11,Categories!$B$11,IF($E39=Categories!$A$12,Categories!$B$12,IF($E39=Categories!$A$13,Categories!$B$13,IF($E39=Categories!$A$14,Categories!$B$14,IF($E39=Categories!$A$15,Categories!$B$15,IF($E39=Categories!$A$16,Categories!$B$16,IF($E39=Categories!$A$17,Categories!$B$17,IF($E39=Categories!$A$18,Categories!$B$18,IF($E39=Categories!$A$19,Categories!$B$19)))))))))))))))))))</f>
        <v>0</v>
      </c>
      <c r="G39" s="9" t="str">
        <f t="shared" si="0"/>
        <v/>
      </c>
      <c r="H39" s="1" t="str">
        <f t="shared" si="1"/>
        <v/>
      </c>
      <c r="I39" s="1" t="str">
        <f t="shared" si="2"/>
        <v/>
      </c>
      <c r="J39" s="1" t="str">
        <f t="shared" si="3"/>
        <v/>
      </c>
      <c r="K39" s="13" t="str">
        <f t="shared" si="4"/>
        <v/>
      </c>
      <c r="L39" s="9" t="str">
        <f t="shared" si="5"/>
        <v/>
      </c>
      <c r="M39" s="1" t="str">
        <f t="shared" si="6"/>
        <v/>
      </c>
      <c r="N39" s="1" t="str">
        <f t="shared" si="7"/>
        <v/>
      </c>
      <c r="O39" s="1" t="str">
        <f t="shared" si="8"/>
        <v/>
      </c>
      <c r="P39" s="1" t="str">
        <f t="shared" si="9"/>
        <v/>
      </c>
      <c r="Q39" s="1" t="str">
        <f t="shared" si="10"/>
        <v/>
      </c>
      <c r="R39" s="1" t="str">
        <f t="shared" si="11"/>
        <v/>
      </c>
      <c r="S39" s="1" t="str">
        <f t="shared" si="12"/>
        <v/>
      </c>
      <c r="T39" s="1" t="str">
        <f t="shared" si="13"/>
        <v/>
      </c>
      <c r="U39" s="1" t="str">
        <f t="shared" si="14"/>
        <v/>
      </c>
      <c r="V39" s="1" t="str">
        <f t="shared" si="15"/>
        <v/>
      </c>
      <c r="W39" s="26" t="str">
        <f t="shared" si="16"/>
        <v/>
      </c>
      <c r="X39" s="13" t="str">
        <f t="shared" si="17"/>
        <v/>
      </c>
      <c r="Y39" s="9">
        <f t="shared" si="18"/>
        <v>0</v>
      </c>
    </row>
    <row r="40" spans="1:25" x14ac:dyDescent="0.25">
      <c r="A40" s="28"/>
      <c r="B40" s="29"/>
      <c r="C40" s="30"/>
      <c r="D40" s="31"/>
      <c r="E40" s="29" t="s">
        <v>16</v>
      </c>
      <c r="F40" s="13" t="b">
        <f>IF($E40=Categories!$A$1,"",IF($E40=Categories!$A$2,Categories!$B$2,IF($E40=Categories!$A$3,Categories!$B$3,IF($E40=Categories!$A$4,Categories!$B$4,IF($E40=Categories!$A$5,Categories!$B$5,IF($E40=Categories!$A$6,Categories!$B$6,IF($E40=Categories!$A$7,Categories!$B$7,IF($E40=Categories!$A$8,Categories!$B$8,IF($E40=Categories!$A$9,Categories!$B$9,IF($E40=Categories!$A$10,Categories!$B$10,IF($E40=Categories!$A$11,Categories!$B$11,IF($E40=Categories!$A$12,Categories!$B$12,IF($E40=Categories!$A$13,Categories!$B$13,IF($E40=Categories!$A$14,Categories!$B$14,IF($E40=Categories!$A$15,Categories!$B$15,IF($E40=Categories!$A$16,Categories!$B$16,IF($E40=Categories!$A$17,Categories!$B$17,IF($E40=Categories!$A$18,Categories!$B$18,IF($E40=Categories!$A$19,Categories!$B$19)))))))))))))))))))</f>
        <v>0</v>
      </c>
      <c r="G40" s="9" t="str">
        <f t="shared" si="0"/>
        <v/>
      </c>
      <c r="H40" s="1" t="str">
        <f t="shared" si="1"/>
        <v/>
      </c>
      <c r="I40" s="1" t="str">
        <f t="shared" si="2"/>
        <v/>
      </c>
      <c r="J40" s="1" t="str">
        <f t="shared" si="3"/>
        <v/>
      </c>
      <c r="K40" s="13" t="str">
        <f t="shared" si="4"/>
        <v/>
      </c>
      <c r="L40" s="9" t="str">
        <f t="shared" si="5"/>
        <v/>
      </c>
      <c r="M40" s="1" t="str">
        <f t="shared" si="6"/>
        <v/>
      </c>
      <c r="N40" s="1" t="str">
        <f t="shared" si="7"/>
        <v/>
      </c>
      <c r="O40" s="1" t="str">
        <f t="shared" si="8"/>
        <v/>
      </c>
      <c r="P40" s="1" t="str">
        <f t="shared" si="9"/>
        <v/>
      </c>
      <c r="Q40" s="1" t="str">
        <f t="shared" si="10"/>
        <v/>
      </c>
      <c r="R40" s="1" t="str">
        <f t="shared" si="11"/>
        <v/>
      </c>
      <c r="S40" s="1" t="str">
        <f t="shared" si="12"/>
        <v/>
      </c>
      <c r="T40" s="1" t="str">
        <f t="shared" si="13"/>
        <v/>
      </c>
      <c r="U40" s="1" t="str">
        <f t="shared" si="14"/>
        <v/>
      </c>
      <c r="V40" s="1" t="str">
        <f t="shared" si="15"/>
        <v/>
      </c>
      <c r="W40" s="26" t="str">
        <f t="shared" si="16"/>
        <v/>
      </c>
      <c r="X40" s="13" t="str">
        <f t="shared" si="17"/>
        <v/>
      </c>
      <c r="Y40" s="9">
        <f t="shared" si="18"/>
        <v>0</v>
      </c>
    </row>
    <row r="41" spans="1:25" x14ac:dyDescent="0.25">
      <c r="A41" s="28"/>
      <c r="B41" s="29"/>
      <c r="C41" s="30"/>
      <c r="D41" s="31"/>
      <c r="E41" s="29" t="s">
        <v>16</v>
      </c>
      <c r="F41" s="13" t="b">
        <f>IF($E41=Categories!$A$1,"",IF($E41=Categories!$A$2,Categories!$B$2,IF($E41=Categories!$A$3,Categories!$B$3,IF($E41=Categories!$A$4,Categories!$B$4,IF($E41=Categories!$A$5,Categories!$B$5,IF($E41=Categories!$A$6,Categories!$B$6,IF($E41=Categories!$A$7,Categories!$B$7,IF($E41=Categories!$A$8,Categories!$B$8,IF($E41=Categories!$A$9,Categories!$B$9,IF($E41=Categories!$A$10,Categories!$B$10,IF($E41=Categories!$A$11,Categories!$B$11,IF($E41=Categories!$A$12,Categories!$B$12,IF($E41=Categories!$A$13,Categories!$B$13,IF($E41=Categories!$A$14,Categories!$B$14,IF($E41=Categories!$A$15,Categories!$B$15,IF($E41=Categories!$A$16,Categories!$B$16,IF($E41=Categories!$A$17,Categories!$B$17,IF($E41=Categories!$A$18,Categories!$B$18,IF($E41=Categories!$A$19,Categories!$B$19)))))))))))))))))))</f>
        <v>0</v>
      </c>
      <c r="G41" s="9" t="str">
        <f t="shared" si="0"/>
        <v/>
      </c>
      <c r="H41" s="1" t="str">
        <f t="shared" si="1"/>
        <v/>
      </c>
      <c r="I41" s="1" t="str">
        <f t="shared" si="2"/>
        <v/>
      </c>
      <c r="J41" s="1" t="str">
        <f t="shared" si="3"/>
        <v/>
      </c>
      <c r="K41" s="13" t="str">
        <f t="shared" si="4"/>
        <v/>
      </c>
      <c r="L41" s="9" t="str">
        <f t="shared" si="5"/>
        <v/>
      </c>
      <c r="M41" s="1" t="str">
        <f t="shared" si="6"/>
        <v/>
      </c>
      <c r="N41" s="1" t="str">
        <f t="shared" si="7"/>
        <v/>
      </c>
      <c r="O41" s="1" t="str">
        <f t="shared" si="8"/>
        <v/>
      </c>
      <c r="P41" s="1" t="str">
        <f t="shared" si="9"/>
        <v/>
      </c>
      <c r="Q41" s="1" t="str">
        <f t="shared" si="10"/>
        <v/>
      </c>
      <c r="R41" s="1" t="str">
        <f t="shared" si="11"/>
        <v/>
      </c>
      <c r="S41" s="1" t="str">
        <f t="shared" si="12"/>
        <v/>
      </c>
      <c r="T41" s="1" t="str">
        <f t="shared" si="13"/>
        <v/>
      </c>
      <c r="U41" s="1" t="str">
        <f t="shared" si="14"/>
        <v/>
      </c>
      <c r="V41" s="1" t="str">
        <f t="shared" si="15"/>
        <v/>
      </c>
      <c r="W41" s="26" t="str">
        <f t="shared" si="16"/>
        <v/>
      </c>
      <c r="X41" s="13" t="str">
        <f t="shared" si="17"/>
        <v/>
      </c>
      <c r="Y41" s="9">
        <f t="shared" si="18"/>
        <v>0</v>
      </c>
    </row>
    <row r="42" spans="1:25" x14ac:dyDescent="0.25">
      <c r="A42" s="28"/>
      <c r="B42" s="29"/>
      <c r="C42" s="30"/>
      <c r="D42" s="31"/>
      <c r="E42" s="29" t="s">
        <v>16</v>
      </c>
      <c r="F42" s="13" t="b">
        <f>IF($E42=Categories!$A$1,"",IF($E42=Categories!$A$2,Categories!$B$2,IF($E42=Categories!$A$3,Categories!$B$3,IF($E42=Categories!$A$4,Categories!$B$4,IF($E42=Categories!$A$5,Categories!$B$5,IF($E42=Categories!$A$6,Categories!$B$6,IF($E42=Categories!$A$7,Categories!$B$7,IF($E42=Categories!$A$8,Categories!$B$8,IF($E42=Categories!$A$9,Categories!$B$9,IF($E42=Categories!$A$10,Categories!$B$10,IF($E42=Categories!$A$11,Categories!$B$11,IF($E42=Categories!$A$12,Categories!$B$12,IF($E42=Categories!$A$13,Categories!$B$13,IF($E42=Categories!$A$14,Categories!$B$14,IF($E42=Categories!$A$15,Categories!$B$15,IF($E42=Categories!$A$16,Categories!$B$16,IF($E42=Categories!$A$17,Categories!$B$17,IF($E42=Categories!$A$18,Categories!$B$18,IF($E42=Categories!$A$19,Categories!$B$19)))))))))))))))))))</f>
        <v>0</v>
      </c>
      <c r="G42" s="9" t="str">
        <f t="shared" si="0"/>
        <v/>
      </c>
      <c r="H42" s="1" t="str">
        <f t="shared" si="1"/>
        <v/>
      </c>
      <c r="I42" s="1" t="str">
        <f t="shared" si="2"/>
        <v/>
      </c>
      <c r="J42" s="1" t="str">
        <f t="shared" si="3"/>
        <v/>
      </c>
      <c r="K42" s="13" t="str">
        <f t="shared" si="4"/>
        <v/>
      </c>
      <c r="L42" s="9" t="str">
        <f t="shared" si="5"/>
        <v/>
      </c>
      <c r="M42" s="1" t="str">
        <f t="shared" si="6"/>
        <v/>
      </c>
      <c r="N42" s="1" t="str">
        <f t="shared" si="7"/>
        <v/>
      </c>
      <c r="O42" s="1" t="str">
        <f t="shared" si="8"/>
        <v/>
      </c>
      <c r="P42" s="1" t="str">
        <f t="shared" si="9"/>
        <v/>
      </c>
      <c r="Q42" s="1" t="str">
        <f t="shared" si="10"/>
        <v/>
      </c>
      <c r="R42" s="1" t="str">
        <f t="shared" si="11"/>
        <v/>
      </c>
      <c r="S42" s="1" t="str">
        <f t="shared" si="12"/>
        <v/>
      </c>
      <c r="T42" s="1" t="str">
        <f t="shared" si="13"/>
        <v/>
      </c>
      <c r="U42" s="1" t="str">
        <f t="shared" si="14"/>
        <v/>
      </c>
      <c r="V42" s="1" t="str">
        <f t="shared" si="15"/>
        <v/>
      </c>
      <c r="W42" s="26" t="str">
        <f t="shared" si="16"/>
        <v/>
      </c>
      <c r="X42" s="13" t="str">
        <f t="shared" si="17"/>
        <v/>
      </c>
      <c r="Y42" s="9">
        <f t="shared" si="18"/>
        <v>0</v>
      </c>
    </row>
    <row r="43" spans="1:25" x14ac:dyDescent="0.25">
      <c r="A43" s="28"/>
      <c r="B43" s="29"/>
      <c r="C43" s="30"/>
      <c r="D43" s="31"/>
      <c r="E43" s="29" t="s">
        <v>16</v>
      </c>
      <c r="F43" s="13" t="b">
        <f>IF($E43=Categories!$A$1,"",IF($E43=Categories!$A$2,Categories!$B$2,IF($E43=Categories!$A$3,Categories!$B$3,IF($E43=Categories!$A$4,Categories!$B$4,IF($E43=Categories!$A$5,Categories!$B$5,IF($E43=Categories!$A$6,Categories!$B$6,IF($E43=Categories!$A$7,Categories!$B$7,IF($E43=Categories!$A$8,Categories!$B$8,IF($E43=Categories!$A$9,Categories!$B$9,IF($E43=Categories!$A$10,Categories!$B$10,IF($E43=Categories!$A$11,Categories!$B$11,IF($E43=Categories!$A$12,Categories!$B$12,IF($E43=Categories!$A$13,Categories!$B$13,IF($E43=Categories!$A$14,Categories!$B$14,IF($E43=Categories!$A$15,Categories!$B$15,IF($E43=Categories!$A$16,Categories!$B$16,IF($E43=Categories!$A$17,Categories!$B$17,IF($E43=Categories!$A$18,Categories!$B$18,IF($E43=Categories!$A$19,Categories!$B$19)))))))))))))))))))</f>
        <v>0</v>
      </c>
      <c r="G43" s="9" t="str">
        <f t="shared" si="0"/>
        <v/>
      </c>
      <c r="H43" s="1" t="str">
        <f t="shared" si="1"/>
        <v/>
      </c>
      <c r="I43" s="1" t="str">
        <f t="shared" si="2"/>
        <v/>
      </c>
      <c r="J43" s="1" t="str">
        <f t="shared" si="3"/>
        <v/>
      </c>
      <c r="K43" s="13" t="str">
        <f t="shared" si="4"/>
        <v/>
      </c>
      <c r="L43" s="9" t="str">
        <f t="shared" si="5"/>
        <v/>
      </c>
      <c r="M43" s="1" t="str">
        <f t="shared" si="6"/>
        <v/>
      </c>
      <c r="N43" s="1" t="str">
        <f t="shared" si="7"/>
        <v/>
      </c>
      <c r="O43" s="1" t="str">
        <f t="shared" si="8"/>
        <v/>
      </c>
      <c r="P43" s="1" t="str">
        <f t="shared" si="9"/>
        <v/>
      </c>
      <c r="Q43" s="1" t="str">
        <f t="shared" si="10"/>
        <v/>
      </c>
      <c r="R43" s="1" t="str">
        <f t="shared" si="11"/>
        <v/>
      </c>
      <c r="S43" s="1" t="str">
        <f t="shared" si="12"/>
        <v/>
      </c>
      <c r="T43" s="1" t="str">
        <f t="shared" si="13"/>
        <v/>
      </c>
      <c r="U43" s="1" t="str">
        <f t="shared" si="14"/>
        <v/>
      </c>
      <c r="V43" s="1" t="str">
        <f t="shared" si="15"/>
        <v/>
      </c>
      <c r="W43" s="26" t="str">
        <f t="shared" si="16"/>
        <v/>
      </c>
      <c r="X43" s="13" t="str">
        <f t="shared" si="17"/>
        <v/>
      </c>
      <c r="Y43" s="9">
        <f t="shared" si="18"/>
        <v>0</v>
      </c>
    </row>
    <row r="44" spans="1:25" x14ac:dyDescent="0.25">
      <c r="A44" s="28"/>
      <c r="B44" s="29"/>
      <c r="C44" s="30"/>
      <c r="D44" s="31"/>
      <c r="E44" s="29" t="s">
        <v>16</v>
      </c>
      <c r="F44" s="13" t="b">
        <f>IF($E44=Categories!$A$1,"",IF($E44=Categories!$A$2,Categories!$B$2,IF($E44=Categories!$A$3,Categories!$B$3,IF($E44=Categories!$A$4,Categories!$B$4,IF($E44=Categories!$A$5,Categories!$B$5,IF($E44=Categories!$A$6,Categories!$B$6,IF($E44=Categories!$A$7,Categories!$B$7,IF($E44=Categories!$A$8,Categories!$B$8,IF($E44=Categories!$A$9,Categories!$B$9,IF($E44=Categories!$A$10,Categories!$B$10,IF($E44=Categories!$A$11,Categories!$B$11,IF($E44=Categories!$A$12,Categories!$B$12,IF($E44=Categories!$A$13,Categories!$B$13,IF($E44=Categories!$A$14,Categories!$B$14,IF($E44=Categories!$A$15,Categories!$B$15,IF($E44=Categories!$A$16,Categories!$B$16,IF($E44=Categories!$A$17,Categories!$B$17,IF($E44=Categories!$A$18,Categories!$B$18,IF($E44=Categories!$A$19,Categories!$B$19)))))))))))))))))))</f>
        <v>0</v>
      </c>
      <c r="G44" s="9" t="str">
        <f t="shared" si="0"/>
        <v/>
      </c>
      <c r="H44" s="1" t="str">
        <f t="shared" si="1"/>
        <v/>
      </c>
      <c r="I44" s="1" t="str">
        <f t="shared" si="2"/>
        <v/>
      </c>
      <c r="J44" s="1" t="str">
        <f t="shared" si="3"/>
        <v/>
      </c>
      <c r="K44" s="13" t="str">
        <f t="shared" si="4"/>
        <v/>
      </c>
      <c r="L44" s="9" t="str">
        <f t="shared" si="5"/>
        <v/>
      </c>
      <c r="M44" s="1" t="str">
        <f t="shared" si="6"/>
        <v/>
      </c>
      <c r="N44" s="1" t="str">
        <f t="shared" si="7"/>
        <v/>
      </c>
      <c r="O44" s="1" t="str">
        <f t="shared" si="8"/>
        <v/>
      </c>
      <c r="P44" s="1" t="str">
        <f t="shared" si="9"/>
        <v/>
      </c>
      <c r="Q44" s="1" t="str">
        <f t="shared" si="10"/>
        <v/>
      </c>
      <c r="R44" s="1" t="str">
        <f t="shared" si="11"/>
        <v/>
      </c>
      <c r="S44" s="1" t="str">
        <f t="shared" si="12"/>
        <v/>
      </c>
      <c r="T44" s="1" t="str">
        <f t="shared" si="13"/>
        <v/>
      </c>
      <c r="U44" s="1" t="str">
        <f t="shared" si="14"/>
        <v/>
      </c>
      <c r="V44" s="1" t="str">
        <f t="shared" si="15"/>
        <v/>
      </c>
      <c r="W44" s="26" t="str">
        <f t="shared" si="16"/>
        <v/>
      </c>
      <c r="X44" s="13" t="str">
        <f t="shared" si="17"/>
        <v/>
      </c>
      <c r="Y44" s="9">
        <f t="shared" si="18"/>
        <v>0</v>
      </c>
    </row>
    <row r="45" spans="1:25" x14ac:dyDescent="0.25">
      <c r="A45" s="28"/>
      <c r="B45" s="29"/>
      <c r="C45" s="30"/>
      <c r="D45" s="31"/>
      <c r="E45" s="29" t="s">
        <v>16</v>
      </c>
      <c r="F45" s="13" t="b">
        <f>IF($E45=Categories!$A$1,"",IF($E45=Categories!$A$2,Categories!$B$2,IF($E45=Categories!$A$3,Categories!$B$3,IF($E45=Categories!$A$4,Categories!$B$4,IF($E45=Categories!$A$5,Categories!$B$5,IF($E45=Categories!$A$6,Categories!$B$6,IF($E45=Categories!$A$7,Categories!$B$7,IF($E45=Categories!$A$8,Categories!$B$8,IF($E45=Categories!$A$9,Categories!$B$9,IF($E45=Categories!$A$10,Categories!$B$10,IF($E45=Categories!$A$11,Categories!$B$11,IF($E45=Categories!$A$12,Categories!$B$12,IF($E45=Categories!$A$13,Categories!$B$13,IF($E45=Categories!$A$14,Categories!$B$14,IF($E45=Categories!$A$15,Categories!$B$15,IF($E45=Categories!$A$16,Categories!$B$16,IF($E45=Categories!$A$17,Categories!$B$17,IF($E45=Categories!$A$18,Categories!$B$18,IF($E45=Categories!$A$19,Categories!$B$19)))))))))))))))))))</f>
        <v>0</v>
      </c>
      <c r="G45" s="9" t="str">
        <f t="shared" si="0"/>
        <v/>
      </c>
      <c r="H45" s="1" t="str">
        <f t="shared" si="1"/>
        <v/>
      </c>
      <c r="I45" s="1" t="str">
        <f t="shared" si="2"/>
        <v/>
      </c>
      <c r="J45" s="1" t="str">
        <f t="shared" si="3"/>
        <v/>
      </c>
      <c r="K45" s="13" t="str">
        <f t="shared" si="4"/>
        <v/>
      </c>
      <c r="L45" s="9" t="str">
        <f t="shared" si="5"/>
        <v/>
      </c>
      <c r="M45" s="1" t="str">
        <f t="shared" si="6"/>
        <v/>
      </c>
      <c r="N45" s="1" t="str">
        <f t="shared" si="7"/>
        <v/>
      </c>
      <c r="O45" s="1" t="str">
        <f t="shared" si="8"/>
        <v/>
      </c>
      <c r="P45" s="1" t="str">
        <f t="shared" si="9"/>
        <v/>
      </c>
      <c r="Q45" s="1" t="str">
        <f t="shared" si="10"/>
        <v/>
      </c>
      <c r="R45" s="1" t="str">
        <f t="shared" si="11"/>
        <v/>
      </c>
      <c r="S45" s="1" t="str">
        <f t="shared" si="12"/>
        <v/>
      </c>
      <c r="T45" s="1" t="str">
        <f t="shared" si="13"/>
        <v/>
      </c>
      <c r="U45" s="1" t="str">
        <f t="shared" si="14"/>
        <v/>
      </c>
      <c r="V45" s="1" t="str">
        <f t="shared" si="15"/>
        <v/>
      </c>
      <c r="W45" s="26" t="str">
        <f t="shared" si="16"/>
        <v/>
      </c>
      <c r="X45" s="13" t="str">
        <f t="shared" si="17"/>
        <v/>
      </c>
      <c r="Y45" s="9">
        <f t="shared" si="18"/>
        <v>0</v>
      </c>
    </row>
    <row r="46" spans="1:25" x14ac:dyDescent="0.25">
      <c r="A46" s="28"/>
      <c r="B46" s="29"/>
      <c r="C46" s="30"/>
      <c r="D46" s="31"/>
      <c r="E46" s="29" t="s">
        <v>16</v>
      </c>
      <c r="F46" s="13" t="b">
        <f>IF($E46=Categories!$A$1,"",IF($E46=Categories!$A$2,Categories!$B$2,IF($E46=Categories!$A$3,Categories!$B$3,IF($E46=Categories!$A$4,Categories!$B$4,IF($E46=Categories!$A$5,Categories!$B$5,IF($E46=Categories!$A$6,Categories!$B$6,IF($E46=Categories!$A$7,Categories!$B$7,IF($E46=Categories!$A$8,Categories!$B$8,IF($E46=Categories!$A$9,Categories!$B$9,IF($E46=Categories!$A$10,Categories!$B$10,IF($E46=Categories!$A$11,Categories!$B$11,IF($E46=Categories!$A$12,Categories!$B$12,IF($E46=Categories!$A$13,Categories!$B$13,IF($E46=Categories!$A$14,Categories!$B$14,IF($E46=Categories!$A$15,Categories!$B$15,IF($E46=Categories!$A$16,Categories!$B$16,IF($E46=Categories!$A$17,Categories!$B$17,IF($E46=Categories!$A$18,Categories!$B$18,IF($E46=Categories!$A$19,Categories!$B$19)))))))))))))))))))</f>
        <v>0</v>
      </c>
      <c r="G46" s="9" t="str">
        <f t="shared" si="0"/>
        <v/>
      </c>
      <c r="H46" s="1" t="str">
        <f t="shared" si="1"/>
        <v/>
      </c>
      <c r="I46" s="1" t="str">
        <f t="shared" si="2"/>
        <v/>
      </c>
      <c r="J46" s="1" t="str">
        <f t="shared" si="3"/>
        <v/>
      </c>
      <c r="K46" s="13" t="str">
        <f t="shared" si="4"/>
        <v/>
      </c>
      <c r="L46" s="9" t="str">
        <f t="shared" si="5"/>
        <v/>
      </c>
      <c r="M46" s="1" t="str">
        <f t="shared" si="6"/>
        <v/>
      </c>
      <c r="N46" s="1" t="str">
        <f t="shared" si="7"/>
        <v/>
      </c>
      <c r="O46" s="1" t="str">
        <f t="shared" si="8"/>
        <v/>
      </c>
      <c r="P46" s="1" t="str">
        <f t="shared" si="9"/>
        <v/>
      </c>
      <c r="Q46" s="1" t="str">
        <f t="shared" si="10"/>
        <v/>
      </c>
      <c r="R46" s="1" t="str">
        <f t="shared" si="11"/>
        <v/>
      </c>
      <c r="S46" s="1" t="str">
        <f t="shared" si="12"/>
        <v/>
      </c>
      <c r="T46" s="1" t="str">
        <f t="shared" si="13"/>
        <v/>
      </c>
      <c r="U46" s="1" t="str">
        <f t="shared" si="14"/>
        <v/>
      </c>
      <c r="V46" s="1" t="str">
        <f t="shared" si="15"/>
        <v/>
      </c>
      <c r="W46" s="26" t="str">
        <f t="shared" si="16"/>
        <v/>
      </c>
      <c r="X46" s="13" t="str">
        <f t="shared" si="17"/>
        <v/>
      </c>
      <c r="Y46" s="9">
        <f t="shared" si="18"/>
        <v>0</v>
      </c>
    </row>
    <row r="47" spans="1:25" x14ac:dyDescent="0.25">
      <c r="A47" s="28"/>
      <c r="B47" s="29"/>
      <c r="C47" s="30"/>
      <c r="D47" s="31"/>
      <c r="E47" s="29" t="s">
        <v>16</v>
      </c>
      <c r="F47" s="13" t="b">
        <f>IF($E47=Categories!$A$1,"",IF($E47=Categories!$A$2,Categories!$B$2,IF($E47=Categories!$A$3,Categories!$B$3,IF($E47=Categories!$A$4,Categories!$B$4,IF($E47=Categories!$A$5,Categories!$B$5,IF($E47=Categories!$A$6,Categories!$B$6,IF($E47=Categories!$A$7,Categories!$B$7,IF($E47=Categories!$A$8,Categories!$B$8,IF($E47=Categories!$A$9,Categories!$B$9,IF($E47=Categories!$A$10,Categories!$B$10,IF($E47=Categories!$A$11,Categories!$B$11,IF($E47=Categories!$A$12,Categories!$B$12,IF($E47=Categories!$A$13,Categories!$B$13,IF($E47=Categories!$A$14,Categories!$B$14,IF($E47=Categories!$A$15,Categories!$B$15,IF($E47=Categories!$A$16,Categories!$B$16,IF($E47=Categories!$A$17,Categories!$B$17,IF($E47=Categories!$A$18,Categories!$B$18,IF($E47=Categories!$A$19,Categories!$B$19)))))))))))))))))))</f>
        <v>0</v>
      </c>
      <c r="G47" s="9" t="str">
        <f t="shared" si="0"/>
        <v/>
      </c>
      <c r="H47" s="1" t="str">
        <f t="shared" si="1"/>
        <v/>
      </c>
      <c r="I47" s="1" t="str">
        <f t="shared" si="2"/>
        <v/>
      </c>
      <c r="J47" s="1" t="str">
        <f t="shared" si="3"/>
        <v/>
      </c>
      <c r="K47" s="13" t="str">
        <f t="shared" si="4"/>
        <v/>
      </c>
      <c r="L47" s="9" t="str">
        <f t="shared" si="5"/>
        <v/>
      </c>
      <c r="M47" s="1" t="str">
        <f t="shared" si="6"/>
        <v/>
      </c>
      <c r="N47" s="1" t="str">
        <f t="shared" si="7"/>
        <v/>
      </c>
      <c r="O47" s="1" t="str">
        <f t="shared" si="8"/>
        <v/>
      </c>
      <c r="P47" s="1" t="str">
        <f t="shared" si="9"/>
        <v/>
      </c>
      <c r="Q47" s="1" t="str">
        <f t="shared" si="10"/>
        <v/>
      </c>
      <c r="R47" s="1" t="str">
        <f t="shared" si="11"/>
        <v/>
      </c>
      <c r="S47" s="1" t="str">
        <f t="shared" si="12"/>
        <v/>
      </c>
      <c r="T47" s="1" t="str">
        <f t="shared" si="13"/>
        <v/>
      </c>
      <c r="U47" s="1" t="str">
        <f t="shared" si="14"/>
        <v/>
      </c>
      <c r="V47" s="1" t="str">
        <f t="shared" si="15"/>
        <v/>
      </c>
      <c r="W47" s="26" t="str">
        <f t="shared" si="16"/>
        <v/>
      </c>
      <c r="X47" s="13" t="str">
        <f t="shared" si="17"/>
        <v/>
      </c>
      <c r="Y47" s="9">
        <f t="shared" si="18"/>
        <v>0</v>
      </c>
    </row>
    <row r="48" spans="1:25" x14ac:dyDescent="0.25">
      <c r="A48" s="28"/>
      <c r="B48" s="29"/>
      <c r="C48" s="30"/>
      <c r="D48" s="31"/>
      <c r="E48" s="29" t="s">
        <v>16</v>
      </c>
      <c r="F48" s="13" t="b">
        <f>IF($E48=Categories!$A$1,"",IF($E48=Categories!$A$2,Categories!$B$2,IF($E48=Categories!$A$3,Categories!$B$3,IF($E48=Categories!$A$4,Categories!$B$4,IF($E48=Categories!$A$5,Categories!$B$5,IF($E48=Categories!$A$6,Categories!$B$6,IF($E48=Categories!$A$7,Categories!$B$7,IF($E48=Categories!$A$8,Categories!$B$8,IF($E48=Categories!$A$9,Categories!$B$9,IF($E48=Categories!$A$10,Categories!$B$10,IF($E48=Categories!$A$11,Categories!$B$11,IF($E48=Categories!$A$12,Categories!$B$12,IF($E48=Categories!$A$13,Categories!$B$13,IF($E48=Categories!$A$14,Categories!$B$14,IF($E48=Categories!$A$15,Categories!$B$15,IF($E48=Categories!$A$16,Categories!$B$16,IF($E48=Categories!$A$17,Categories!$B$17,IF($E48=Categories!$A$18,Categories!$B$18,IF($E48=Categories!$A$19,Categories!$B$19)))))))))))))))))))</f>
        <v>0</v>
      </c>
      <c r="G48" s="9" t="str">
        <f t="shared" si="0"/>
        <v/>
      </c>
      <c r="H48" s="1" t="str">
        <f t="shared" si="1"/>
        <v/>
      </c>
      <c r="I48" s="1" t="str">
        <f t="shared" si="2"/>
        <v/>
      </c>
      <c r="J48" s="1" t="str">
        <f t="shared" si="3"/>
        <v/>
      </c>
      <c r="K48" s="13" t="str">
        <f t="shared" si="4"/>
        <v/>
      </c>
      <c r="L48" s="9" t="str">
        <f t="shared" si="5"/>
        <v/>
      </c>
      <c r="M48" s="1" t="str">
        <f t="shared" si="6"/>
        <v/>
      </c>
      <c r="N48" s="1" t="str">
        <f t="shared" si="7"/>
        <v/>
      </c>
      <c r="O48" s="1" t="str">
        <f t="shared" si="8"/>
        <v/>
      </c>
      <c r="P48" s="1" t="str">
        <f t="shared" si="9"/>
        <v/>
      </c>
      <c r="Q48" s="1" t="str">
        <f t="shared" si="10"/>
        <v/>
      </c>
      <c r="R48" s="1" t="str">
        <f t="shared" si="11"/>
        <v/>
      </c>
      <c r="S48" s="1" t="str">
        <f t="shared" si="12"/>
        <v/>
      </c>
      <c r="T48" s="1" t="str">
        <f t="shared" si="13"/>
        <v/>
      </c>
      <c r="U48" s="1" t="str">
        <f t="shared" si="14"/>
        <v/>
      </c>
      <c r="V48" s="1" t="str">
        <f t="shared" si="15"/>
        <v/>
      </c>
      <c r="W48" s="26" t="str">
        <f t="shared" si="16"/>
        <v/>
      </c>
      <c r="X48" s="13" t="str">
        <f t="shared" si="17"/>
        <v/>
      </c>
      <c r="Y48" s="9">
        <f t="shared" si="18"/>
        <v>0</v>
      </c>
    </row>
    <row r="49" spans="1:25" x14ac:dyDescent="0.25">
      <c r="A49" s="28"/>
      <c r="B49" s="29"/>
      <c r="C49" s="30"/>
      <c r="D49" s="31"/>
      <c r="E49" s="29" t="s">
        <v>16</v>
      </c>
      <c r="F49" s="13" t="b">
        <f>IF($E49=Categories!$A$1,"",IF($E49=Categories!$A$2,Categories!$B$2,IF($E49=Categories!$A$3,Categories!$B$3,IF($E49=Categories!$A$4,Categories!$B$4,IF($E49=Categories!$A$5,Categories!$B$5,IF($E49=Categories!$A$6,Categories!$B$6,IF($E49=Categories!$A$7,Categories!$B$7,IF($E49=Categories!$A$8,Categories!$B$8,IF($E49=Categories!$A$9,Categories!$B$9,IF($E49=Categories!$A$10,Categories!$B$10,IF($E49=Categories!$A$11,Categories!$B$11,IF($E49=Categories!$A$12,Categories!$B$12,IF($E49=Categories!$A$13,Categories!$B$13,IF($E49=Categories!$A$14,Categories!$B$14,IF($E49=Categories!$A$15,Categories!$B$15,IF($E49=Categories!$A$16,Categories!$B$16,IF($E49=Categories!$A$17,Categories!$B$17,IF($E49=Categories!$A$18,Categories!$B$18,IF($E49=Categories!$A$19,Categories!$B$19)))))))))))))))))))</f>
        <v>0</v>
      </c>
      <c r="G49" s="9" t="str">
        <f t="shared" si="0"/>
        <v/>
      </c>
      <c r="H49" s="1" t="str">
        <f t="shared" si="1"/>
        <v/>
      </c>
      <c r="I49" s="1" t="str">
        <f t="shared" si="2"/>
        <v/>
      </c>
      <c r="J49" s="1" t="str">
        <f t="shared" si="3"/>
        <v/>
      </c>
      <c r="K49" s="13" t="str">
        <f t="shared" si="4"/>
        <v/>
      </c>
      <c r="L49" s="9" t="str">
        <f t="shared" si="5"/>
        <v/>
      </c>
      <c r="M49" s="1" t="str">
        <f t="shared" si="6"/>
        <v/>
      </c>
      <c r="N49" s="1" t="str">
        <f t="shared" si="7"/>
        <v/>
      </c>
      <c r="O49" s="1" t="str">
        <f t="shared" si="8"/>
        <v/>
      </c>
      <c r="P49" s="1" t="str">
        <f t="shared" si="9"/>
        <v/>
      </c>
      <c r="Q49" s="1" t="str">
        <f t="shared" si="10"/>
        <v/>
      </c>
      <c r="R49" s="1" t="str">
        <f t="shared" si="11"/>
        <v/>
      </c>
      <c r="S49" s="1" t="str">
        <f t="shared" si="12"/>
        <v/>
      </c>
      <c r="T49" s="1" t="str">
        <f t="shared" si="13"/>
        <v/>
      </c>
      <c r="U49" s="1" t="str">
        <f t="shared" si="14"/>
        <v/>
      </c>
      <c r="V49" s="1" t="str">
        <f t="shared" si="15"/>
        <v/>
      </c>
      <c r="W49" s="26" t="str">
        <f t="shared" si="16"/>
        <v/>
      </c>
      <c r="X49" s="13" t="str">
        <f t="shared" si="17"/>
        <v/>
      </c>
      <c r="Y49" s="9">
        <f t="shared" si="18"/>
        <v>0</v>
      </c>
    </row>
    <row r="50" spans="1:25" x14ac:dyDescent="0.25">
      <c r="A50" s="28"/>
      <c r="B50" s="29"/>
      <c r="C50" s="30"/>
      <c r="D50" s="31"/>
      <c r="E50" s="29" t="s">
        <v>16</v>
      </c>
      <c r="F50" s="13" t="b">
        <f>IF($E50=Categories!$A$1,"",IF($E50=Categories!$A$2,Categories!$B$2,IF($E50=Categories!$A$3,Categories!$B$3,IF($E50=Categories!$A$4,Categories!$B$4,IF($E50=Categories!$A$5,Categories!$B$5,IF($E50=Categories!$A$6,Categories!$B$6,IF($E50=Categories!$A$7,Categories!$B$7,IF($E50=Categories!$A$8,Categories!$B$8,IF($E50=Categories!$A$9,Categories!$B$9,IF($E50=Categories!$A$10,Categories!$B$10,IF($E50=Categories!$A$11,Categories!$B$11,IF($E50=Categories!$A$12,Categories!$B$12,IF($E50=Categories!$A$13,Categories!$B$13,IF($E50=Categories!$A$14,Categories!$B$14,IF($E50=Categories!$A$15,Categories!$B$15,IF($E50=Categories!$A$16,Categories!$B$16,IF($E50=Categories!$A$17,Categories!$B$17,IF($E50=Categories!$A$18,Categories!$B$18,IF($E50=Categories!$A$19,Categories!$B$19)))))))))))))))))))</f>
        <v>0</v>
      </c>
      <c r="G50" s="9" t="str">
        <f t="shared" si="0"/>
        <v/>
      </c>
      <c r="H50" s="1" t="str">
        <f t="shared" si="1"/>
        <v/>
      </c>
      <c r="I50" s="1" t="str">
        <f t="shared" si="2"/>
        <v/>
      </c>
      <c r="J50" s="1" t="str">
        <f t="shared" si="3"/>
        <v/>
      </c>
      <c r="K50" s="13" t="str">
        <f t="shared" si="4"/>
        <v/>
      </c>
      <c r="L50" s="9" t="str">
        <f t="shared" si="5"/>
        <v/>
      </c>
      <c r="M50" s="1" t="str">
        <f t="shared" si="6"/>
        <v/>
      </c>
      <c r="N50" s="1" t="str">
        <f t="shared" si="7"/>
        <v/>
      </c>
      <c r="O50" s="1" t="str">
        <f t="shared" si="8"/>
        <v/>
      </c>
      <c r="P50" s="1" t="str">
        <f t="shared" si="9"/>
        <v/>
      </c>
      <c r="Q50" s="1" t="str">
        <f t="shared" si="10"/>
        <v/>
      </c>
      <c r="R50" s="1" t="str">
        <f t="shared" si="11"/>
        <v/>
      </c>
      <c r="S50" s="1" t="str">
        <f t="shared" si="12"/>
        <v/>
      </c>
      <c r="T50" s="1" t="str">
        <f t="shared" si="13"/>
        <v/>
      </c>
      <c r="U50" s="1" t="str">
        <f t="shared" si="14"/>
        <v/>
      </c>
      <c r="V50" s="1" t="str">
        <f t="shared" si="15"/>
        <v/>
      </c>
      <c r="W50" s="26" t="str">
        <f t="shared" si="16"/>
        <v/>
      </c>
      <c r="X50" s="13" t="str">
        <f t="shared" si="17"/>
        <v/>
      </c>
      <c r="Y50" s="9">
        <f t="shared" si="18"/>
        <v>0</v>
      </c>
    </row>
    <row r="51" spans="1:25" x14ac:dyDescent="0.25">
      <c r="A51" s="28"/>
      <c r="B51" s="29"/>
      <c r="C51" s="30"/>
      <c r="D51" s="31"/>
      <c r="E51" s="29" t="s">
        <v>16</v>
      </c>
      <c r="F51" s="13" t="b">
        <f>IF($E51=Categories!$A$1,"",IF($E51=Categories!$A$2,Categories!$B$2,IF($E51=Categories!$A$3,Categories!$B$3,IF($E51=Categories!$A$4,Categories!$B$4,IF($E51=Categories!$A$5,Categories!$B$5,IF($E51=Categories!$A$6,Categories!$B$6,IF($E51=Categories!$A$7,Categories!$B$7,IF($E51=Categories!$A$8,Categories!$B$8,IF($E51=Categories!$A$9,Categories!$B$9,IF($E51=Categories!$A$10,Categories!$B$10,IF($E51=Categories!$A$11,Categories!$B$11,IF($E51=Categories!$A$12,Categories!$B$12,IF($E51=Categories!$A$13,Categories!$B$13,IF($E51=Categories!$A$14,Categories!$B$14,IF($E51=Categories!$A$15,Categories!$B$15,IF($E51=Categories!$A$16,Categories!$B$16,IF($E51=Categories!$A$17,Categories!$B$17,IF($E51=Categories!$A$18,Categories!$B$18,IF($E51=Categories!$A$19,Categories!$B$19)))))))))))))))))))</f>
        <v>0</v>
      </c>
      <c r="G51" s="9" t="str">
        <f t="shared" si="0"/>
        <v/>
      </c>
      <c r="H51" s="1" t="str">
        <f t="shared" si="1"/>
        <v/>
      </c>
      <c r="I51" s="1" t="str">
        <f t="shared" si="2"/>
        <v/>
      </c>
      <c r="J51" s="1" t="str">
        <f t="shared" si="3"/>
        <v/>
      </c>
      <c r="K51" s="13" t="str">
        <f t="shared" si="4"/>
        <v/>
      </c>
      <c r="L51" s="9" t="str">
        <f t="shared" si="5"/>
        <v/>
      </c>
      <c r="M51" s="1" t="str">
        <f t="shared" si="6"/>
        <v/>
      </c>
      <c r="N51" s="1" t="str">
        <f t="shared" si="7"/>
        <v/>
      </c>
      <c r="O51" s="1" t="str">
        <f t="shared" si="8"/>
        <v/>
      </c>
      <c r="P51" s="1" t="str">
        <f t="shared" si="9"/>
        <v/>
      </c>
      <c r="Q51" s="1" t="str">
        <f t="shared" si="10"/>
        <v/>
      </c>
      <c r="R51" s="1" t="str">
        <f t="shared" si="11"/>
        <v/>
      </c>
      <c r="S51" s="1" t="str">
        <f t="shared" si="12"/>
        <v/>
      </c>
      <c r="T51" s="1" t="str">
        <f t="shared" si="13"/>
        <v/>
      </c>
      <c r="U51" s="1" t="str">
        <f t="shared" si="14"/>
        <v/>
      </c>
      <c r="V51" s="1" t="str">
        <f t="shared" si="15"/>
        <v/>
      </c>
      <c r="W51" s="26" t="str">
        <f t="shared" si="16"/>
        <v/>
      </c>
      <c r="X51" s="13" t="str">
        <f t="shared" si="17"/>
        <v/>
      </c>
      <c r="Y51" s="9">
        <f t="shared" si="18"/>
        <v>0</v>
      </c>
    </row>
    <row r="52" spans="1:25" x14ac:dyDescent="0.25">
      <c r="A52" s="28"/>
      <c r="B52" s="29"/>
      <c r="C52" s="30"/>
      <c r="D52" s="31"/>
      <c r="E52" s="29" t="s">
        <v>16</v>
      </c>
      <c r="F52" s="13" t="b">
        <f>IF($E52=Categories!$A$1,"",IF($E52=Categories!$A$2,Categories!$B$2,IF($E52=Categories!$A$3,Categories!$B$3,IF($E52=Categories!$A$4,Categories!$B$4,IF($E52=Categories!$A$5,Categories!$B$5,IF($E52=Categories!$A$6,Categories!$B$6,IF($E52=Categories!$A$7,Categories!$B$7,IF($E52=Categories!$A$8,Categories!$B$8,IF($E52=Categories!$A$9,Categories!$B$9,IF($E52=Categories!$A$10,Categories!$B$10,IF($E52=Categories!$A$11,Categories!$B$11,IF($E52=Categories!$A$12,Categories!$B$12,IF($E52=Categories!$A$13,Categories!$B$13,IF($E52=Categories!$A$14,Categories!$B$14,IF($E52=Categories!$A$15,Categories!$B$15,IF($E52=Categories!$A$16,Categories!$B$16,IF($E52=Categories!$A$17,Categories!$B$17,IF($E52=Categories!$A$18,Categories!$B$18,IF($E52=Categories!$A$19,Categories!$B$19)))))))))))))))))))</f>
        <v>0</v>
      </c>
      <c r="G52" s="9" t="str">
        <f t="shared" si="0"/>
        <v/>
      </c>
      <c r="H52" s="1" t="str">
        <f t="shared" si="1"/>
        <v/>
      </c>
      <c r="I52" s="1" t="str">
        <f t="shared" si="2"/>
        <v/>
      </c>
      <c r="J52" s="1" t="str">
        <f t="shared" si="3"/>
        <v/>
      </c>
      <c r="K52" s="13" t="str">
        <f t="shared" si="4"/>
        <v/>
      </c>
      <c r="L52" s="9" t="str">
        <f t="shared" si="5"/>
        <v/>
      </c>
      <c r="M52" s="1" t="str">
        <f t="shared" si="6"/>
        <v/>
      </c>
      <c r="N52" s="1" t="str">
        <f t="shared" si="7"/>
        <v/>
      </c>
      <c r="O52" s="1" t="str">
        <f t="shared" si="8"/>
        <v/>
      </c>
      <c r="P52" s="1" t="str">
        <f t="shared" si="9"/>
        <v/>
      </c>
      <c r="Q52" s="1" t="str">
        <f t="shared" si="10"/>
        <v/>
      </c>
      <c r="R52" s="1" t="str">
        <f t="shared" si="11"/>
        <v/>
      </c>
      <c r="S52" s="1" t="str">
        <f t="shared" si="12"/>
        <v/>
      </c>
      <c r="T52" s="1" t="str">
        <f t="shared" si="13"/>
        <v/>
      </c>
      <c r="U52" s="1" t="str">
        <f t="shared" si="14"/>
        <v/>
      </c>
      <c r="V52" s="1" t="str">
        <f t="shared" si="15"/>
        <v/>
      </c>
      <c r="W52" s="26" t="str">
        <f t="shared" si="16"/>
        <v/>
      </c>
      <c r="X52" s="13" t="str">
        <f t="shared" si="17"/>
        <v/>
      </c>
      <c r="Y52" s="9">
        <f t="shared" si="18"/>
        <v>0</v>
      </c>
    </row>
    <row r="53" spans="1:25" x14ac:dyDescent="0.25">
      <c r="A53" s="28"/>
      <c r="B53" s="29"/>
      <c r="C53" s="30"/>
      <c r="D53" s="31"/>
      <c r="E53" s="29" t="s">
        <v>16</v>
      </c>
      <c r="F53" s="13" t="b">
        <f>IF($E53=Categories!$A$1,"",IF($E53=Categories!$A$2,Categories!$B$2,IF($E53=Categories!$A$3,Categories!$B$3,IF($E53=Categories!$A$4,Categories!$B$4,IF($E53=Categories!$A$5,Categories!$B$5,IF($E53=Categories!$A$6,Categories!$B$6,IF($E53=Categories!$A$7,Categories!$B$7,IF($E53=Categories!$A$8,Categories!$B$8,IF($E53=Categories!$A$9,Categories!$B$9,IF($E53=Categories!$A$10,Categories!$B$10,IF($E53=Categories!$A$11,Categories!$B$11,IF($E53=Categories!$A$12,Categories!$B$12,IF($E53=Categories!$A$13,Categories!$B$13,IF($E53=Categories!$A$14,Categories!$B$14,IF($E53=Categories!$A$15,Categories!$B$15,IF($E53=Categories!$A$16,Categories!$B$16,IF($E53=Categories!$A$17,Categories!$B$17,IF($E53=Categories!$A$18,Categories!$B$18,IF($E53=Categories!$A$19,Categories!$B$19)))))))))))))))))))</f>
        <v>0</v>
      </c>
      <c r="G53" s="9" t="str">
        <f t="shared" si="0"/>
        <v/>
      </c>
      <c r="H53" s="1" t="str">
        <f t="shared" si="1"/>
        <v/>
      </c>
      <c r="I53" s="1" t="str">
        <f t="shared" si="2"/>
        <v/>
      </c>
      <c r="J53" s="1" t="str">
        <f t="shared" si="3"/>
        <v/>
      </c>
      <c r="K53" s="13" t="str">
        <f t="shared" si="4"/>
        <v/>
      </c>
      <c r="L53" s="9" t="str">
        <f t="shared" si="5"/>
        <v/>
      </c>
      <c r="M53" s="1" t="str">
        <f t="shared" si="6"/>
        <v/>
      </c>
      <c r="N53" s="1" t="str">
        <f t="shared" si="7"/>
        <v/>
      </c>
      <c r="O53" s="1" t="str">
        <f t="shared" si="8"/>
        <v/>
      </c>
      <c r="P53" s="1" t="str">
        <f t="shared" si="9"/>
        <v/>
      </c>
      <c r="Q53" s="1" t="str">
        <f t="shared" si="10"/>
        <v/>
      </c>
      <c r="R53" s="1" t="str">
        <f t="shared" si="11"/>
        <v/>
      </c>
      <c r="S53" s="1" t="str">
        <f t="shared" si="12"/>
        <v/>
      </c>
      <c r="T53" s="1" t="str">
        <f t="shared" si="13"/>
        <v/>
      </c>
      <c r="U53" s="1" t="str">
        <f t="shared" si="14"/>
        <v/>
      </c>
      <c r="V53" s="1" t="str">
        <f t="shared" si="15"/>
        <v/>
      </c>
      <c r="W53" s="26" t="str">
        <f t="shared" si="16"/>
        <v/>
      </c>
      <c r="X53" s="13" t="str">
        <f t="shared" si="17"/>
        <v/>
      </c>
      <c r="Y53" s="9">
        <f t="shared" si="18"/>
        <v>0</v>
      </c>
    </row>
    <row r="54" spans="1:25" x14ac:dyDescent="0.25">
      <c r="A54" s="28"/>
      <c r="B54" s="29"/>
      <c r="C54" s="30"/>
      <c r="D54" s="31"/>
      <c r="E54" s="29" t="s">
        <v>16</v>
      </c>
      <c r="F54" s="13" t="b">
        <f>IF($E54=Categories!$A$1,"",IF($E54=Categories!$A$2,Categories!$B$2,IF($E54=Categories!$A$3,Categories!$B$3,IF($E54=Categories!$A$4,Categories!$B$4,IF($E54=Categories!$A$5,Categories!$B$5,IF($E54=Categories!$A$6,Categories!$B$6,IF($E54=Categories!$A$7,Categories!$B$7,IF($E54=Categories!$A$8,Categories!$B$8,IF($E54=Categories!$A$9,Categories!$B$9,IF($E54=Categories!$A$10,Categories!$B$10,IF($E54=Categories!$A$11,Categories!$B$11,IF($E54=Categories!$A$12,Categories!$B$12,IF($E54=Categories!$A$13,Categories!$B$13,IF($E54=Categories!$A$14,Categories!$B$14,IF($E54=Categories!$A$15,Categories!$B$15,IF($E54=Categories!$A$16,Categories!$B$16,IF($E54=Categories!$A$17,Categories!$B$17,IF($E54=Categories!$A$18,Categories!$B$18,IF($E54=Categories!$A$19,Categories!$B$19)))))))))))))))))))</f>
        <v>0</v>
      </c>
      <c r="G54" s="9" t="str">
        <f t="shared" si="0"/>
        <v/>
      </c>
      <c r="H54" s="1" t="str">
        <f t="shared" si="1"/>
        <v/>
      </c>
      <c r="I54" s="1" t="str">
        <f t="shared" si="2"/>
        <v/>
      </c>
      <c r="J54" s="1" t="str">
        <f t="shared" si="3"/>
        <v/>
      </c>
      <c r="K54" s="13" t="str">
        <f t="shared" si="4"/>
        <v/>
      </c>
      <c r="L54" s="9" t="str">
        <f t="shared" si="5"/>
        <v/>
      </c>
      <c r="M54" s="1" t="str">
        <f t="shared" si="6"/>
        <v/>
      </c>
      <c r="N54" s="1" t="str">
        <f t="shared" si="7"/>
        <v/>
      </c>
      <c r="O54" s="1" t="str">
        <f t="shared" si="8"/>
        <v/>
      </c>
      <c r="P54" s="1" t="str">
        <f t="shared" si="9"/>
        <v/>
      </c>
      <c r="Q54" s="1" t="str">
        <f t="shared" si="10"/>
        <v/>
      </c>
      <c r="R54" s="1" t="str">
        <f t="shared" si="11"/>
        <v/>
      </c>
      <c r="S54" s="1" t="str">
        <f t="shared" si="12"/>
        <v/>
      </c>
      <c r="T54" s="1" t="str">
        <f t="shared" si="13"/>
        <v/>
      </c>
      <c r="U54" s="1" t="str">
        <f t="shared" si="14"/>
        <v/>
      </c>
      <c r="V54" s="1" t="str">
        <f t="shared" si="15"/>
        <v/>
      </c>
      <c r="W54" s="26" t="str">
        <f t="shared" si="16"/>
        <v/>
      </c>
      <c r="X54" s="13" t="str">
        <f t="shared" si="17"/>
        <v/>
      </c>
      <c r="Y54" s="9">
        <f t="shared" si="18"/>
        <v>0</v>
      </c>
    </row>
    <row r="55" spans="1:25" x14ac:dyDescent="0.25">
      <c r="A55" s="28"/>
      <c r="B55" s="29"/>
      <c r="C55" s="30"/>
      <c r="D55" s="31"/>
      <c r="E55" s="29" t="s">
        <v>16</v>
      </c>
      <c r="F55" s="13" t="b">
        <f>IF($E55=Categories!$A$1,"",IF($E55=Categories!$A$2,Categories!$B$2,IF($E55=Categories!$A$3,Categories!$B$3,IF($E55=Categories!$A$4,Categories!$B$4,IF($E55=Categories!$A$5,Categories!$B$5,IF($E55=Categories!$A$6,Categories!$B$6,IF($E55=Categories!$A$7,Categories!$B$7,IF($E55=Categories!$A$8,Categories!$B$8,IF($E55=Categories!$A$9,Categories!$B$9,IF($E55=Categories!$A$10,Categories!$B$10,IF($E55=Categories!$A$11,Categories!$B$11,IF($E55=Categories!$A$12,Categories!$B$12,IF($E55=Categories!$A$13,Categories!$B$13,IF($E55=Categories!$A$14,Categories!$B$14,IF($E55=Categories!$A$15,Categories!$B$15,IF($E55=Categories!$A$16,Categories!$B$16,IF($E55=Categories!$A$17,Categories!$B$17,IF($E55=Categories!$A$18,Categories!$B$18,IF($E55=Categories!$A$19,Categories!$B$19)))))))))))))))))))</f>
        <v>0</v>
      </c>
      <c r="G55" s="9" t="str">
        <f t="shared" si="0"/>
        <v/>
      </c>
      <c r="H55" s="1" t="str">
        <f t="shared" si="1"/>
        <v/>
      </c>
      <c r="I55" s="1" t="str">
        <f t="shared" si="2"/>
        <v/>
      </c>
      <c r="J55" s="1" t="str">
        <f t="shared" si="3"/>
        <v/>
      </c>
      <c r="K55" s="13" t="str">
        <f t="shared" si="4"/>
        <v/>
      </c>
      <c r="L55" s="9" t="str">
        <f t="shared" si="5"/>
        <v/>
      </c>
      <c r="M55" s="1" t="str">
        <f t="shared" si="6"/>
        <v/>
      </c>
      <c r="N55" s="1" t="str">
        <f t="shared" si="7"/>
        <v/>
      </c>
      <c r="O55" s="1" t="str">
        <f t="shared" si="8"/>
        <v/>
      </c>
      <c r="P55" s="1" t="str">
        <f t="shared" si="9"/>
        <v/>
      </c>
      <c r="Q55" s="1" t="str">
        <f t="shared" si="10"/>
        <v/>
      </c>
      <c r="R55" s="1" t="str">
        <f t="shared" si="11"/>
        <v/>
      </c>
      <c r="S55" s="1" t="str">
        <f t="shared" si="12"/>
        <v/>
      </c>
      <c r="T55" s="1" t="str">
        <f t="shared" si="13"/>
        <v/>
      </c>
      <c r="U55" s="1" t="str">
        <f t="shared" si="14"/>
        <v/>
      </c>
      <c r="V55" s="1" t="str">
        <f t="shared" si="15"/>
        <v/>
      </c>
      <c r="W55" s="26" t="str">
        <f t="shared" si="16"/>
        <v/>
      </c>
      <c r="X55" s="13" t="str">
        <f t="shared" si="17"/>
        <v/>
      </c>
      <c r="Y55" s="9">
        <f t="shared" si="18"/>
        <v>0</v>
      </c>
    </row>
    <row r="56" spans="1:25" x14ac:dyDescent="0.25">
      <c r="A56" s="28"/>
      <c r="B56" s="29"/>
      <c r="C56" s="30"/>
      <c r="D56" s="31"/>
      <c r="E56" s="29" t="s">
        <v>16</v>
      </c>
      <c r="F56" s="13" t="b">
        <f>IF($E56=Categories!$A$1,"",IF($E56=Categories!$A$2,Categories!$B$2,IF($E56=Categories!$A$3,Categories!$B$3,IF($E56=Categories!$A$4,Categories!$B$4,IF($E56=Categories!$A$5,Categories!$B$5,IF($E56=Categories!$A$6,Categories!$B$6,IF($E56=Categories!$A$7,Categories!$B$7,IF($E56=Categories!$A$8,Categories!$B$8,IF($E56=Categories!$A$9,Categories!$B$9,IF($E56=Categories!$A$10,Categories!$B$10,IF($E56=Categories!$A$11,Categories!$B$11,IF($E56=Categories!$A$12,Categories!$B$12,IF($E56=Categories!$A$13,Categories!$B$13,IF($E56=Categories!$A$14,Categories!$B$14,IF($E56=Categories!$A$15,Categories!$B$15,IF($E56=Categories!$A$16,Categories!$B$16,IF($E56=Categories!$A$17,Categories!$B$17,IF($E56=Categories!$A$18,Categories!$B$18,IF($E56=Categories!$A$19,Categories!$B$19)))))))))))))))))))</f>
        <v>0</v>
      </c>
      <c r="G56" s="9" t="str">
        <f t="shared" si="0"/>
        <v/>
      </c>
      <c r="H56" s="1" t="str">
        <f t="shared" si="1"/>
        <v/>
      </c>
      <c r="I56" s="1" t="str">
        <f t="shared" si="2"/>
        <v/>
      </c>
      <c r="J56" s="1" t="str">
        <f t="shared" si="3"/>
        <v/>
      </c>
      <c r="K56" s="13" t="str">
        <f t="shared" si="4"/>
        <v/>
      </c>
      <c r="L56" s="9" t="str">
        <f t="shared" si="5"/>
        <v/>
      </c>
      <c r="M56" s="1" t="str">
        <f t="shared" si="6"/>
        <v/>
      </c>
      <c r="N56" s="1" t="str">
        <f t="shared" si="7"/>
        <v/>
      </c>
      <c r="O56" s="1" t="str">
        <f t="shared" si="8"/>
        <v/>
      </c>
      <c r="P56" s="1" t="str">
        <f t="shared" si="9"/>
        <v/>
      </c>
      <c r="Q56" s="1" t="str">
        <f t="shared" si="10"/>
        <v/>
      </c>
      <c r="R56" s="1" t="str">
        <f t="shared" si="11"/>
        <v/>
      </c>
      <c r="S56" s="1" t="str">
        <f t="shared" si="12"/>
        <v/>
      </c>
      <c r="T56" s="1" t="str">
        <f t="shared" si="13"/>
        <v/>
      </c>
      <c r="U56" s="1" t="str">
        <f t="shared" si="14"/>
        <v/>
      </c>
      <c r="V56" s="1" t="str">
        <f t="shared" si="15"/>
        <v/>
      </c>
      <c r="W56" s="26" t="str">
        <f t="shared" si="16"/>
        <v/>
      </c>
      <c r="X56" s="13" t="str">
        <f t="shared" si="17"/>
        <v/>
      </c>
      <c r="Y56" s="9">
        <f t="shared" si="18"/>
        <v>0</v>
      </c>
    </row>
    <row r="57" spans="1:25" x14ac:dyDescent="0.25">
      <c r="A57" s="28"/>
      <c r="B57" s="29"/>
      <c r="C57" s="30"/>
      <c r="D57" s="31"/>
      <c r="E57" s="29" t="s">
        <v>16</v>
      </c>
      <c r="F57" s="13" t="b">
        <f>IF($E57=Categories!$A$1,"",IF($E57=Categories!$A$2,Categories!$B$2,IF($E57=Categories!$A$3,Categories!$B$3,IF($E57=Categories!$A$4,Categories!$B$4,IF($E57=Categories!$A$5,Categories!$B$5,IF($E57=Categories!$A$6,Categories!$B$6,IF($E57=Categories!$A$7,Categories!$B$7,IF($E57=Categories!$A$8,Categories!$B$8,IF($E57=Categories!$A$9,Categories!$B$9,IF($E57=Categories!$A$10,Categories!$B$10,IF($E57=Categories!$A$11,Categories!$B$11,IF($E57=Categories!$A$12,Categories!$B$12,IF($E57=Categories!$A$13,Categories!$B$13,IF($E57=Categories!$A$14,Categories!$B$14,IF($E57=Categories!$A$15,Categories!$B$15,IF($E57=Categories!$A$16,Categories!$B$16,IF($E57=Categories!$A$17,Categories!$B$17,IF($E57=Categories!$A$18,Categories!$B$18,IF($E57=Categories!$A$19,Categories!$B$19)))))))))))))))))))</f>
        <v>0</v>
      </c>
      <c r="G57" s="9" t="str">
        <f t="shared" si="0"/>
        <v/>
      </c>
      <c r="H57" s="1" t="str">
        <f t="shared" si="1"/>
        <v/>
      </c>
      <c r="I57" s="1" t="str">
        <f t="shared" si="2"/>
        <v/>
      </c>
      <c r="J57" s="1" t="str">
        <f t="shared" si="3"/>
        <v/>
      </c>
      <c r="K57" s="13" t="str">
        <f t="shared" si="4"/>
        <v/>
      </c>
      <c r="L57" s="9" t="str">
        <f t="shared" si="5"/>
        <v/>
      </c>
      <c r="M57" s="1" t="str">
        <f t="shared" si="6"/>
        <v/>
      </c>
      <c r="N57" s="1" t="str">
        <f t="shared" si="7"/>
        <v/>
      </c>
      <c r="O57" s="1" t="str">
        <f t="shared" si="8"/>
        <v/>
      </c>
      <c r="P57" s="1" t="str">
        <f t="shared" si="9"/>
        <v/>
      </c>
      <c r="Q57" s="1" t="str">
        <f t="shared" si="10"/>
        <v/>
      </c>
      <c r="R57" s="1" t="str">
        <f t="shared" si="11"/>
        <v/>
      </c>
      <c r="S57" s="1" t="str">
        <f t="shared" si="12"/>
        <v/>
      </c>
      <c r="T57" s="1" t="str">
        <f t="shared" si="13"/>
        <v/>
      </c>
      <c r="U57" s="1" t="str">
        <f t="shared" si="14"/>
        <v/>
      </c>
      <c r="V57" s="1" t="str">
        <f t="shared" si="15"/>
        <v/>
      </c>
      <c r="W57" s="26" t="str">
        <f t="shared" si="16"/>
        <v/>
      </c>
      <c r="X57" s="13" t="str">
        <f t="shared" si="17"/>
        <v/>
      </c>
      <c r="Y57" s="9">
        <f t="shared" si="18"/>
        <v>0</v>
      </c>
    </row>
    <row r="58" spans="1:25" x14ac:dyDescent="0.25">
      <c r="A58" s="28"/>
      <c r="B58" s="29"/>
      <c r="C58" s="30"/>
      <c r="D58" s="31"/>
      <c r="E58" s="29" t="s">
        <v>16</v>
      </c>
      <c r="F58" s="13" t="b">
        <f>IF($E58=Categories!$A$1,"",IF($E58=Categories!$A$2,Categories!$B$2,IF($E58=Categories!$A$3,Categories!$B$3,IF($E58=Categories!$A$4,Categories!$B$4,IF($E58=Categories!$A$5,Categories!$B$5,IF($E58=Categories!$A$6,Categories!$B$6,IF($E58=Categories!$A$7,Categories!$B$7,IF($E58=Categories!$A$8,Categories!$B$8,IF($E58=Categories!$A$9,Categories!$B$9,IF($E58=Categories!$A$10,Categories!$B$10,IF($E58=Categories!$A$11,Categories!$B$11,IF($E58=Categories!$A$12,Categories!$B$12,IF($E58=Categories!$A$13,Categories!$B$13,IF($E58=Categories!$A$14,Categories!$B$14,IF($E58=Categories!$A$15,Categories!$B$15,IF($E58=Categories!$A$16,Categories!$B$16,IF($E58=Categories!$A$17,Categories!$B$17,IF($E58=Categories!$A$18,Categories!$B$18,IF($E58=Categories!$A$19,Categories!$B$19)))))))))))))))))))</f>
        <v>0</v>
      </c>
      <c r="G58" s="9" t="str">
        <f t="shared" si="0"/>
        <v/>
      </c>
      <c r="H58" s="1" t="str">
        <f t="shared" si="1"/>
        <v/>
      </c>
      <c r="I58" s="1" t="str">
        <f t="shared" si="2"/>
        <v/>
      </c>
      <c r="J58" s="1" t="str">
        <f t="shared" si="3"/>
        <v/>
      </c>
      <c r="K58" s="13" t="str">
        <f t="shared" si="4"/>
        <v/>
      </c>
      <c r="L58" s="9" t="str">
        <f t="shared" si="5"/>
        <v/>
      </c>
      <c r="M58" s="1" t="str">
        <f t="shared" si="6"/>
        <v/>
      </c>
      <c r="N58" s="1" t="str">
        <f t="shared" si="7"/>
        <v/>
      </c>
      <c r="O58" s="1" t="str">
        <f t="shared" si="8"/>
        <v/>
      </c>
      <c r="P58" s="1" t="str">
        <f t="shared" si="9"/>
        <v/>
      </c>
      <c r="Q58" s="1" t="str">
        <f t="shared" si="10"/>
        <v/>
      </c>
      <c r="R58" s="1" t="str">
        <f t="shared" si="11"/>
        <v/>
      </c>
      <c r="S58" s="1" t="str">
        <f t="shared" si="12"/>
        <v/>
      </c>
      <c r="T58" s="1" t="str">
        <f t="shared" si="13"/>
        <v/>
      </c>
      <c r="U58" s="1" t="str">
        <f t="shared" si="14"/>
        <v/>
      </c>
      <c r="V58" s="1" t="str">
        <f t="shared" si="15"/>
        <v/>
      </c>
      <c r="W58" s="26" t="str">
        <f t="shared" si="16"/>
        <v/>
      </c>
      <c r="X58" s="13" t="str">
        <f t="shared" si="17"/>
        <v/>
      </c>
      <c r="Y58" s="9">
        <f t="shared" si="18"/>
        <v>0</v>
      </c>
    </row>
    <row r="59" spans="1:25" x14ac:dyDescent="0.25">
      <c r="A59" s="28"/>
      <c r="B59" s="29"/>
      <c r="C59" s="30"/>
      <c r="D59" s="31"/>
      <c r="E59" s="29" t="s">
        <v>16</v>
      </c>
      <c r="F59" s="13" t="b">
        <f>IF($E59=Categories!$A$1,"",IF($E59=Categories!$A$2,Categories!$B$2,IF($E59=Categories!$A$3,Categories!$B$3,IF($E59=Categories!$A$4,Categories!$B$4,IF($E59=Categories!$A$5,Categories!$B$5,IF($E59=Categories!$A$6,Categories!$B$6,IF($E59=Categories!$A$7,Categories!$B$7,IF($E59=Categories!$A$8,Categories!$B$8,IF($E59=Categories!$A$9,Categories!$B$9,IF($E59=Categories!$A$10,Categories!$B$10,IF($E59=Categories!$A$11,Categories!$B$11,IF($E59=Categories!$A$12,Categories!$B$12,IF($E59=Categories!$A$13,Categories!$B$13,IF($E59=Categories!$A$14,Categories!$B$14,IF($E59=Categories!$A$15,Categories!$B$15,IF($E59=Categories!$A$16,Categories!$B$16,IF($E59=Categories!$A$17,Categories!$B$17,IF($E59=Categories!$A$18,Categories!$B$18,IF($E59=Categories!$A$19,Categories!$B$19)))))))))))))))))))</f>
        <v>0</v>
      </c>
      <c r="G59" s="9" t="str">
        <f t="shared" si="0"/>
        <v/>
      </c>
      <c r="H59" s="1" t="str">
        <f t="shared" si="1"/>
        <v/>
      </c>
      <c r="I59" s="1" t="str">
        <f t="shared" si="2"/>
        <v/>
      </c>
      <c r="J59" s="1" t="str">
        <f t="shared" si="3"/>
        <v/>
      </c>
      <c r="K59" s="13" t="str">
        <f t="shared" si="4"/>
        <v/>
      </c>
      <c r="L59" s="9" t="str">
        <f t="shared" si="5"/>
        <v/>
      </c>
      <c r="M59" s="1" t="str">
        <f t="shared" si="6"/>
        <v/>
      </c>
      <c r="N59" s="1" t="str">
        <f t="shared" si="7"/>
        <v/>
      </c>
      <c r="O59" s="1" t="str">
        <f t="shared" si="8"/>
        <v/>
      </c>
      <c r="P59" s="1" t="str">
        <f t="shared" si="9"/>
        <v/>
      </c>
      <c r="Q59" s="1" t="str">
        <f t="shared" si="10"/>
        <v/>
      </c>
      <c r="R59" s="1" t="str">
        <f t="shared" si="11"/>
        <v/>
      </c>
      <c r="S59" s="1" t="str">
        <f t="shared" si="12"/>
        <v/>
      </c>
      <c r="T59" s="1" t="str">
        <f t="shared" si="13"/>
        <v/>
      </c>
      <c r="U59" s="1" t="str">
        <f t="shared" si="14"/>
        <v/>
      </c>
      <c r="V59" s="1" t="str">
        <f t="shared" si="15"/>
        <v/>
      </c>
      <c r="W59" s="26" t="str">
        <f t="shared" si="16"/>
        <v/>
      </c>
      <c r="X59" s="13" t="str">
        <f t="shared" si="17"/>
        <v/>
      </c>
      <c r="Y59" s="9">
        <f t="shared" si="18"/>
        <v>0</v>
      </c>
    </row>
    <row r="60" spans="1:25" x14ac:dyDescent="0.25">
      <c r="A60" s="28"/>
      <c r="B60" s="29"/>
      <c r="C60" s="30"/>
      <c r="D60" s="31"/>
      <c r="E60" s="29" t="s">
        <v>16</v>
      </c>
      <c r="F60" s="13" t="b">
        <f>IF($E60=Categories!$A$1,"",IF($E60=Categories!$A$2,Categories!$B$2,IF($E60=Categories!$A$3,Categories!$B$3,IF($E60=Categories!$A$4,Categories!$B$4,IF($E60=Categories!$A$5,Categories!$B$5,IF($E60=Categories!$A$6,Categories!$B$6,IF($E60=Categories!$A$7,Categories!$B$7,IF($E60=Categories!$A$8,Categories!$B$8,IF($E60=Categories!$A$9,Categories!$B$9,IF($E60=Categories!$A$10,Categories!$B$10,IF($E60=Categories!$A$11,Categories!$B$11,IF($E60=Categories!$A$12,Categories!$B$12,IF($E60=Categories!$A$13,Categories!$B$13,IF($E60=Categories!$A$14,Categories!$B$14,IF($E60=Categories!$A$15,Categories!$B$15,IF($E60=Categories!$A$16,Categories!$B$16,IF($E60=Categories!$A$17,Categories!$B$17,IF($E60=Categories!$A$18,Categories!$B$18,IF($E60=Categories!$A$19,Categories!$B$19)))))))))))))))))))</f>
        <v>0</v>
      </c>
      <c r="G60" s="9" t="str">
        <f t="shared" si="0"/>
        <v/>
      </c>
      <c r="H60" s="1" t="str">
        <f t="shared" si="1"/>
        <v/>
      </c>
      <c r="I60" s="1" t="str">
        <f t="shared" si="2"/>
        <v/>
      </c>
      <c r="J60" s="1" t="str">
        <f t="shared" si="3"/>
        <v/>
      </c>
      <c r="K60" s="13" t="str">
        <f t="shared" si="4"/>
        <v/>
      </c>
      <c r="L60" s="9" t="str">
        <f t="shared" si="5"/>
        <v/>
      </c>
      <c r="M60" s="1" t="str">
        <f t="shared" si="6"/>
        <v/>
      </c>
      <c r="N60" s="1" t="str">
        <f t="shared" si="7"/>
        <v/>
      </c>
      <c r="O60" s="1" t="str">
        <f t="shared" si="8"/>
        <v/>
      </c>
      <c r="P60" s="1" t="str">
        <f t="shared" si="9"/>
        <v/>
      </c>
      <c r="Q60" s="1" t="str">
        <f t="shared" si="10"/>
        <v/>
      </c>
      <c r="R60" s="1" t="str">
        <f t="shared" si="11"/>
        <v/>
      </c>
      <c r="S60" s="1" t="str">
        <f t="shared" si="12"/>
        <v/>
      </c>
      <c r="T60" s="1" t="str">
        <f t="shared" si="13"/>
        <v/>
      </c>
      <c r="U60" s="1" t="str">
        <f t="shared" si="14"/>
        <v/>
      </c>
      <c r="V60" s="1" t="str">
        <f t="shared" si="15"/>
        <v/>
      </c>
      <c r="W60" s="26" t="str">
        <f t="shared" si="16"/>
        <v/>
      </c>
      <c r="X60" s="13" t="str">
        <f t="shared" si="17"/>
        <v/>
      </c>
      <c r="Y60" s="9">
        <f t="shared" si="18"/>
        <v>0</v>
      </c>
    </row>
    <row r="61" spans="1:25" x14ac:dyDescent="0.25">
      <c r="A61" s="28"/>
      <c r="B61" s="29"/>
      <c r="C61" s="30"/>
      <c r="D61" s="31"/>
      <c r="E61" s="29" t="s">
        <v>16</v>
      </c>
      <c r="F61" s="13" t="b">
        <f>IF($E61=Categories!$A$1,"",IF($E61=Categories!$A$2,Categories!$B$2,IF($E61=Categories!$A$3,Categories!$B$3,IF($E61=Categories!$A$4,Categories!$B$4,IF($E61=Categories!$A$5,Categories!$B$5,IF($E61=Categories!$A$6,Categories!$B$6,IF($E61=Categories!$A$7,Categories!$B$7,IF($E61=Categories!$A$8,Categories!$B$8,IF($E61=Categories!$A$9,Categories!$B$9,IF($E61=Categories!$A$10,Categories!$B$10,IF($E61=Categories!$A$11,Categories!$B$11,IF($E61=Categories!$A$12,Categories!$B$12,IF($E61=Categories!$A$13,Categories!$B$13,IF($E61=Categories!$A$14,Categories!$B$14,IF($E61=Categories!$A$15,Categories!$B$15,IF($E61=Categories!$A$16,Categories!$B$16,IF($E61=Categories!$A$17,Categories!$B$17,IF($E61=Categories!$A$18,Categories!$B$18,IF($E61=Categories!$A$19,Categories!$B$19)))))))))))))))))))</f>
        <v>0</v>
      </c>
      <c r="G61" s="9" t="str">
        <f t="shared" si="0"/>
        <v/>
      </c>
      <c r="H61" s="1" t="str">
        <f t="shared" si="1"/>
        <v/>
      </c>
      <c r="I61" s="1" t="str">
        <f t="shared" si="2"/>
        <v/>
      </c>
      <c r="J61" s="1" t="str">
        <f t="shared" si="3"/>
        <v/>
      </c>
      <c r="K61" s="13" t="str">
        <f t="shared" si="4"/>
        <v/>
      </c>
      <c r="L61" s="9" t="str">
        <f t="shared" si="5"/>
        <v/>
      </c>
      <c r="M61" s="1" t="str">
        <f t="shared" si="6"/>
        <v/>
      </c>
      <c r="N61" s="1" t="str">
        <f t="shared" si="7"/>
        <v/>
      </c>
      <c r="O61" s="1" t="str">
        <f t="shared" si="8"/>
        <v/>
      </c>
      <c r="P61" s="1" t="str">
        <f t="shared" si="9"/>
        <v/>
      </c>
      <c r="Q61" s="1" t="str">
        <f t="shared" si="10"/>
        <v/>
      </c>
      <c r="R61" s="1" t="str">
        <f t="shared" si="11"/>
        <v/>
      </c>
      <c r="S61" s="1" t="str">
        <f t="shared" si="12"/>
        <v/>
      </c>
      <c r="T61" s="1" t="str">
        <f t="shared" si="13"/>
        <v/>
      </c>
      <c r="U61" s="1" t="str">
        <f t="shared" si="14"/>
        <v/>
      </c>
      <c r="V61" s="1" t="str">
        <f t="shared" si="15"/>
        <v/>
      </c>
      <c r="W61" s="26" t="str">
        <f t="shared" si="16"/>
        <v/>
      </c>
      <c r="X61" s="13" t="str">
        <f t="shared" si="17"/>
        <v/>
      </c>
      <c r="Y61" s="9">
        <f t="shared" si="18"/>
        <v>0</v>
      </c>
    </row>
    <row r="62" spans="1:25" x14ac:dyDescent="0.25">
      <c r="A62" s="28"/>
      <c r="B62" s="29"/>
      <c r="C62" s="30"/>
      <c r="D62" s="31"/>
      <c r="E62" s="29" t="s">
        <v>16</v>
      </c>
      <c r="F62" s="13" t="b">
        <f>IF($E62=Categories!$A$1,"",IF($E62=Categories!$A$2,Categories!$B$2,IF($E62=Categories!$A$3,Categories!$B$3,IF($E62=Categories!$A$4,Categories!$B$4,IF($E62=Categories!$A$5,Categories!$B$5,IF($E62=Categories!$A$6,Categories!$B$6,IF($E62=Categories!$A$7,Categories!$B$7,IF($E62=Categories!$A$8,Categories!$B$8,IF($E62=Categories!$A$9,Categories!$B$9,IF($E62=Categories!$A$10,Categories!$B$10,IF($E62=Categories!$A$11,Categories!$B$11,IF($E62=Categories!$A$12,Categories!$B$12,IF($E62=Categories!$A$13,Categories!$B$13,IF($E62=Categories!$A$14,Categories!$B$14,IF($E62=Categories!$A$15,Categories!$B$15,IF($E62=Categories!$A$16,Categories!$B$16,IF($E62=Categories!$A$17,Categories!$B$17,IF($E62=Categories!$A$18,Categories!$B$18,IF($E62=Categories!$A$19,Categories!$B$19)))))))))))))))))))</f>
        <v>0</v>
      </c>
      <c r="G62" s="9" t="str">
        <f t="shared" si="0"/>
        <v/>
      </c>
      <c r="H62" s="1" t="str">
        <f t="shared" si="1"/>
        <v/>
      </c>
      <c r="I62" s="1" t="str">
        <f t="shared" si="2"/>
        <v/>
      </c>
      <c r="J62" s="1" t="str">
        <f t="shared" si="3"/>
        <v/>
      </c>
      <c r="K62" s="13" t="str">
        <f t="shared" si="4"/>
        <v/>
      </c>
      <c r="L62" s="9" t="str">
        <f t="shared" si="5"/>
        <v/>
      </c>
      <c r="M62" s="1" t="str">
        <f t="shared" si="6"/>
        <v/>
      </c>
      <c r="N62" s="1" t="str">
        <f t="shared" si="7"/>
        <v/>
      </c>
      <c r="O62" s="1" t="str">
        <f t="shared" si="8"/>
        <v/>
      </c>
      <c r="P62" s="1" t="str">
        <f t="shared" si="9"/>
        <v/>
      </c>
      <c r="Q62" s="1" t="str">
        <f t="shared" si="10"/>
        <v/>
      </c>
      <c r="R62" s="1" t="str">
        <f t="shared" si="11"/>
        <v/>
      </c>
      <c r="S62" s="1" t="str">
        <f t="shared" si="12"/>
        <v/>
      </c>
      <c r="T62" s="1" t="str">
        <f t="shared" si="13"/>
        <v/>
      </c>
      <c r="U62" s="1" t="str">
        <f t="shared" si="14"/>
        <v/>
      </c>
      <c r="V62" s="1" t="str">
        <f t="shared" si="15"/>
        <v/>
      </c>
      <c r="W62" s="26" t="str">
        <f t="shared" si="16"/>
        <v/>
      </c>
      <c r="X62" s="13" t="str">
        <f t="shared" si="17"/>
        <v/>
      </c>
      <c r="Y62" s="9">
        <f t="shared" si="18"/>
        <v>0</v>
      </c>
    </row>
    <row r="63" spans="1:25" x14ac:dyDescent="0.25">
      <c r="A63" s="28"/>
      <c r="B63" s="29"/>
      <c r="C63" s="30"/>
      <c r="D63" s="31"/>
      <c r="E63" s="29" t="s">
        <v>16</v>
      </c>
      <c r="F63" s="13" t="b">
        <f>IF($E63=Categories!$A$1,"",IF($E63=Categories!$A$2,Categories!$B$2,IF($E63=Categories!$A$3,Categories!$B$3,IF($E63=Categories!$A$4,Categories!$B$4,IF($E63=Categories!$A$5,Categories!$B$5,IF($E63=Categories!$A$6,Categories!$B$6,IF($E63=Categories!$A$7,Categories!$B$7,IF($E63=Categories!$A$8,Categories!$B$8,IF($E63=Categories!$A$9,Categories!$B$9,IF($E63=Categories!$A$10,Categories!$B$10,IF($E63=Categories!$A$11,Categories!$B$11,IF($E63=Categories!$A$12,Categories!$B$12,IF($E63=Categories!$A$13,Categories!$B$13,IF($E63=Categories!$A$14,Categories!$B$14,IF($E63=Categories!$A$15,Categories!$B$15,IF($E63=Categories!$A$16,Categories!$B$16,IF($E63=Categories!$A$17,Categories!$B$17,IF($E63=Categories!$A$18,Categories!$B$18,IF($E63=Categories!$A$19,Categories!$B$19)))))))))))))))))))</f>
        <v>0</v>
      </c>
      <c r="G63" s="9" t="str">
        <f t="shared" si="0"/>
        <v/>
      </c>
      <c r="H63" s="1" t="str">
        <f t="shared" si="1"/>
        <v/>
      </c>
      <c r="I63" s="1" t="str">
        <f t="shared" si="2"/>
        <v/>
      </c>
      <c r="J63" s="1" t="str">
        <f t="shared" si="3"/>
        <v/>
      </c>
      <c r="K63" s="13" t="str">
        <f t="shared" si="4"/>
        <v/>
      </c>
      <c r="L63" s="9" t="str">
        <f t="shared" si="5"/>
        <v/>
      </c>
      <c r="M63" s="1" t="str">
        <f t="shared" si="6"/>
        <v/>
      </c>
      <c r="N63" s="1" t="str">
        <f t="shared" si="7"/>
        <v/>
      </c>
      <c r="O63" s="1" t="str">
        <f t="shared" si="8"/>
        <v/>
      </c>
      <c r="P63" s="1" t="str">
        <f t="shared" si="9"/>
        <v/>
      </c>
      <c r="Q63" s="1" t="str">
        <f t="shared" si="10"/>
        <v/>
      </c>
      <c r="R63" s="1" t="str">
        <f t="shared" si="11"/>
        <v/>
      </c>
      <c r="S63" s="1" t="str">
        <f t="shared" si="12"/>
        <v/>
      </c>
      <c r="T63" s="1" t="str">
        <f t="shared" si="13"/>
        <v/>
      </c>
      <c r="U63" s="1" t="str">
        <f t="shared" si="14"/>
        <v/>
      </c>
      <c r="V63" s="1" t="str">
        <f t="shared" si="15"/>
        <v/>
      </c>
      <c r="W63" s="26" t="str">
        <f t="shared" si="16"/>
        <v/>
      </c>
      <c r="X63" s="13" t="str">
        <f t="shared" si="17"/>
        <v/>
      </c>
      <c r="Y63" s="9">
        <f t="shared" si="18"/>
        <v>0</v>
      </c>
    </row>
    <row r="64" spans="1:25" x14ac:dyDescent="0.25">
      <c r="A64" s="28"/>
      <c r="B64" s="29"/>
      <c r="C64" s="30"/>
      <c r="D64" s="31"/>
      <c r="E64" s="29" t="s">
        <v>16</v>
      </c>
      <c r="F64" s="13" t="b">
        <f>IF($E64=Categories!$A$1,"",IF($E64=Categories!$A$2,Categories!$B$2,IF($E64=Categories!$A$3,Categories!$B$3,IF($E64=Categories!$A$4,Categories!$B$4,IF($E64=Categories!$A$5,Categories!$B$5,IF($E64=Categories!$A$6,Categories!$B$6,IF($E64=Categories!$A$7,Categories!$B$7,IF($E64=Categories!$A$8,Categories!$B$8,IF($E64=Categories!$A$9,Categories!$B$9,IF($E64=Categories!$A$10,Categories!$B$10,IF($E64=Categories!$A$11,Categories!$B$11,IF($E64=Categories!$A$12,Categories!$B$12,IF($E64=Categories!$A$13,Categories!$B$13,IF($E64=Categories!$A$14,Categories!$B$14,IF($E64=Categories!$A$15,Categories!$B$15,IF($E64=Categories!$A$16,Categories!$B$16,IF($E64=Categories!$A$17,Categories!$B$17,IF($E64=Categories!$A$18,Categories!$B$18,IF($E64=Categories!$A$19,Categories!$B$19)))))))))))))))))))</f>
        <v>0</v>
      </c>
      <c r="G64" s="9" t="str">
        <f t="shared" si="0"/>
        <v/>
      </c>
      <c r="H64" s="1" t="str">
        <f t="shared" si="1"/>
        <v/>
      </c>
      <c r="I64" s="1" t="str">
        <f t="shared" si="2"/>
        <v/>
      </c>
      <c r="J64" s="1" t="str">
        <f t="shared" si="3"/>
        <v/>
      </c>
      <c r="K64" s="13" t="str">
        <f t="shared" si="4"/>
        <v/>
      </c>
      <c r="L64" s="9" t="str">
        <f t="shared" si="5"/>
        <v/>
      </c>
      <c r="M64" s="1" t="str">
        <f t="shared" si="6"/>
        <v/>
      </c>
      <c r="N64" s="1" t="str">
        <f t="shared" si="7"/>
        <v/>
      </c>
      <c r="O64" s="1" t="str">
        <f t="shared" si="8"/>
        <v/>
      </c>
      <c r="P64" s="1" t="str">
        <f t="shared" si="9"/>
        <v/>
      </c>
      <c r="Q64" s="1" t="str">
        <f t="shared" si="10"/>
        <v/>
      </c>
      <c r="R64" s="1" t="str">
        <f t="shared" si="11"/>
        <v/>
      </c>
      <c r="S64" s="1" t="str">
        <f t="shared" si="12"/>
        <v/>
      </c>
      <c r="T64" s="1" t="str">
        <f t="shared" si="13"/>
        <v/>
      </c>
      <c r="U64" s="1" t="str">
        <f t="shared" si="14"/>
        <v/>
      </c>
      <c r="V64" s="1" t="str">
        <f t="shared" si="15"/>
        <v/>
      </c>
      <c r="W64" s="26" t="str">
        <f t="shared" si="16"/>
        <v/>
      </c>
      <c r="X64" s="13" t="str">
        <f t="shared" si="17"/>
        <v/>
      </c>
      <c r="Y64" s="9">
        <f t="shared" si="18"/>
        <v>0</v>
      </c>
    </row>
    <row r="65" spans="1:25" x14ac:dyDescent="0.25">
      <c r="A65" s="28"/>
      <c r="B65" s="29"/>
      <c r="C65" s="30"/>
      <c r="D65" s="31"/>
      <c r="E65" s="29" t="s">
        <v>16</v>
      </c>
      <c r="F65" s="13" t="b">
        <f>IF($E65=Categories!$A$1,"",IF($E65=Categories!$A$2,Categories!$B$2,IF($E65=Categories!$A$3,Categories!$B$3,IF($E65=Categories!$A$4,Categories!$B$4,IF($E65=Categories!$A$5,Categories!$B$5,IF($E65=Categories!$A$6,Categories!$B$6,IF($E65=Categories!$A$7,Categories!$B$7,IF($E65=Categories!$A$8,Categories!$B$8,IF($E65=Categories!$A$9,Categories!$B$9,IF($E65=Categories!$A$10,Categories!$B$10,IF($E65=Categories!$A$11,Categories!$B$11,IF($E65=Categories!$A$12,Categories!$B$12,IF($E65=Categories!$A$13,Categories!$B$13,IF($E65=Categories!$A$14,Categories!$B$14,IF($E65=Categories!$A$15,Categories!$B$15,IF($E65=Categories!$A$16,Categories!$B$16,IF($E65=Categories!$A$17,Categories!$B$17,IF($E65=Categories!$A$18,Categories!$B$18,IF($E65=Categories!$A$19,Categories!$B$19)))))))))))))))))))</f>
        <v>0</v>
      </c>
      <c r="G65" s="9" t="str">
        <f t="shared" si="0"/>
        <v/>
      </c>
      <c r="H65" s="1" t="str">
        <f t="shared" si="1"/>
        <v/>
      </c>
      <c r="I65" s="1" t="str">
        <f t="shared" si="2"/>
        <v/>
      </c>
      <c r="J65" s="1" t="str">
        <f t="shared" si="3"/>
        <v/>
      </c>
      <c r="K65" s="13" t="str">
        <f t="shared" si="4"/>
        <v/>
      </c>
      <c r="L65" s="9" t="str">
        <f t="shared" si="5"/>
        <v/>
      </c>
      <c r="M65" s="1" t="str">
        <f t="shared" si="6"/>
        <v/>
      </c>
      <c r="N65" s="1" t="str">
        <f t="shared" si="7"/>
        <v/>
      </c>
      <c r="O65" s="1" t="str">
        <f t="shared" si="8"/>
        <v/>
      </c>
      <c r="P65" s="1" t="str">
        <f t="shared" si="9"/>
        <v/>
      </c>
      <c r="Q65" s="1" t="str">
        <f t="shared" si="10"/>
        <v/>
      </c>
      <c r="R65" s="1" t="str">
        <f t="shared" si="11"/>
        <v/>
      </c>
      <c r="S65" s="1" t="str">
        <f t="shared" si="12"/>
        <v/>
      </c>
      <c r="T65" s="1" t="str">
        <f t="shared" si="13"/>
        <v/>
      </c>
      <c r="U65" s="1" t="str">
        <f t="shared" si="14"/>
        <v/>
      </c>
      <c r="V65" s="1" t="str">
        <f t="shared" si="15"/>
        <v/>
      </c>
      <c r="W65" s="26" t="str">
        <f t="shared" si="16"/>
        <v/>
      </c>
      <c r="X65" s="13" t="str">
        <f t="shared" si="17"/>
        <v/>
      </c>
      <c r="Y65" s="9">
        <f t="shared" si="18"/>
        <v>0</v>
      </c>
    </row>
    <row r="66" spans="1:25" x14ac:dyDescent="0.25">
      <c r="A66" s="28"/>
      <c r="B66" s="29"/>
      <c r="C66" s="30"/>
      <c r="D66" s="31"/>
      <c r="E66" s="29" t="s">
        <v>16</v>
      </c>
      <c r="F66" s="13" t="b">
        <f>IF($E66=Categories!$A$1,"",IF($E66=Categories!$A$2,Categories!$B$2,IF($E66=Categories!$A$3,Categories!$B$3,IF($E66=Categories!$A$4,Categories!$B$4,IF($E66=Categories!$A$5,Categories!$B$5,IF($E66=Categories!$A$6,Categories!$B$6,IF($E66=Categories!$A$7,Categories!$B$7,IF($E66=Categories!$A$8,Categories!$B$8,IF($E66=Categories!$A$9,Categories!$B$9,IF($E66=Categories!$A$10,Categories!$B$10,IF($E66=Categories!$A$11,Categories!$B$11,IF($E66=Categories!$A$12,Categories!$B$12,IF($E66=Categories!$A$13,Categories!$B$13,IF($E66=Categories!$A$14,Categories!$B$14,IF($E66=Categories!$A$15,Categories!$B$15,IF($E66=Categories!$A$16,Categories!$B$16,IF($E66=Categories!$A$17,Categories!$B$17,IF($E66=Categories!$A$18,Categories!$B$18,IF($E66=Categories!$A$19,Categories!$B$19)))))))))))))))))))</f>
        <v>0</v>
      </c>
      <c r="G66" s="9" t="str">
        <f t="shared" si="0"/>
        <v/>
      </c>
      <c r="H66" s="1" t="str">
        <f t="shared" si="1"/>
        <v/>
      </c>
      <c r="I66" s="1" t="str">
        <f t="shared" si="2"/>
        <v/>
      </c>
      <c r="J66" s="1" t="str">
        <f t="shared" si="3"/>
        <v/>
      </c>
      <c r="K66" s="13" t="str">
        <f t="shared" si="4"/>
        <v/>
      </c>
      <c r="L66" s="9" t="str">
        <f t="shared" si="5"/>
        <v/>
      </c>
      <c r="M66" s="1" t="str">
        <f t="shared" si="6"/>
        <v/>
      </c>
      <c r="N66" s="1" t="str">
        <f t="shared" si="7"/>
        <v/>
      </c>
      <c r="O66" s="1" t="str">
        <f t="shared" si="8"/>
        <v/>
      </c>
      <c r="P66" s="1" t="str">
        <f t="shared" si="9"/>
        <v/>
      </c>
      <c r="Q66" s="1" t="str">
        <f t="shared" si="10"/>
        <v/>
      </c>
      <c r="R66" s="1" t="str">
        <f t="shared" si="11"/>
        <v/>
      </c>
      <c r="S66" s="1" t="str">
        <f t="shared" si="12"/>
        <v/>
      </c>
      <c r="T66" s="1" t="str">
        <f t="shared" si="13"/>
        <v/>
      </c>
      <c r="U66" s="1" t="str">
        <f t="shared" si="14"/>
        <v/>
      </c>
      <c r="V66" s="1" t="str">
        <f t="shared" si="15"/>
        <v/>
      </c>
      <c r="W66" s="26" t="str">
        <f t="shared" si="16"/>
        <v/>
      </c>
      <c r="X66" s="13" t="str">
        <f t="shared" si="17"/>
        <v/>
      </c>
      <c r="Y66" s="9">
        <f t="shared" si="18"/>
        <v>0</v>
      </c>
    </row>
    <row r="67" spans="1:25" x14ac:dyDescent="0.25">
      <c r="A67" s="28"/>
      <c r="B67" s="29"/>
      <c r="C67" s="30"/>
      <c r="D67" s="31"/>
      <c r="E67" s="29" t="s">
        <v>16</v>
      </c>
      <c r="F67" s="13" t="b">
        <f>IF($E67=Categories!$A$1,"",IF($E67=Categories!$A$2,Categories!$B$2,IF($E67=Categories!$A$3,Categories!$B$3,IF($E67=Categories!$A$4,Categories!$B$4,IF($E67=Categories!$A$5,Categories!$B$5,IF($E67=Categories!$A$6,Categories!$B$6,IF($E67=Categories!$A$7,Categories!$B$7,IF($E67=Categories!$A$8,Categories!$B$8,IF($E67=Categories!$A$9,Categories!$B$9,IF($E67=Categories!$A$10,Categories!$B$10,IF($E67=Categories!$A$11,Categories!$B$11,IF($E67=Categories!$A$12,Categories!$B$12,IF($E67=Categories!$A$13,Categories!$B$13,IF($E67=Categories!$A$14,Categories!$B$14,IF($E67=Categories!$A$15,Categories!$B$15,IF($E67=Categories!$A$16,Categories!$B$16,IF($E67=Categories!$A$17,Categories!$B$17,IF($E67=Categories!$A$18,Categories!$B$18,IF($E67=Categories!$A$19,Categories!$B$19)))))))))))))))))))</f>
        <v>0</v>
      </c>
      <c r="G67" s="9" t="str">
        <f t="shared" si="0"/>
        <v/>
      </c>
      <c r="H67" s="1" t="str">
        <f t="shared" si="1"/>
        <v/>
      </c>
      <c r="I67" s="1" t="str">
        <f t="shared" si="2"/>
        <v/>
      </c>
      <c r="J67" s="1" t="str">
        <f t="shared" si="3"/>
        <v/>
      </c>
      <c r="K67" s="13" t="str">
        <f t="shared" si="4"/>
        <v/>
      </c>
      <c r="L67" s="9" t="str">
        <f t="shared" si="5"/>
        <v/>
      </c>
      <c r="M67" s="1" t="str">
        <f t="shared" si="6"/>
        <v/>
      </c>
      <c r="N67" s="1" t="str">
        <f t="shared" si="7"/>
        <v/>
      </c>
      <c r="O67" s="1" t="str">
        <f t="shared" si="8"/>
        <v/>
      </c>
      <c r="P67" s="1" t="str">
        <f t="shared" si="9"/>
        <v/>
      </c>
      <c r="Q67" s="1" t="str">
        <f t="shared" si="10"/>
        <v/>
      </c>
      <c r="R67" s="1" t="str">
        <f t="shared" si="11"/>
        <v/>
      </c>
      <c r="S67" s="1" t="str">
        <f t="shared" si="12"/>
        <v/>
      </c>
      <c r="T67" s="1" t="str">
        <f t="shared" si="13"/>
        <v/>
      </c>
      <c r="U67" s="1" t="str">
        <f t="shared" si="14"/>
        <v/>
      </c>
      <c r="V67" s="1" t="str">
        <f t="shared" si="15"/>
        <v/>
      </c>
      <c r="W67" s="26" t="str">
        <f t="shared" si="16"/>
        <v/>
      </c>
      <c r="X67" s="13" t="str">
        <f t="shared" si="17"/>
        <v/>
      </c>
      <c r="Y67" s="9">
        <f t="shared" si="18"/>
        <v>0</v>
      </c>
    </row>
    <row r="68" spans="1:25" x14ac:dyDescent="0.25">
      <c r="A68" s="28"/>
      <c r="B68" s="29"/>
      <c r="C68" s="30"/>
      <c r="D68" s="31"/>
      <c r="E68" s="29" t="s">
        <v>16</v>
      </c>
      <c r="F68" s="13" t="b">
        <f>IF($E68=Categories!$A$1,"",IF($E68=Categories!$A$2,Categories!$B$2,IF($E68=Categories!$A$3,Categories!$B$3,IF($E68=Categories!$A$4,Categories!$B$4,IF($E68=Categories!$A$5,Categories!$B$5,IF($E68=Categories!$A$6,Categories!$B$6,IF($E68=Categories!$A$7,Categories!$B$7,IF($E68=Categories!$A$8,Categories!$B$8,IF($E68=Categories!$A$9,Categories!$B$9,IF($E68=Categories!$A$10,Categories!$B$10,IF($E68=Categories!$A$11,Categories!$B$11,IF($E68=Categories!$A$12,Categories!$B$12,IF($E68=Categories!$A$13,Categories!$B$13,IF($E68=Categories!$A$14,Categories!$B$14,IF($E68=Categories!$A$15,Categories!$B$15,IF($E68=Categories!$A$16,Categories!$B$16,IF($E68=Categories!$A$17,Categories!$B$17,IF($E68=Categories!$A$18,Categories!$B$18,IF($E68=Categories!$A$19,Categories!$B$19)))))))))))))))))))</f>
        <v>0</v>
      </c>
      <c r="G68" s="9" t="str">
        <f t="shared" si="0"/>
        <v/>
      </c>
      <c r="H68" s="1" t="str">
        <f t="shared" si="1"/>
        <v/>
      </c>
      <c r="I68" s="1" t="str">
        <f t="shared" si="2"/>
        <v/>
      </c>
      <c r="J68" s="1" t="str">
        <f t="shared" si="3"/>
        <v/>
      </c>
      <c r="K68" s="13" t="str">
        <f t="shared" si="4"/>
        <v/>
      </c>
      <c r="L68" s="9" t="str">
        <f t="shared" si="5"/>
        <v/>
      </c>
      <c r="M68" s="1" t="str">
        <f t="shared" si="6"/>
        <v/>
      </c>
      <c r="N68" s="1" t="str">
        <f t="shared" si="7"/>
        <v/>
      </c>
      <c r="O68" s="1" t="str">
        <f t="shared" si="8"/>
        <v/>
      </c>
      <c r="P68" s="1" t="str">
        <f t="shared" si="9"/>
        <v/>
      </c>
      <c r="Q68" s="1" t="str">
        <f t="shared" si="10"/>
        <v/>
      </c>
      <c r="R68" s="1" t="str">
        <f t="shared" si="11"/>
        <v/>
      </c>
      <c r="S68" s="1" t="str">
        <f t="shared" si="12"/>
        <v/>
      </c>
      <c r="T68" s="1" t="str">
        <f t="shared" si="13"/>
        <v/>
      </c>
      <c r="U68" s="1" t="str">
        <f t="shared" si="14"/>
        <v/>
      </c>
      <c r="V68" s="1" t="str">
        <f t="shared" si="15"/>
        <v/>
      </c>
      <c r="W68" s="26" t="str">
        <f t="shared" si="16"/>
        <v/>
      </c>
      <c r="X68" s="13" t="str">
        <f t="shared" si="17"/>
        <v/>
      </c>
      <c r="Y68" s="9">
        <f t="shared" si="18"/>
        <v>0</v>
      </c>
    </row>
    <row r="69" spans="1:25" x14ac:dyDescent="0.25">
      <c r="A69" s="28"/>
      <c r="B69" s="29"/>
      <c r="C69" s="30"/>
      <c r="D69" s="31"/>
      <c r="E69" s="29" t="s">
        <v>16</v>
      </c>
      <c r="F69" s="13" t="b">
        <f>IF($E69=Categories!$A$1,"",IF($E69=Categories!$A$2,Categories!$B$2,IF($E69=Categories!$A$3,Categories!$B$3,IF($E69=Categories!$A$4,Categories!$B$4,IF($E69=Categories!$A$5,Categories!$B$5,IF($E69=Categories!$A$6,Categories!$B$6,IF($E69=Categories!$A$7,Categories!$B$7,IF($E69=Categories!$A$8,Categories!$B$8,IF($E69=Categories!$A$9,Categories!$B$9,IF($E69=Categories!$A$10,Categories!$B$10,IF($E69=Categories!$A$11,Categories!$B$11,IF($E69=Categories!$A$12,Categories!$B$12,IF($E69=Categories!$A$13,Categories!$B$13,IF($E69=Categories!$A$14,Categories!$B$14,IF($E69=Categories!$A$15,Categories!$B$15,IF($E69=Categories!$A$16,Categories!$B$16,IF($E69=Categories!$A$17,Categories!$B$17,IF($E69=Categories!$A$18,Categories!$B$18,IF($E69=Categories!$A$19,Categories!$B$19)))))))))))))))))))</f>
        <v>0</v>
      </c>
      <c r="G69" s="9" t="str">
        <f t="shared" si="0"/>
        <v/>
      </c>
      <c r="H69" s="1" t="str">
        <f t="shared" si="1"/>
        <v/>
      </c>
      <c r="I69" s="1" t="str">
        <f t="shared" si="2"/>
        <v/>
      </c>
      <c r="J69" s="1" t="str">
        <f t="shared" si="3"/>
        <v/>
      </c>
      <c r="K69" s="13" t="str">
        <f t="shared" si="4"/>
        <v/>
      </c>
      <c r="L69" s="9" t="str">
        <f t="shared" si="5"/>
        <v/>
      </c>
      <c r="M69" s="1" t="str">
        <f t="shared" si="6"/>
        <v/>
      </c>
      <c r="N69" s="1" t="str">
        <f t="shared" si="7"/>
        <v/>
      </c>
      <c r="O69" s="1" t="str">
        <f t="shared" si="8"/>
        <v/>
      </c>
      <c r="P69" s="1" t="str">
        <f t="shared" si="9"/>
        <v/>
      </c>
      <c r="Q69" s="1" t="str">
        <f t="shared" si="10"/>
        <v/>
      </c>
      <c r="R69" s="1" t="str">
        <f t="shared" si="11"/>
        <v/>
      </c>
      <c r="S69" s="1" t="str">
        <f t="shared" si="12"/>
        <v/>
      </c>
      <c r="T69" s="1" t="str">
        <f t="shared" si="13"/>
        <v/>
      </c>
      <c r="U69" s="1" t="str">
        <f t="shared" si="14"/>
        <v/>
      </c>
      <c r="V69" s="1" t="str">
        <f t="shared" si="15"/>
        <v/>
      </c>
      <c r="W69" s="26" t="str">
        <f t="shared" si="16"/>
        <v/>
      </c>
      <c r="X69" s="13" t="str">
        <f t="shared" si="17"/>
        <v/>
      </c>
      <c r="Y69" s="9">
        <f t="shared" si="18"/>
        <v>0</v>
      </c>
    </row>
    <row r="70" spans="1:25" x14ac:dyDescent="0.25">
      <c r="A70" s="28"/>
      <c r="B70" s="29"/>
      <c r="C70" s="30"/>
      <c r="D70" s="31"/>
      <c r="E70" s="29" t="s">
        <v>16</v>
      </c>
      <c r="F70" s="13" t="b">
        <f>IF($E70=Categories!$A$1,"",IF($E70=Categories!$A$2,Categories!$B$2,IF($E70=Categories!$A$3,Categories!$B$3,IF($E70=Categories!$A$4,Categories!$B$4,IF($E70=Categories!$A$5,Categories!$B$5,IF($E70=Categories!$A$6,Categories!$B$6,IF($E70=Categories!$A$7,Categories!$B$7,IF($E70=Categories!$A$8,Categories!$B$8,IF($E70=Categories!$A$9,Categories!$B$9,IF($E70=Categories!$A$10,Categories!$B$10,IF($E70=Categories!$A$11,Categories!$B$11,IF($E70=Categories!$A$12,Categories!$B$12,IF($E70=Categories!$A$13,Categories!$B$13,IF($E70=Categories!$A$14,Categories!$B$14,IF($E70=Categories!$A$15,Categories!$B$15,IF($E70=Categories!$A$16,Categories!$B$16,IF($E70=Categories!$A$17,Categories!$B$17,IF($E70=Categories!$A$18,Categories!$B$18,IF($E70=Categories!$A$19,Categories!$B$19)))))))))))))))))))</f>
        <v>0</v>
      </c>
      <c r="G70" s="9" t="str">
        <f t="shared" si="0"/>
        <v/>
      </c>
      <c r="H70" s="1" t="str">
        <f t="shared" si="1"/>
        <v/>
      </c>
      <c r="I70" s="1" t="str">
        <f t="shared" si="2"/>
        <v/>
      </c>
      <c r="J70" s="1" t="str">
        <f t="shared" si="3"/>
        <v/>
      </c>
      <c r="K70" s="13" t="str">
        <f t="shared" si="4"/>
        <v/>
      </c>
      <c r="L70" s="9" t="str">
        <f t="shared" si="5"/>
        <v/>
      </c>
      <c r="M70" s="1" t="str">
        <f t="shared" si="6"/>
        <v/>
      </c>
      <c r="N70" s="1" t="str">
        <f t="shared" si="7"/>
        <v/>
      </c>
      <c r="O70" s="1" t="str">
        <f t="shared" si="8"/>
        <v/>
      </c>
      <c r="P70" s="1" t="str">
        <f t="shared" si="9"/>
        <v/>
      </c>
      <c r="Q70" s="1" t="str">
        <f t="shared" si="10"/>
        <v/>
      </c>
      <c r="R70" s="1" t="str">
        <f t="shared" si="11"/>
        <v/>
      </c>
      <c r="S70" s="1" t="str">
        <f t="shared" si="12"/>
        <v/>
      </c>
      <c r="T70" s="1" t="str">
        <f t="shared" si="13"/>
        <v/>
      </c>
      <c r="U70" s="1" t="str">
        <f t="shared" si="14"/>
        <v/>
      </c>
      <c r="V70" s="1" t="str">
        <f t="shared" si="15"/>
        <v/>
      </c>
      <c r="W70" s="26" t="str">
        <f t="shared" si="16"/>
        <v/>
      </c>
      <c r="X70" s="13" t="str">
        <f t="shared" si="17"/>
        <v/>
      </c>
      <c r="Y70" s="9">
        <f t="shared" si="18"/>
        <v>0</v>
      </c>
    </row>
    <row r="71" spans="1:25" x14ac:dyDescent="0.25">
      <c r="A71" s="28"/>
      <c r="B71" s="29"/>
      <c r="C71" s="30"/>
      <c r="D71" s="31"/>
      <c r="E71" s="29" t="s">
        <v>16</v>
      </c>
      <c r="F71" s="13" t="b">
        <f>IF($E71=Categories!$A$1,"",IF($E71=Categories!$A$2,Categories!$B$2,IF($E71=Categories!$A$3,Categories!$B$3,IF($E71=Categories!$A$4,Categories!$B$4,IF($E71=Categories!$A$5,Categories!$B$5,IF($E71=Categories!$A$6,Categories!$B$6,IF($E71=Categories!$A$7,Categories!$B$7,IF($E71=Categories!$A$8,Categories!$B$8,IF($E71=Categories!$A$9,Categories!$B$9,IF($E71=Categories!$A$10,Categories!$B$10,IF($E71=Categories!$A$11,Categories!$B$11,IF($E71=Categories!$A$12,Categories!$B$12,IF($E71=Categories!$A$13,Categories!$B$13,IF($E71=Categories!$A$14,Categories!$B$14,IF($E71=Categories!$A$15,Categories!$B$15,IF($E71=Categories!$A$16,Categories!$B$16,IF($E71=Categories!$A$17,Categories!$B$17,IF($E71=Categories!$A$18,Categories!$B$18,IF($E71=Categories!$A$19,Categories!$B$19)))))))))))))))))))</f>
        <v>0</v>
      </c>
      <c r="G71" s="9" t="str">
        <f t="shared" ref="G71:G95" si="19">IF($F71="Inc1",$D71,"")</f>
        <v/>
      </c>
      <c r="H71" s="1" t="str">
        <f t="shared" ref="H71:H95" si="20">IF($F71="Inc2",$D71,"")</f>
        <v/>
      </c>
      <c r="I71" s="1" t="str">
        <f t="shared" ref="I71:I95" si="21">IF($F71="Int",$D71,"")</f>
        <v/>
      </c>
      <c r="J71" s="1" t="str">
        <f t="shared" ref="J71:J95" si="22">IF($F71="Inc4",$D71,"")</f>
        <v/>
      </c>
      <c r="K71" s="13" t="str">
        <f t="shared" ref="K71:K95" si="23">IF($F71="Inc5",$D71,"")</f>
        <v/>
      </c>
      <c r="L71" s="9" t="str">
        <f t="shared" ref="L71:L95" si="24">IF($F71="ExpA",$D71,"")</f>
        <v/>
      </c>
      <c r="M71" s="1" t="str">
        <f t="shared" ref="M71:M95" si="25">IF($F71="ExpB",$D71,"")</f>
        <v/>
      </c>
      <c r="N71" s="1" t="str">
        <f t="shared" ref="N71:N95" si="26">IF($F71="ExpC",$D71,"")</f>
        <v/>
      </c>
      <c r="O71" s="1" t="str">
        <f t="shared" ref="O71:O95" si="27">IF($F71="ExpD",$D71,"")</f>
        <v/>
      </c>
      <c r="P71" s="1" t="str">
        <f t="shared" ref="P71:P95" si="28">IF($F71="ExpE",$D71,"")</f>
        <v/>
      </c>
      <c r="Q71" s="1" t="str">
        <f t="shared" ref="Q71:Q95" si="29">IF($F71="ExpF",$D71,"")</f>
        <v/>
      </c>
      <c r="R71" s="1" t="str">
        <f t="shared" ref="R71:R95" si="30">IF($F71="ExpG",$D71,"")</f>
        <v/>
      </c>
      <c r="S71" s="1" t="str">
        <f t="shared" ref="S71:S95" si="31">IF($F71="ExpH",$D71,"")</f>
        <v/>
      </c>
      <c r="T71" s="1" t="str">
        <f t="shared" ref="T71:T95" si="32">IF($F71="ExpI",$D71,"")</f>
        <v/>
      </c>
      <c r="U71" s="1" t="str">
        <f t="shared" ref="U71:U95" si="33">IF($F71="ExpJ",$D71,"")</f>
        <v/>
      </c>
      <c r="V71" s="1" t="str">
        <f t="shared" ref="V71:V95" si="34">IF($F71="ExpK",$D71,"")</f>
        <v/>
      </c>
      <c r="W71" s="26" t="str">
        <f t="shared" ref="W71:W95" si="35">IF($F71="ExpL",$D71,"")</f>
        <v/>
      </c>
      <c r="X71" s="13" t="str">
        <f t="shared" ref="X71:X95" si="36">IF($F71="Expm",$D71,"")</f>
        <v/>
      </c>
      <c r="Y71" s="9">
        <f t="shared" si="18"/>
        <v>0</v>
      </c>
    </row>
    <row r="72" spans="1:25" x14ac:dyDescent="0.25">
      <c r="A72" s="28"/>
      <c r="B72" s="29"/>
      <c r="C72" s="30"/>
      <c r="D72" s="31"/>
      <c r="E72" s="29" t="s">
        <v>16</v>
      </c>
      <c r="F72" s="13" t="b">
        <f>IF($E72=Categories!$A$1,"",IF($E72=Categories!$A$2,Categories!$B$2,IF($E72=Categories!$A$3,Categories!$B$3,IF($E72=Categories!$A$4,Categories!$B$4,IF($E72=Categories!$A$5,Categories!$B$5,IF($E72=Categories!$A$6,Categories!$B$6,IF($E72=Categories!$A$7,Categories!$B$7,IF($E72=Categories!$A$8,Categories!$B$8,IF($E72=Categories!$A$9,Categories!$B$9,IF($E72=Categories!$A$10,Categories!$B$10,IF($E72=Categories!$A$11,Categories!$B$11,IF($E72=Categories!$A$12,Categories!$B$12,IF($E72=Categories!$A$13,Categories!$B$13,IF($E72=Categories!$A$14,Categories!$B$14,IF($E72=Categories!$A$15,Categories!$B$15,IF($E72=Categories!$A$16,Categories!$B$16,IF($E72=Categories!$A$17,Categories!$B$17,IF($E72=Categories!$A$18,Categories!$B$18,IF($E72=Categories!$A$19,Categories!$B$19)))))))))))))))))))</f>
        <v>0</v>
      </c>
      <c r="G72" s="9" t="str">
        <f t="shared" si="19"/>
        <v/>
      </c>
      <c r="H72" s="1" t="str">
        <f t="shared" si="20"/>
        <v/>
      </c>
      <c r="I72" s="1" t="str">
        <f t="shared" si="21"/>
        <v/>
      </c>
      <c r="J72" s="1" t="str">
        <f t="shared" si="22"/>
        <v/>
      </c>
      <c r="K72" s="13" t="str">
        <f t="shared" si="23"/>
        <v/>
      </c>
      <c r="L72" s="9" t="str">
        <f t="shared" si="24"/>
        <v/>
      </c>
      <c r="M72" s="1" t="str">
        <f t="shared" si="25"/>
        <v/>
      </c>
      <c r="N72" s="1" t="str">
        <f t="shared" si="26"/>
        <v/>
      </c>
      <c r="O72" s="1" t="str">
        <f t="shared" si="27"/>
        <v/>
      </c>
      <c r="P72" s="1" t="str">
        <f t="shared" si="28"/>
        <v/>
      </c>
      <c r="Q72" s="1" t="str">
        <f t="shared" si="29"/>
        <v/>
      </c>
      <c r="R72" s="1" t="str">
        <f t="shared" si="30"/>
        <v/>
      </c>
      <c r="S72" s="1" t="str">
        <f t="shared" si="31"/>
        <v/>
      </c>
      <c r="T72" s="1" t="str">
        <f t="shared" si="32"/>
        <v/>
      </c>
      <c r="U72" s="1" t="str">
        <f t="shared" si="33"/>
        <v/>
      </c>
      <c r="V72" s="1" t="str">
        <f t="shared" si="34"/>
        <v/>
      </c>
      <c r="W72" s="26" t="str">
        <f t="shared" si="35"/>
        <v/>
      </c>
      <c r="X72" s="13" t="str">
        <f t="shared" si="36"/>
        <v/>
      </c>
      <c r="Y72" s="9">
        <f t="shared" ref="Y72:Y95" si="37">Y71+SUM(G72:K72)-SUM(L72:X72)</f>
        <v>0</v>
      </c>
    </row>
    <row r="73" spans="1:25" x14ac:dyDescent="0.25">
      <c r="A73" s="28"/>
      <c r="B73" s="29"/>
      <c r="C73" s="30"/>
      <c r="D73" s="31"/>
      <c r="E73" s="29" t="s">
        <v>16</v>
      </c>
      <c r="F73" s="13" t="b">
        <f>IF($E73=Categories!$A$1,"",IF($E73=Categories!$A$2,Categories!$B$2,IF($E73=Categories!$A$3,Categories!$B$3,IF($E73=Categories!$A$4,Categories!$B$4,IF($E73=Categories!$A$5,Categories!$B$5,IF($E73=Categories!$A$6,Categories!$B$6,IF($E73=Categories!$A$7,Categories!$B$7,IF($E73=Categories!$A$8,Categories!$B$8,IF($E73=Categories!$A$9,Categories!$B$9,IF($E73=Categories!$A$10,Categories!$B$10,IF($E73=Categories!$A$11,Categories!$B$11,IF($E73=Categories!$A$12,Categories!$B$12,IF($E73=Categories!$A$13,Categories!$B$13,IF($E73=Categories!$A$14,Categories!$B$14,IF($E73=Categories!$A$15,Categories!$B$15,IF($E73=Categories!$A$16,Categories!$B$16,IF($E73=Categories!$A$17,Categories!$B$17,IF($E73=Categories!$A$18,Categories!$B$18,IF($E73=Categories!$A$19,Categories!$B$19)))))))))))))))))))</f>
        <v>0</v>
      </c>
      <c r="G73" s="9" t="str">
        <f t="shared" si="19"/>
        <v/>
      </c>
      <c r="H73" s="1" t="str">
        <f t="shared" si="20"/>
        <v/>
      </c>
      <c r="I73" s="1" t="str">
        <f t="shared" si="21"/>
        <v/>
      </c>
      <c r="J73" s="1" t="str">
        <f t="shared" si="22"/>
        <v/>
      </c>
      <c r="K73" s="13" t="str">
        <f t="shared" si="23"/>
        <v/>
      </c>
      <c r="L73" s="9" t="str">
        <f t="shared" si="24"/>
        <v/>
      </c>
      <c r="M73" s="1" t="str">
        <f t="shared" si="25"/>
        <v/>
      </c>
      <c r="N73" s="1" t="str">
        <f t="shared" si="26"/>
        <v/>
      </c>
      <c r="O73" s="1" t="str">
        <f t="shared" si="27"/>
        <v/>
      </c>
      <c r="P73" s="1" t="str">
        <f t="shared" si="28"/>
        <v/>
      </c>
      <c r="Q73" s="1" t="str">
        <f t="shared" si="29"/>
        <v/>
      </c>
      <c r="R73" s="1" t="str">
        <f t="shared" si="30"/>
        <v/>
      </c>
      <c r="S73" s="1" t="str">
        <f t="shared" si="31"/>
        <v/>
      </c>
      <c r="T73" s="1" t="str">
        <f t="shared" si="32"/>
        <v/>
      </c>
      <c r="U73" s="1" t="str">
        <f t="shared" si="33"/>
        <v/>
      </c>
      <c r="V73" s="1" t="str">
        <f t="shared" si="34"/>
        <v/>
      </c>
      <c r="W73" s="26" t="str">
        <f t="shared" si="35"/>
        <v/>
      </c>
      <c r="X73" s="13" t="str">
        <f t="shared" si="36"/>
        <v/>
      </c>
      <c r="Y73" s="9">
        <f t="shared" si="37"/>
        <v>0</v>
      </c>
    </row>
    <row r="74" spans="1:25" x14ac:dyDescent="0.25">
      <c r="A74" s="28"/>
      <c r="B74" s="29"/>
      <c r="C74" s="30"/>
      <c r="D74" s="31"/>
      <c r="E74" s="29" t="s">
        <v>16</v>
      </c>
      <c r="F74" s="13" t="b">
        <f>IF($E74=Categories!$A$1,"",IF($E74=Categories!$A$2,Categories!$B$2,IF($E74=Categories!$A$3,Categories!$B$3,IF($E74=Categories!$A$4,Categories!$B$4,IF($E74=Categories!$A$5,Categories!$B$5,IF($E74=Categories!$A$6,Categories!$B$6,IF($E74=Categories!$A$7,Categories!$B$7,IF($E74=Categories!$A$8,Categories!$B$8,IF($E74=Categories!$A$9,Categories!$B$9,IF($E74=Categories!$A$10,Categories!$B$10,IF($E74=Categories!$A$11,Categories!$B$11,IF($E74=Categories!$A$12,Categories!$B$12,IF($E74=Categories!$A$13,Categories!$B$13,IF($E74=Categories!$A$14,Categories!$B$14,IF($E74=Categories!$A$15,Categories!$B$15,IF($E74=Categories!$A$16,Categories!$B$16,IF($E74=Categories!$A$17,Categories!$B$17,IF($E74=Categories!$A$18,Categories!$B$18,IF($E74=Categories!$A$19,Categories!$B$19)))))))))))))))))))</f>
        <v>0</v>
      </c>
      <c r="G74" s="9" t="str">
        <f t="shared" si="19"/>
        <v/>
      </c>
      <c r="H74" s="1" t="str">
        <f t="shared" si="20"/>
        <v/>
      </c>
      <c r="I74" s="1" t="str">
        <f t="shared" si="21"/>
        <v/>
      </c>
      <c r="J74" s="1" t="str">
        <f t="shared" si="22"/>
        <v/>
      </c>
      <c r="K74" s="13" t="str">
        <f t="shared" si="23"/>
        <v/>
      </c>
      <c r="L74" s="9" t="str">
        <f t="shared" si="24"/>
        <v/>
      </c>
      <c r="M74" s="1" t="str">
        <f t="shared" si="25"/>
        <v/>
      </c>
      <c r="N74" s="1" t="str">
        <f t="shared" si="26"/>
        <v/>
      </c>
      <c r="O74" s="1" t="str">
        <f t="shared" si="27"/>
        <v/>
      </c>
      <c r="P74" s="1" t="str">
        <f t="shared" si="28"/>
        <v/>
      </c>
      <c r="Q74" s="1" t="str">
        <f t="shared" si="29"/>
        <v/>
      </c>
      <c r="R74" s="1" t="str">
        <f t="shared" si="30"/>
        <v/>
      </c>
      <c r="S74" s="1" t="str">
        <f t="shared" si="31"/>
        <v/>
      </c>
      <c r="T74" s="1" t="str">
        <f t="shared" si="32"/>
        <v/>
      </c>
      <c r="U74" s="1" t="str">
        <f t="shared" si="33"/>
        <v/>
      </c>
      <c r="V74" s="1" t="str">
        <f t="shared" si="34"/>
        <v/>
      </c>
      <c r="W74" s="26" t="str">
        <f t="shared" si="35"/>
        <v/>
      </c>
      <c r="X74" s="13" t="str">
        <f t="shared" si="36"/>
        <v/>
      </c>
      <c r="Y74" s="9">
        <f t="shared" si="37"/>
        <v>0</v>
      </c>
    </row>
    <row r="75" spans="1:25" x14ac:dyDescent="0.25">
      <c r="A75" s="28"/>
      <c r="B75" s="29"/>
      <c r="C75" s="30"/>
      <c r="D75" s="31"/>
      <c r="E75" s="29" t="s">
        <v>16</v>
      </c>
      <c r="F75" s="13" t="b">
        <f>IF($E75=Categories!$A$1,"",IF($E75=Categories!$A$2,Categories!$B$2,IF($E75=Categories!$A$3,Categories!$B$3,IF($E75=Categories!$A$4,Categories!$B$4,IF($E75=Categories!$A$5,Categories!$B$5,IF($E75=Categories!$A$6,Categories!$B$6,IF($E75=Categories!$A$7,Categories!$B$7,IF($E75=Categories!$A$8,Categories!$B$8,IF($E75=Categories!$A$9,Categories!$B$9,IF($E75=Categories!$A$10,Categories!$B$10,IF($E75=Categories!$A$11,Categories!$B$11,IF($E75=Categories!$A$12,Categories!$B$12,IF($E75=Categories!$A$13,Categories!$B$13,IF($E75=Categories!$A$14,Categories!$B$14,IF($E75=Categories!$A$15,Categories!$B$15,IF($E75=Categories!$A$16,Categories!$B$16,IF($E75=Categories!$A$17,Categories!$B$17,IF($E75=Categories!$A$18,Categories!$B$18,IF($E75=Categories!$A$19,Categories!$B$19)))))))))))))))))))</f>
        <v>0</v>
      </c>
      <c r="G75" s="9" t="str">
        <f t="shared" si="19"/>
        <v/>
      </c>
      <c r="H75" s="1" t="str">
        <f t="shared" si="20"/>
        <v/>
      </c>
      <c r="I75" s="1" t="str">
        <f t="shared" si="21"/>
        <v/>
      </c>
      <c r="J75" s="1" t="str">
        <f t="shared" si="22"/>
        <v/>
      </c>
      <c r="K75" s="13" t="str">
        <f t="shared" si="23"/>
        <v/>
      </c>
      <c r="L75" s="9" t="str">
        <f t="shared" si="24"/>
        <v/>
      </c>
      <c r="M75" s="1" t="str">
        <f t="shared" si="25"/>
        <v/>
      </c>
      <c r="N75" s="1" t="str">
        <f t="shared" si="26"/>
        <v/>
      </c>
      <c r="O75" s="1" t="str">
        <f t="shared" si="27"/>
        <v/>
      </c>
      <c r="P75" s="1" t="str">
        <f t="shared" si="28"/>
        <v/>
      </c>
      <c r="Q75" s="1" t="str">
        <f t="shared" si="29"/>
        <v/>
      </c>
      <c r="R75" s="1" t="str">
        <f t="shared" si="30"/>
        <v/>
      </c>
      <c r="S75" s="1" t="str">
        <f t="shared" si="31"/>
        <v/>
      </c>
      <c r="T75" s="1" t="str">
        <f t="shared" si="32"/>
        <v/>
      </c>
      <c r="U75" s="1" t="str">
        <f t="shared" si="33"/>
        <v/>
      </c>
      <c r="V75" s="1" t="str">
        <f t="shared" si="34"/>
        <v/>
      </c>
      <c r="W75" s="26" t="str">
        <f t="shared" si="35"/>
        <v/>
      </c>
      <c r="X75" s="13" t="str">
        <f t="shared" si="36"/>
        <v/>
      </c>
      <c r="Y75" s="9">
        <f t="shared" si="37"/>
        <v>0</v>
      </c>
    </row>
    <row r="76" spans="1:25" x14ac:dyDescent="0.25">
      <c r="A76" s="28"/>
      <c r="B76" s="29"/>
      <c r="C76" s="30"/>
      <c r="D76" s="31"/>
      <c r="E76" s="29" t="s">
        <v>16</v>
      </c>
      <c r="F76" s="13" t="b">
        <f>IF($E76=Categories!$A$1,"",IF($E76=Categories!$A$2,Categories!$B$2,IF($E76=Categories!$A$3,Categories!$B$3,IF($E76=Categories!$A$4,Categories!$B$4,IF($E76=Categories!$A$5,Categories!$B$5,IF($E76=Categories!$A$6,Categories!$B$6,IF($E76=Categories!$A$7,Categories!$B$7,IF($E76=Categories!$A$8,Categories!$B$8,IF($E76=Categories!$A$9,Categories!$B$9,IF($E76=Categories!$A$10,Categories!$B$10,IF($E76=Categories!$A$11,Categories!$B$11,IF($E76=Categories!$A$12,Categories!$B$12,IF($E76=Categories!$A$13,Categories!$B$13,IF($E76=Categories!$A$14,Categories!$B$14,IF($E76=Categories!$A$15,Categories!$B$15,IF($E76=Categories!$A$16,Categories!$B$16,IF($E76=Categories!$A$17,Categories!$B$17,IF($E76=Categories!$A$18,Categories!$B$18,IF($E76=Categories!$A$19,Categories!$B$19)))))))))))))))))))</f>
        <v>0</v>
      </c>
      <c r="G76" s="9" t="str">
        <f t="shared" si="19"/>
        <v/>
      </c>
      <c r="H76" s="1" t="str">
        <f t="shared" si="20"/>
        <v/>
      </c>
      <c r="I76" s="1" t="str">
        <f t="shared" si="21"/>
        <v/>
      </c>
      <c r="J76" s="1" t="str">
        <f t="shared" si="22"/>
        <v/>
      </c>
      <c r="K76" s="13" t="str">
        <f t="shared" si="23"/>
        <v/>
      </c>
      <c r="L76" s="9" t="str">
        <f t="shared" si="24"/>
        <v/>
      </c>
      <c r="M76" s="1" t="str">
        <f t="shared" si="25"/>
        <v/>
      </c>
      <c r="N76" s="1" t="str">
        <f t="shared" si="26"/>
        <v/>
      </c>
      <c r="O76" s="1" t="str">
        <f t="shared" si="27"/>
        <v/>
      </c>
      <c r="P76" s="1" t="str">
        <f t="shared" si="28"/>
        <v/>
      </c>
      <c r="Q76" s="1" t="str">
        <f t="shared" si="29"/>
        <v/>
      </c>
      <c r="R76" s="1" t="str">
        <f t="shared" si="30"/>
        <v/>
      </c>
      <c r="S76" s="1" t="str">
        <f t="shared" si="31"/>
        <v/>
      </c>
      <c r="T76" s="1" t="str">
        <f t="shared" si="32"/>
        <v/>
      </c>
      <c r="U76" s="1" t="str">
        <f t="shared" si="33"/>
        <v/>
      </c>
      <c r="V76" s="1" t="str">
        <f t="shared" si="34"/>
        <v/>
      </c>
      <c r="W76" s="26" t="str">
        <f t="shared" si="35"/>
        <v/>
      </c>
      <c r="X76" s="13" t="str">
        <f t="shared" si="36"/>
        <v/>
      </c>
      <c r="Y76" s="9">
        <f t="shared" si="37"/>
        <v>0</v>
      </c>
    </row>
    <row r="77" spans="1:25" x14ac:dyDescent="0.25">
      <c r="A77" s="28"/>
      <c r="B77" s="29"/>
      <c r="C77" s="30"/>
      <c r="D77" s="31"/>
      <c r="E77" s="29" t="s">
        <v>16</v>
      </c>
      <c r="F77" s="13" t="b">
        <f>IF($E77=Categories!$A$1,"",IF($E77=Categories!$A$2,Categories!$B$2,IF($E77=Categories!$A$3,Categories!$B$3,IF($E77=Categories!$A$4,Categories!$B$4,IF($E77=Categories!$A$5,Categories!$B$5,IF($E77=Categories!$A$6,Categories!$B$6,IF($E77=Categories!$A$7,Categories!$B$7,IF($E77=Categories!$A$8,Categories!$B$8,IF($E77=Categories!$A$9,Categories!$B$9,IF($E77=Categories!$A$10,Categories!$B$10,IF($E77=Categories!$A$11,Categories!$B$11,IF($E77=Categories!$A$12,Categories!$B$12,IF($E77=Categories!$A$13,Categories!$B$13,IF($E77=Categories!$A$14,Categories!$B$14,IF($E77=Categories!$A$15,Categories!$B$15,IF($E77=Categories!$A$16,Categories!$B$16,IF($E77=Categories!$A$17,Categories!$B$17,IF($E77=Categories!$A$18,Categories!$B$18,IF($E77=Categories!$A$19,Categories!$B$19)))))))))))))))))))</f>
        <v>0</v>
      </c>
      <c r="G77" s="9" t="str">
        <f t="shared" si="19"/>
        <v/>
      </c>
      <c r="H77" s="1" t="str">
        <f t="shared" si="20"/>
        <v/>
      </c>
      <c r="I77" s="1" t="str">
        <f t="shared" si="21"/>
        <v/>
      </c>
      <c r="J77" s="1" t="str">
        <f t="shared" si="22"/>
        <v/>
      </c>
      <c r="K77" s="13" t="str">
        <f t="shared" si="23"/>
        <v/>
      </c>
      <c r="L77" s="9" t="str">
        <f t="shared" si="24"/>
        <v/>
      </c>
      <c r="M77" s="1" t="str">
        <f t="shared" si="25"/>
        <v/>
      </c>
      <c r="N77" s="1" t="str">
        <f t="shared" si="26"/>
        <v/>
      </c>
      <c r="O77" s="1" t="str">
        <f t="shared" si="27"/>
        <v/>
      </c>
      <c r="P77" s="1" t="str">
        <f t="shared" si="28"/>
        <v/>
      </c>
      <c r="Q77" s="1" t="str">
        <f t="shared" si="29"/>
        <v/>
      </c>
      <c r="R77" s="1" t="str">
        <f t="shared" si="30"/>
        <v/>
      </c>
      <c r="S77" s="1" t="str">
        <f t="shared" si="31"/>
        <v/>
      </c>
      <c r="T77" s="1" t="str">
        <f t="shared" si="32"/>
        <v/>
      </c>
      <c r="U77" s="1" t="str">
        <f t="shared" si="33"/>
        <v/>
      </c>
      <c r="V77" s="1" t="str">
        <f t="shared" si="34"/>
        <v/>
      </c>
      <c r="W77" s="26" t="str">
        <f t="shared" si="35"/>
        <v/>
      </c>
      <c r="X77" s="13" t="str">
        <f t="shared" si="36"/>
        <v/>
      </c>
      <c r="Y77" s="9">
        <f t="shared" si="37"/>
        <v>0</v>
      </c>
    </row>
    <row r="78" spans="1:25" x14ac:dyDescent="0.25">
      <c r="A78" s="28"/>
      <c r="B78" s="29"/>
      <c r="C78" s="30"/>
      <c r="D78" s="31"/>
      <c r="E78" s="29" t="s">
        <v>16</v>
      </c>
      <c r="F78" s="13" t="b">
        <f>IF($E78=Categories!$A$1,"",IF($E78=Categories!$A$2,Categories!$B$2,IF($E78=Categories!$A$3,Categories!$B$3,IF($E78=Categories!$A$4,Categories!$B$4,IF($E78=Categories!$A$5,Categories!$B$5,IF($E78=Categories!$A$6,Categories!$B$6,IF($E78=Categories!$A$7,Categories!$B$7,IF($E78=Categories!$A$8,Categories!$B$8,IF($E78=Categories!$A$9,Categories!$B$9,IF($E78=Categories!$A$10,Categories!$B$10,IF($E78=Categories!$A$11,Categories!$B$11,IF($E78=Categories!$A$12,Categories!$B$12,IF($E78=Categories!$A$13,Categories!$B$13,IF($E78=Categories!$A$14,Categories!$B$14,IF($E78=Categories!$A$15,Categories!$B$15,IF($E78=Categories!$A$16,Categories!$B$16,IF($E78=Categories!$A$17,Categories!$B$17,IF($E78=Categories!$A$18,Categories!$B$18,IF($E78=Categories!$A$19,Categories!$B$19)))))))))))))))))))</f>
        <v>0</v>
      </c>
      <c r="G78" s="9" t="str">
        <f t="shared" si="19"/>
        <v/>
      </c>
      <c r="H78" s="1" t="str">
        <f t="shared" si="20"/>
        <v/>
      </c>
      <c r="I78" s="1" t="str">
        <f t="shared" si="21"/>
        <v/>
      </c>
      <c r="J78" s="1" t="str">
        <f t="shared" si="22"/>
        <v/>
      </c>
      <c r="K78" s="13" t="str">
        <f t="shared" si="23"/>
        <v/>
      </c>
      <c r="L78" s="9" t="str">
        <f t="shared" si="24"/>
        <v/>
      </c>
      <c r="M78" s="1" t="str">
        <f t="shared" si="25"/>
        <v/>
      </c>
      <c r="N78" s="1" t="str">
        <f t="shared" si="26"/>
        <v/>
      </c>
      <c r="O78" s="1" t="str">
        <f t="shared" si="27"/>
        <v/>
      </c>
      <c r="P78" s="1" t="str">
        <f t="shared" si="28"/>
        <v/>
      </c>
      <c r="Q78" s="1" t="str">
        <f t="shared" si="29"/>
        <v/>
      </c>
      <c r="R78" s="1" t="str">
        <f t="shared" si="30"/>
        <v/>
      </c>
      <c r="S78" s="1" t="str">
        <f t="shared" si="31"/>
        <v/>
      </c>
      <c r="T78" s="1" t="str">
        <f t="shared" si="32"/>
        <v/>
      </c>
      <c r="U78" s="1" t="str">
        <f t="shared" si="33"/>
        <v/>
      </c>
      <c r="V78" s="1" t="str">
        <f t="shared" si="34"/>
        <v/>
      </c>
      <c r="W78" s="26" t="str">
        <f t="shared" si="35"/>
        <v/>
      </c>
      <c r="X78" s="13" t="str">
        <f t="shared" si="36"/>
        <v/>
      </c>
      <c r="Y78" s="9">
        <f t="shared" si="37"/>
        <v>0</v>
      </c>
    </row>
    <row r="79" spans="1:25" x14ac:dyDescent="0.25">
      <c r="A79" s="28"/>
      <c r="B79" s="29"/>
      <c r="C79" s="30"/>
      <c r="D79" s="31"/>
      <c r="E79" s="29" t="s">
        <v>16</v>
      </c>
      <c r="F79" s="13" t="b">
        <f>IF($E79=Categories!$A$1,"",IF($E79=Categories!$A$2,Categories!$B$2,IF($E79=Categories!$A$3,Categories!$B$3,IF($E79=Categories!$A$4,Categories!$B$4,IF($E79=Categories!$A$5,Categories!$B$5,IF($E79=Categories!$A$6,Categories!$B$6,IF($E79=Categories!$A$7,Categories!$B$7,IF($E79=Categories!$A$8,Categories!$B$8,IF($E79=Categories!$A$9,Categories!$B$9,IF($E79=Categories!$A$10,Categories!$B$10,IF($E79=Categories!$A$11,Categories!$B$11,IF($E79=Categories!$A$12,Categories!$B$12,IF($E79=Categories!$A$13,Categories!$B$13,IF($E79=Categories!$A$14,Categories!$B$14,IF($E79=Categories!$A$15,Categories!$B$15,IF($E79=Categories!$A$16,Categories!$B$16,IF($E79=Categories!$A$17,Categories!$B$17,IF($E79=Categories!$A$18,Categories!$B$18,IF($E79=Categories!$A$19,Categories!$B$19)))))))))))))))))))</f>
        <v>0</v>
      </c>
      <c r="G79" s="9" t="str">
        <f t="shared" si="19"/>
        <v/>
      </c>
      <c r="H79" s="1" t="str">
        <f t="shared" si="20"/>
        <v/>
      </c>
      <c r="I79" s="1" t="str">
        <f t="shared" si="21"/>
        <v/>
      </c>
      <c r="J79" s="1" t="str">
        <f t="shared" si="22"/>
        <v/>
      </c>
      <c r="K79" s="13" t="str">
        <f t="shared" si="23"/>
        <v/>
      </c>
      <c r="L79" s="9" t="str">
        <f t="shared" si="24"/>
        <v/>
      </c>
      <c r="M79" s="1" t="str">
        <f t="shared" si="25"/>
        <v/>
      </c>
      <c r="N79" s="1" t="str">
        <f t="shared" si="26"/>
        <v/>
      </c>
      <c r="O79" s="1" t="str">
        <f t="shared" si="27"/>
        <v/>
      </c>
      <c r="P79" s="1" t="str">
        <f t="shared" si="28"/>
        <v/>
      </c>
      <c r="Q79" s="1" t="str">
        <f t="shared" si="29"/>
        <v/>
      </c>
      <c r="R79" s="1" t="str">
        <f t="shared" si="30"/>
        <v/>
      </c>
      <c r="S79" s="1" t="str">
        <f t="shared" si="31"/>
        <v/>
      </c>
      <c r="T79" s="1" t="str">
        <f t="shared" si="32"/>
        <v/>
      </c>
      <c r="U79" s="1" t="str">
        <f t="shared" si="33"/>
        <v/>
      </c>
      <c r="V79" s="1" t="str">
        <f t="shared" si="34"/>
        <v/>
      </c>
      <c r="W79" s="26" t="str">
        <f t="shared" si="35"/>
        <v/>
      </c>
      <c r="X79" s="13" t="str">
        <f t="shared" si="36"/>
        <v/>
      </c>
      <c r="Y79" s="9">
        <f t="shared" si="37"/>
        <v>0</v>
      </c>
    </row>
    <row r="80" spans="1:25" x14ac:dyDescent="0.25">
      <c r="A80" s="28"/>
      <c r="B80" s="29"/>
      <c r="C80" s="30"/>
      <c r="D80" s="31"/>
      <c r="E80" s="29" t="s">
        <v>16</v>
      </c>
      <c r="F80" s="13" t="b">
        <f>IF($E80=Categories!$A$1,"",IF($E80=Categories!$A$2,Categories!$B$2,IF($E80=Categories!$A$3,Categories!$B$3,IF($E80=Categories!$A$4,Categories!$B$4,IF($E80=Categories!$A$5,Categories!$B$5,IF($E80=Categories!$A$6,Categories!$B$6,IF($E80=Categories!$A$7,Categories!$B$7,IF($E80=Categories!$A$8,Categories!$B$8,IF($E80=Categories!$A$9,Categories!$B$9,IF($E80=Categories!$A$10,Categories!$B$10,IF($E80=Categories!$A$11,Categories!$B$11,IF($E80=Categories!$A$12,Categories!$B$12,IF($E80=Categories!$A$13,Categories!$B$13,IF($E80=Categories!$A$14,Categories!$B$14,IF($E80=Categories!$A$15,Categories!$B$15,IF($E80=Categories!$A$16,Categories!$B$16,IF($E80=Categories!$A$17,Categories!$B$17,IF($E80=Categories!$A$18,Categories!$B$18,IF($E80=Categories!$A$19,Categories!$B$19)))))))))))))))))))</f>
        <v>0</v>
      </c>
      <c r="G80" s="9" t="str">
        <f t="shared" si="19"/>
        <v/>
      </c>
      <c r="H80" s="1" t="str">
        <f t="shared" si="20"/>
        <v/>
      </c>
      <c r="I80" s="1" t="str">
        <f t="shared" si="21"/>
        <v/>
      </c>
      <c r="J80" s="1" t="str">
        <f t="shared" si="22"/>
        <v/>
      </c>
      <c r="K80" s="13" t="str">
        <f t="shared" si="23"/>
        <v/>
      </c>
      <c r="L80" s="9" t="str">
        <f t="shared" si="24"/>
        <v/>
      </c>
      <c r="M80" s="1" t="str">
        <f t="shared" si="25"/>
        <v/>
      </c>
      <c r="N80" s="1" t="str">
        <f t="shared" si="26"/>
        <v/>
      </c>
      <c r="O80" s="1" t="str">
        <f t="shared" si="27"/>
        <v/>
      </c>
      <c r="P80" s="1" t="str">
        <f t="shared" si="28"/>
        <v/>
      </c>
      <c r="Q80" s="1" t="str">
        <f t="shared" si="29"/>
        <v/>
      </c>
      <c r="R80" s="1" t="str">
        <f t="shared" si="30"/>
        <v/>
      </c>
      <c r="S80" s="1" t="str">
        <f t="shared" si="31"/>
        <v/>
      </c>
      <c r="T80" s="1" t="str">
        <f t="shared" si="32"/>
        <v/>
      </c>
      <c r="U80" s="1" t="str">
        <f t="shared" si="33"/>
        <v/>
      </c>
      <c r="V80" s="1" t="str">
        <f t="shared" si="34"/>
        <v/>
      </c>
      <c r="W80" s="26" t="str">
        <f t="shared" si="35"/>
        <v/>
      </c>
      <c r="X80" s="13" t="str">
        <f t="shared" si="36"/>
        <v/>
      </c>
      <c r="Y80" s="9">
        <f t="shared" si="37"/>
        <v>0</v>
      </c>
    </row>
    <row r="81" spans="1:25" x14ac:dyDescent="0.25">
      <c r="A81" s="28"/>
      <c r="B81" s="29"/>
      <c r="C81" s="30"/>
      <c r="D81" s="31"/>
      <c r="E81" s="29" t="s">
        <v>16</v>
      </c>
      <c r="F81" s="13" t="b">
        <f>IF($E81=Categories!$A$1,"",IF($E81=Categories!$A$2,Categories!$B$2,IF($E81=Categories!$A$3,Categories!$B$3,IF($E81=Categories!$A$4,Categories!$B$4,IF($E81=Categories!$A$5,Categories!$B$5,IF($E81=Categories!$A$6,Categories!$B$6,IF($E81=Categories!$A$7,Categories!$B$7,IF($E81=Categories!$A$8,Categories!$B$8,IF($E81=Categories!$A$9,Categories!$B$9,IF($E81=Categories!$A$10,Categories!$B$10,IF($E81=Categories!$A$11,Categories!$B$11,IF($E81=Categories!$A$12,Categories!$B$12,IF($E81=Categories!$A$13,Categories!$B$13,IF($E81=Categories!$A$14,Categories!$B$14,IF($E81=Categories!$A$15,Categories!$B$15,IF($E81=Categories!$A$16,Categories!$B$16,IF($E81=Categories!$A$17,Categories!$B$17,IF($E81=Categories!$A$18,Categories!$B$18,IF($E81=Categories!$A$19,Categories!$B$19)))))))))))))))))))</f>
        <v>0</v>
      </c>
      <c r="G81" s="9" t="str">
        <f t="shared" si="19"/>
        <v/>
      </c>
      <c r="H81" s="1" t="str">
        <f t="shared" si="20"/>
        <v/>
      </c>
      <c r="I81" s="1" t="str">
        <f t="shared" si="21"/>
        <v/>
      </c>
      <c r="J81" s="1" t="str">
        <f t="shared" si="22"/>
        <v/>
      </c>
      <c r="K81" s="13" t="str">
        <f t="shared" si="23"/>
        <v/>
      </c>
      <c r="L81" s="9" t="str">
        <f t="shared" si="24"/>
        <v/>
      </c>
      <c r="M81" s="1" t="str">
        <f t="shared" si="25"/>
        <v/>
      </c>
      <c r="N81" s="1" t="str">
        <f t="shared" si="26"/>
        <v/>
      </c>
      <c r="O81" s="1" t="str">
        <f t="shared" si="27"/>
        <v/>
      </c>
      <c r="P81" s="1" t="str">
        <f t="shared" si="28"/>
        <v/>
      </c>
      <c r="Q81" s="1" t="str">
        <f t="shared" si="29"/>
        <v/>
      </c>
      <c r="R81" s="1" t="str">
        <f t="shared" si="30"/>
        <v/>
      </c>
      <c r="S81" s="1" t="str">
        <f t="shared" si="31"/>
        <v/>
      </c>
      <c r="T81" s="1" t="str">
        <f t="shared" si="32"/>
        <v/>
      </c>
      <c r="U81" s="1" t="str">
        <f t="shared" si="33"/>
        <v/>
      </c>
      <c r="V81" s="1" t="str">
        <f t="shared" si="34"/>
        <v/>
      </c>
      <c r="W81" s="26" t="str">
        <f t="shared" si="35"/>
        <v/>
      </c>
      <c r="X81" s="13" t="str">
        <f t="shared" si="36"/>
        <v/>
      </c>
      <c r="Y81" s="9">
        <f t="shared" si="37"/>
        <v>0</v>
      </c>
    </row>
    <row r="82" spans="1:25" x14ac:dyDescent="0.25">
      <c r="A82" s="28"/>
      <c r="B82" s="29"/>
      <c r="C82" s="30"/>
      <c r="D82" s="31"/>
      <c r="E82" s="29" t="s">
        <v>16</v>
      </c>
      <c r="F82" s="13" t="b">
        <f>IF($E82=Categories!$A$1,"",IF($E82=Categories!$A$2,Categories!$B$2,IF($E82=Categories!$A$3,Categories!$B$3,IF($E82=Categories!$A$4,Categories!$B$4,IF($E82=Categories!$A$5,Categories!$B$5,IF($E82=Categories!$A$6,Categories!$B$6,IF($E82=Categories!$A$7,Categories!$B$7,IF($E82=Categories!$A$8,Categories!$B$8,IF($E82=Categories!$A$9,Categories!$B$9,IF($E82=Categories!$A$10,Categories!$B$10,IF($E82=Categories!$A$11,Categories!$B$11,IF($E82=Categories!$A$12,Categories!$B$12,IF($E82=Categories!$A$13,Categories!$B$13,IF($E82=Categories!$A$14,Categories!$B$14,IF($E82=Categories!$A$15,Categories!$B$15,IF($E82=Categories!$A$16,Categories!$B$16,IF($E82=Categories!$A$17,Categories!$B$17,IF($E82=Categories!$A$18,Categories!$B$18,IF($E82=Categories!$A$19,Categories!$B$19)))))))))))))))))))</f>
        <v>0</v>
      </c>
      <c r="G82" s="9" t="str">
        <f t="shared" si="19"/>
        <v/>
      </c>
      <c r="H82" s="1" t="str">
        <f t="shared" si="20"/>
        <v/>
      </c>
      <c r="I82" s="1" t="str">
        <f t="shared" si="21"/>
        <v/>
      </c>
      <c r="J82" s="1" t="str">
        <f t="shared" si="22"/>
        <v/>
      </c>
      <c r="K82" s="13" t="str">
        <f t="shared" si="23"/>
        <v/>
      </c>
      <c r="L82" s="9" t="str">
        <f t="shared" si="24"/>
        <v/>
      </c>
      <c r="M82" s="1" t="str">
        <f t="shared" si="25"/>
        <v/>
      </c>
      <c r="N82" s="1" t="str">
        <f t="shared" si="26"/>
        <v/>
      </c>
      <c r="O82" s="1" t="str">
        <f t="shared" si="27"/>
        <v/>
      </c>
      <c r="P82" s="1" t="str">
        <f t="shared" si="28"/>
        <v/>
      </c>
      <c r="Q82" s="1" t="str">
        <f t="shared" si="29"/>
        <v/>
      </c>
      <c r="R82" s="1" t="str">
        <f t="shared" si="30"/>
        <v/>
      </c>
      <c r="S82" s="1" t="str">
        <f t="shared" si="31"/>
        <v/>
      </c>
      <c r="T82" s="1" t="str">
        <f t="shared" si="32"/>
        <v/>
      </c>
      <c r="U82" s="1" t="str">
        <f t="shared" si="33"/>
        <v/>
      </c>
      <c r="V82" s="1" t="str">
        <f t="shared" si="34"/>
        <v/>
      </c>
      <c r="W82" s="26" t="str">
        <f t="shared" si="35"/>
        <v/>
      </c>
      <c r="X82" s="13" t="str">
        <f t="shared" si="36"/>
        <v/>
      </c>
      <c r="Y82" s="9">
        <f t="shared" si="37"/>
        <v>0</v>
      </c>
    </row>
    <row r="83" spans="1:25" x14ac:dyDescent="0.25">
      <c r="A83" s="28"/>
      <c r="B83" s="29"/>
      <c r="C83" s="30"/>
      <c r="D83" s="31"/>
      <c r="E83" s="29" t="s">
        <v>16</v>
      </c>
      <c r="F83" s="13" t="b">
        <f>IF($E83=Categories!$A$1,"",IF($E83=Categories!$A$2,Categories!$B$2,IF($E83=Categories!$A$3,Categories!$B$3,IF($E83=Categories!$A$4,Categories!$B$4,IF($E83=Categories!$A$5,Categories!$B$5,IF($E83=Categories!$A$6,Categories!$B$6,IF($E83=Categories!$A$7,Categories!$B$7,IF($E83=Categories!$A$8,Categories!$B$8,IF($E83=Categories!$A$9,Categories!$B$9,IF($E83=Categories!$A$10,Categories!$B$10,IF($E83=Categories!$A$11,Categories!$B$11,IF($E83=Categories!$A$12,Categories!$B$12,IF($E83=Categories!$A$13,Categories!$B$13,IF($E83=Categories!$A$14,Categories!$B$14,IF($E83=Categories!$A$15,Categories!$B$15,IF($E83=Categories!$A$16,Categories!$B$16,IF($E83=Categories!$A$17,Categories!$B$17,IF($E83=Categories!$A$18,Categories!$B$18,IF($E83=Categories!$A$19,Categories!$B$19)))))))))))))))))))</f>
        <v>0</v>
      </c>
      <c r="G83" s="9" t="str">
        <f t="shared" si="19"/>
        <v/>
      </c>
      <c r="H83" s="1" t="str">
        <f t="shared" si="20"/>
        <v/>
      </c>
      <c r="I83" s="1" t="str">
        <f t="shared" si="21"/>
        <v/>
      </c>
      <c r="J83" s="1" t="str">
        <f t="shared" si="22"/>
        <v/>
      </c>
      <c r="K83" s="13" t="str">
        <f t="shared" si="23"/>
        <v/>
      </c>
      <c r="L83" s="9" t="str">
        <f t="shared" si="24"/>
        <v/>
      </c>
      <c r="M83" s="1" t="str">
        <f t="shared" si="25"/>
        <v/>
      </c>
      <c r="N83" s="1" t="str">
        <f t="shared" si="26"/>
        <v/>
      </c>
      <c r="O83" s="1" t="str">
        <f t="shared" si="27"/>
        <v/>
      </c>
      <c r="P83" s="1" t="str">
        <f t="shared" si="28"/>
        <v/>
      </c>
      <c r="Q83" s="1" t="str">
        <f t="shared" si="29"/>
        <v/>
      </c>
      <c r="R83" s="1" t="str">
        <f t="shared" si="30"/>
        <v/>
      </c>
      <c r="S83" s="1" t="str">
        <f t="shared" si="31"/>
        <v/>
      </c>
      <c r="T83" s="1" t="str">
        <f t="shared" si="32"/>
        <v/>
      </c>
      <c r="U83" s="1" t="str">
        <f t="shared" si="33"/>
        <v/>
      </c>
      <c r="V83" s="1" t="str">
        <f t="shared" si="34"/>
        <v/>
      </c>
      <c r="W83" s="26" t="str">
        <f t="shared" si="35"/>
        <v/>
      </c>
      <c r="X83" s="13" t="str">
        <f t="shared" si="36"/>
        <v/>
      </c>
      <c r="Y83" s="9">
        <f t="shared" si="37"/>
        <v>0</v>
      </c>
    </row>
    <row r="84" spans="1:25" x14ac:dyDescent="0.25">
      <c r="A84" s="28"/>
      <c r="B84" s="29"/>
      <c r="C84" s="30"/>
      <c r="D84" s="31"/>
      <c r="E84" s="29" t="s">
        <v>16</v>
      </c>
      <c r="F84" s="13" t="b">
        <f>IF($E84=Categories!$A$1,"",IF($E84=Categories!$A$2,Categories!$B$2,IF($E84=Categories!$A$3,Categories!$B$3,IF($E84=Categories!$A$4,Categories!$B$4,IF($E84=Categories!$A$5,Categories!$B$5,IF($E84=Categories!$A$6,Categories!$B$6,IF($E84=Categories!$A$7,Categories!$B$7,IF($E84=Categories!$A$8,Categories!$B$8,IF($E84=Categories!$A$9,Categories!$B$9,IF($E84=Categories!$A$10,Categories!$B$10,IF($E84=Categories!$A$11,Categories!$B$11,IF($E84=Categories!$A$12,Categories!$B$12,IF($E84=Categories!$A$13,Categories!$B$13,IF($E84=Categories!$A$14,Categories!$B$14,IF($E84=Categories!$A$15,Categories!$B$15,IF($E84=Categories!$A$16,Categories!$B$16,IF($E84=Categories!$A$17,Categories!$B$17,IF($E84=Categories!$A$18,Categories!$B$18,IF($E84=Categories!$A$19,Categories!$B$19)))))))))))))))))))</f>
        <v>0</v>
      </c>
      <c r="G84" s="9" t="str">
        <f t="shared" si="19"/>
        <v/>
      </c>
      <c r="H84" s="1" t="str">
        <f t="shared" si="20"/>
        <v/>
      </c>
      <c r="I84" s="1" t="str">
        <f t="shared" si="21"/>
        <v/>
      </c>
      <c r="J84" s="1" t="str">
        <f t="shared" si="22"/>
        <v/>
      </c>
      <c r="K84" s="13" t="str">
        <f t="shared" si="23"/>
        <v/>
      </c>
      <c r="L84" s="9" t="str">
        <f t="shared" si="24"/>
        <v/>
      </c>
      <c r="M84" s="1" t="str">
        <f t="shared" si="25"/>
        <v/>
      </c>
      <c r="N84" s="1" t="str">
        <f t="shared" si="26"/>
        <v/>
      </c>
      <c r="O84" s="1" t="str">
        <f t="shared" si="27"/>
        <v/>
      </c>
      <c r="P84" s="1" t="str">
        <f t="shared" si="28"/>
        <v/>
      </c>
      <c r="Q84" s="1" t="str">
        <f t="shared" si="29"/>
        <v/>
      </c>
      <c r="R84" s="1" t="str">
        <f t="shared" si="30"/>
        <v/>
      </c>
      <c r="S84" s="1" t="str">
        <f t="shared" si="31"/>
        <v/>
      </c>
      <c r="T84" s="1" t="str">
        <f t="shared" si="32"/>
        <v/>
      </c>
      <c r="U84" s="1" t="str">
        <f t="shared" si="33"/>
        <v/>
      </c>
      <c r="V84" s="1" t="str">
        <f t="shared" si="34"/>
        <v/>
      </c>
      <c r="W84" s="26" t="str">
        <f t="shared" si="35"/>
        <v/>
      </c>
      <c r="X84" s="13" t="str">
        <f t="shared" si="36"/>
        <v/>
      </c>
      <c r="Y84" s="9">
        <f t="shared" si="37"/>
        <v>0</v>
      </c>
    </row>
    <row r="85" spans="1:25" x14ac:dyDescent="0.25">
      <c r="A85" s="28"/>
      <c r="B85" s="29"/>
      <c r="C85" s="30"/>
      <c r="D85" s="31"/>
      <c r="E85" s="29" t="s">
        <v>16</v>
      </c>
      <c r="F85" s="13" t="b">
        <f>IF($E85=Categories!$A$1,"",IF($E85=Categories!$A$2,Categories!$B$2,IF($E85=Categories!$A$3,Categories!$B$3,IF($E85=Categories!$A$4,Categories!$B$4,IF($E85=Categories!$A$5,Categories!$B$5,IF($E85=Categories!$A$6,Categories!$B$6,IF($E85=Categories!$A$7,Categories!$B$7,IF($E85=Categories!$A$8,Categories!$B$8,IF($E85=Categories!$A$9,Categories!$B$9,IF($E85=Categories!$A$10,Categories!$B$10,IF($E85=Categories!$A$11,Categories!$B$11,IF($E85=Categories!$A$12,Categories!$B$12,IF($E85=Categories!$A$13,Categories!$B$13,IF($E85=Categories!$A$14,Categories!$B$14,IF($E85=Categories!$A$15,Categories!$B$15,IF($E85=Categories!$A$16,Categories!$B$16,IF($E85=Categories!$A$17,Categories!$B$17,IF($E85=Categories!$A$18,Categories!$B$18,IF($E85=Categories!$A$19,Categories!$B$19)))))))))))))))))))</f>
        <v>0</v>
      </c>
      <c r="G85" s="9" t="str">
        <f t="shared" si="19"/>
        <v/>
      </c>
      <c r="H85" s="1" t="str">
        <f t="shared" si="20"/>
        <v/>
      </c>
      <c r="I85" s="1" t="str">
        <f t="shared" si="21"/>
        <v/>
      </c>
      <c r="J85" s="1" t="str">
        <f t="shared" si="22"/>
        <v/>
      </c>
      <c r="K85" s="13" t="str">
        <f t="shared" si="23"/>
        <v/>
      </c>
      <c r="L85" s="9" t="str">
        <f t="shared" si="24"/>
        <v/>
      </c>
      <c r="M85" s="1" t="str">
        <f t="shared" si="25"/>
        <v/>
      </c>
      <c r="N85" s="1" t="str">
        <f t="shared" si="26"/>
        <v/>
      </c>
      <c r="O85" s="1" t="str">
        <f t="shared" si="27"/>
        <v/>
      </c>
      <c r="P85" s="1" t="str">
        <f t="shared" si="28"/>
        <v/>
      </c>
      <c r="Q85" s="1" t="str">
        <f t="shared" si="29"/>
        <v/>
      </c>
      <c r="R85" s="1" t="str">
        <f t="shared" si="30"/>
        <v/>
      </c>
      <c r="S85" s="1" t="str">
        <f t="shared" si="31"/>
        <v/>
      </c>
      <c r="T85" s="1" t="str">
        <f t="shared" si="32"/>
        <v/>
      </c>
      <c r="U85" s="1" t="str">
        <f t="shared" si="33"/>
        <v/>
      </c>
      <c r="V85" s="1" t="str">
        <f t="shared" si="34"/>
        <v/>
      </c>
      <c r="W85" s="26" t="str">
        <f t="shared" si="35"/>
        <v/>
      </c>
      <c r="X85" s="13" t="str">
        <f t="shared" si="36"/>
        <v/>
      </c>
      <c r="Y85" s="9">
        <f t="shared" si="37"/>
        <v>0</v>
      </c>
    </row>
    <row r="86" spans="1:25" x14ac:dyDescent="0.25">
      <c r="A86" s="28"/>
      <c r="B86" s="29"/>
      <c r="C86" s="30"/>
      <c r="D86" s="31"/>
      <c r="E86" s="29" t="s">
        <v>16</v>
      </c>
      <c r="F86" s="13" t="b">
        <f>IF($E86=Categories!$A$1,"",IF($E86=Categories!$A$2,Categories!$B$2,IF($E86=Categories!$A$3,Categories!$B$3,IF($E86=Categories!$A$4,Categories!$B$4,IF($E86=Categories!$A$5,Categories!$B$5,IF($E86=Categories!$A$6,Categories!$B$6,IF($E86=Categories!$A$7,Categories!$B$7,IF($E86=Categories!$A$8,Categories!$B$8,IF($E86=Categories!$A$9,Categories!$B$9,IF($E86=Categories!$A$10,Categories!$B$10,IF($E86=Categories!$A$11,Categories!$B$11,IF($E86=Categories!$A$12,Categories!$B$12,IF($E86=Categories!$A$13,Categories!$B$13,IF($E86=Categories!$A$14,Categories!$B$14,IF($E86=Categories!$A$15,Categories!$B$15,IF($E86=Categories!$A$16,Categories!$B$16,IF($E86=Categories!$A$17,Categories!$B$17,IF($E86=Categories!$A$18,Categories!$B$18,IF($E86=Categories!$A$19,Categories!$B$19)))))))))))))))))))</f>
        <v>0</v>
      </c>
      <c r="G86" s="9" t="str">
        <f t="shared" si="19"/>
        <v/>
      </c>
      <c r="H86" s="1" t="str">
        <f t="shared" si="20"/>
        <v/>
      </c>
      <c r="I86" s="1" t="str">
        <f t="shared" si="21"/>
        <v/>
      </c>
      <c r="J86" s="1" t="str">
        <f t="shared" si="22"/>
        <v/>
      </c>
      <c r="K86" s="13" t="str">
        <f t="shared" si="23"/>
        <v/>
      </c>
      <c r="L86" s="9" t="str">
        <f t="shared" si="24"/>
        <v/>
      </c>
      <c r="M86" s="1" t="str">
        <f t="shared" si="25"/>
        <v/>
      </c>
      <c r="N86" s="1" t="str">
        <f t="shared" si="26"/>
        <v/>
      </c>
      <c r="O86" s="1" t="str">
        <f t="shared" si="27"/>
        <v/>
      </c>
      <c r="P86" s="1" t="str">
        <f t="shared" si="28"/>
        <v/>
      </c>
      <c r="Q86" s="1" t="str">
        <f t="shared" si="29"/>
        <v/>
      </c>
      <c r="R86" s="1" t="str">
        <f t="shared" si="30"/>
        <v/>
      </c>
      <c r="S86" s="1" t="str">
        <f t="shared" si="31"/>
        <v/>
      </c>
      <c r="T86" s="1" t="str">
        <f t="shared" si="32"/>
        <v/>
      </c>
      <c r="U86" s="1" t="str">
        <f t="shared" si="33"/>
        <v/>
      </c>
      <c r="V86" s="1" t="str">
        <f t="shared" si="34"/>
        <v/>
      </c>
      <c r="W86" s="26" t="str">
        <f t="shared" si="35"/>
        <v/>
      </c>
      <c r="X86" s="13" t="str">
        <f t="shared" si="36"/>
        <v/>
      </c>
      <c r="Y86" s="9">
        <f t="shared" si="37"/>
        <v>0</v>
      </c>
    </row>
    <row r="87" spans="1:25" x14ac:dyDescent="0.25">
      <c r="A87" s="28"/>
      <c r="B87" s="29"/>
      <c r="C87" s="30"/>
      <c r="D87" s="31"/>
      <c r="E87" s="29" t="s">
        <v>16</v>
      </c>
      <c r="F87" s="13" t="b">
        <f>IF($E87=Categories!$A$1,"",IF($E87=Categories!$A$2,Categories!$B$2,IF($E87=Categories!$A$3,Categories!$B$3,IF($E87=Categories!$A$4,Categories!$B$4,IF($E87=Categories!$A$5,Categories!$B$5,IF($E87=Categories!$A$6,Categories!$B$6,IF($E87=Categories!$A$7,Categories!$B$7,IF($E87=Categories!$A$8,Categories!$B$8,IF($E87=Categories!$A$9,Categories!$B$9,IF($E87=Categories!$A$10,Categories!$B$10,IF($E87=Categories!$A$11,Categories!$B$11,IF($E87=Categories!$A$12,Categories!$B$12,IF($E87=Categories!$A$13,Categories!$B$13,IF($E87=Categories!$A$14,Categories!$B$14,IF($E87=Categories!$A$15,Categories!$B$15,IF($E87=Categories!$A$16,Categories!$B$16,IF($E87=Categories!$A$17,Categories!$B$17,IF($E87=Categories!$A$18,Categories!$B$18,IF($E87=Categories!$A$19,Categories!$B$19)))))))))))))))))))</f>
        <v>0</v>
      </c>
      <c r="G87" s="9" t="str">
        <f t="shared" si="19"/>
        <v/>
      </c>
      <c r="H87" s="1" t="str">
        <f t="shared" si="20"/>
        <v/>
      </c>
      <c r="I87" s="1" t="str">
        <f t="shared" si="21"/>
        <v/>
      </c>
      <c r="J87" s="1" t="str">
        <f t="shared" si="22"/>
        <v/>
      </c>
      <c r="K87" s="13" t="str">
        <f t="shared" si="23"/>
        <v/>
      </c>
      <c r="L87" s="9" t="str">
        <f t="shared" si="24"/>
        <v/>
      </c>
      <c r="M87" s="1" t="str">
        <f t="shared" si="25"/>
        <v/>
      </c>
      <c r="N87" s="1" t="str">
        <f t="shared" si="26"/>
        <v/>
      </c>
      <c r="O87" s="1" t="str">
        <f t="shared" si="27"/>
        <v/>
      </c>
      <c r="P87" s="1" t="str">
        <f t="shared" si="28"/>
        <v/>
      </c>
      <c r="Q87" s="1" t="str">
        <f t="shared" si="29"/>
        <v/>
      </c>
      <c r="R87" s="1" t="str">
        <f t="shared" si="30"/>
        <v/>
      </c>
      <c r="S87" s="1" t="str">
        <f t="shared" si="31"/>
        <v/>
      </c>
      <c r="T87" s="1" t="str">
        <f t="shared" si="32"/>
        <v/>
      </c>
      <c r="U87" s="1" t="str">
        <f t="shared" si="33"/>
        <v/>
      </c>
      <c r="V87" s="1" t="str">
        <f t="shared" si="34"/>
        <v/>
      </c>
      <c r="W87" s="26" t="str">
        <f t="shared" si="35"/>
        <v/>
      </c>
      <c r="X87" s="13" t="str">
        <f t="shared" si="36"/>
        <v/>
      </c>
      <c r="Y87" s="9">
        <f t="shared" si="37"/>
        <v>0</v>
      </c>
    </row>
    <row r="88" spans="1:25" x14ac:dyDescent="0.25">
      <c r="A88" s="28"/>
      <c r="B88" s="29"/>
      <c r="C88" s="30"/>
      <c r="D88" s="31"/>
      <c r="E88" s="29" t="s">
        <v>16</v>
      </c>
      <c r="F88" s="13" t="b">
        <f>IF($E88=Categories!$A$1,"",IF($E88=Categories!$A$2,Categories!$B$2,IF($E88=Categories!$A$3,Categories!$B$3,IF($E88=Categories!$A$4,Categories!$B$4,IF($E88=Categories!$A$5,Categories!$B$5,IF($E88=Categories!$A$6,Categories!$B$6,IF($E88=Categories!$A$7,Categories!$B$7,IF($E88=Categories!$A$8,Categories!$B$8,IF($E88=Categories!$A$9,Categories!$B$9,IF($E88=Categories!$A$10,Categories!$B$10,IF($E88=Categories!$A$11,Categories!$B$11,IF($E88=Categories!$A$12,Categories!$B$12,IF($E88=Categories!$A$13,Categories!$B$13,IF($E88=Categories!$A$14,Categories!$B$14,IF($E88=Categories!$A$15,Categories!$B$15,IF($E88=Categories!$A$16,Categories!$B$16,IF($E88=Categories!$A$17,Categories!$B$17,IF($E88=Categories!$A$18,Categories!$B$18,IF($E88=Categories!$A$19,Categories!$B$19)))))))))))))))))))</f>
        <v>0</v>
      </c>
      <c r="G88" s="9" t="str">
        <f t="shared" si="19"/>
        <v/>
      </c>
      <c r="H88" s="1" t="str">
        <f t="shared" si="20"/>
        <v/>
      </c>
      <c r="I88" s="1" t="str">
        <f t="shared" si="21"/>
        <v/>
      </c>
      <c r="J88" s="1" t="str">
        <f t="shared" si="22"/>
        <v/>
      </c>
      <c r="K88" s="13" t="str">
        <f t="shared" si="23"/>
        <v/>
      </c>
      <c r="L88" s="9" t="str">
        <f t="shared" si="24"/>
        <v/>
      </c>
      <c r="M88" s="1" t="str">
        <f t="shared" si="25"/>
        <v/>
      </c>
      <c r="N88" s="1" t="str">
        <f t="shared" si="26"/>
        <v/>
      </c>
      <c r="O88" s="1" t="str">
        <f t="shared" si="27"/>
        <v/>
      </c>
      <c r="P88" s="1" t="str">
        <f t="shared" si="28"/>
        <v/>
      </c>
      <c r="Q88" s="1" t="str">
        <f t="shared" si="29"/>
        <v/>
      </c>
      <c r="R88" s="1" t="str">
        <f t="shared" si="30"/>
        <v/>
      </c>
      <c r="S88" s="1" t="str">
        <f t="shared" si="31"/>
        <v/>
      </c>
      <c r="T88" s="1" t="str">
        <f t="shared" si="32"/>
        <v/>
      </c>
      <c r="U88" s="1" t="str">
        <f t="shared" si="33"/>
        <v/>
      </c>
      <c r="V88" s="1" t="str">
        <f t="shared" si="34"/>
        <v/>
      </c>
      <c r="W88" s="26" t="str">
        <f t="shared" si="35"/>
        <v/>
      </c>
      <c r="X88" s="13" t="str">
        <f t="shared" si="36"/>
        <v/>
      </c>
      <c r="Y88" s="9">
        <f t="shared" si="37"/>
        <v>0</v>
      </c>
    </row>
    <row r="89" spans="1:25" x14ac:dyDescent="0.25">
      <c r="A89" s="28"/>
      <c r="B89" s="29"/>
      <c r="C89" s="30"/>
      <c r="D89" s="31"/>
      <c r="E89" s="29" t="s">
        <v>16</v>
      </c>
      <c r="F89" s="13" t="b">
        <f>IF($E89=Categories!$A$1,"",IF($E89=Categories!$A$2,Categories!$B$2,IF($E89=Categories!$A$3,Categories!$B$3,IF($E89=Categories!$A$4,Categories!$B$4,IF($E89=Categories!$A$5,Categories!$B$5,IF($E89=Categories!$A$6,Categories!$B$6,IF($E89=Categories!$A$7,Categories!$B$7,IF($E89=Categories!$A$8,Categories!$B$8,IF($E89=Categories!$A$9,Categories!$B$9,IF($E89=Categories!$A$10,Categories!$B$10,IF($E89=Categories!$A$11,Categories!$B$11,IF($E89=Categories!$A$12,Categories!$B$12,IF($E89=Categories!$A$13,Categories!$B$13,IF($E89=Categories!$A$14,Categories!$B$14,IF($E89=Categories!$A$15,Categories!$B$15,IF($E89=Categories!$A$16,Categories!$B$16,IF($E89=Categories!$A$17,Categories!$B$17,IF($E89=Categories!$A$18,Categories!$B$18,IF($E89=Categories!$A$19,Categories!$B$19)))))))))))))))))))</f>
        <v>0</v>
      </c>
      <c r="G89" s="9" t="str">
        <f t="shared" si="19"/>
        <v/>
      </c>
      <c r="H89" s="1" t="str">
        <f t="shared" si="20"/>
        <v/>
      </c>
      <c r="I89" s="1" t="str">
        <f t="shared" si="21"/>
        <v/>
      </c>
      <c r="J89" s="1" t="str">
        <f t="shared" si="22"/>
        <v/>
      </c>
      <c r="K89" s="13" t="str">
        <f t="shared" si="23"/>
        <v/>
      </c>
      <c r="L89" s="9" t="str">
        <f t="shared" si="24"/>
        <v/>
      </c>
      <c r="M89" s="1" t="str">
        <f t="shared" si="25"/>
        <v/>
      </c>
      <c r="N89" s="1" t="str">
        <f t="shared" si="26"/>
        <v/>
      </c>
      <c r="O89" s="1" t="str">
        <f t="shared" si="27"/>
        <v/>
      </c>
      <c r="P89" s="1" t="str">
        <f t="shared" si="28"/>
        <v/>
      </c>
      <c r="Q89" s="1" t="str">
        <f t="shared" si="29"/>
        <v/>
      </c>
      <c r="R89" s="1" t="str">
        <f t="shared" si="30"/>
        <v/>
      </c>
      <c r="S89" s="1" t="str">
        <f t="shared" si="31"/>
        <v/>
      </c>
      <c r="T89" s="1" t="str">
        <f t="shared" si="32"/>
        <v/>
      </c>
      <c r="U89" s="1" t="str">
        <f t="shared" si="33"/>
        <v/>
      </c>
      <c r="V89" s="1" t="str">
        <f t="shared" si="34"/>
        <v/>
      </c>
      <c r="W89" s="26" t="str">
        <f t="shared" si="35"/>
        <v/>
      </c>
      <c r="X89" s="13" t="str">
        <f t="shared" si="36"/>
        <v/>
      </c>
      <c r="Y89" s="9">
        <f t="shared" si="37"/>
        <v>0</v>
      </c>
    </row>
    <row r="90" spans="1:25" x14ac:dyDescent="0.25">
      <c r="A90" s="28"/>
      <c r="B90" s="29"/>
      <c r="C90" s="30"/>
      <c r="D90" s="31"/>
      <c r="E90" s="29" t="s">
        <v>16</v>
      </c>
      <c r="F90" s="13" t="b">
        <f>IF($E90=Categories!$A$1,"",IF($E90=Categories!$A$2,Categories!$B$2,IF($E90=Categories!$A$3,Categories!$B$3,IF($E90=Categories!$A$4,Categories!$B$4,IF($E90=Categories!$A$5,Categories!$B$5,IF($E90=Categories!$A$6,Categories!$B$6,IF($E90=Categories!$A$7,Categories!$B$7,IF($E90=Categories!$A$8,Categories!$B$8,IF($E90=Categories!$A$9,Categories!$B$9,IF($E90=Categories!$A$10,Categories!$B$10,IF($E90=Categories!$A$11,Categories!$B$11,IF($E90=Categories!$A$12,Categories!$B$12,IF($E90=Categories!$A$13,Categories!$B$13,IF($E90=Categories!$A$14,Categories!$B$14,IF($E90=Categories!$A$15,Categories!$B$15,IF($E90=Categories!$A$16,Categories!$B$16,IF($E90=Categories!$A$17,Categories!$B$17,IF($E90=Categories!$A$18,Categories!$B$18,IF($E90=Categories!$A$19,Categories!$B$19)))))))))))))))))))</f>
        <v>0</v>
      </c>
      <c r="G90" s="9" t="str">
        <f t="shared" si="19"/>
        <v/>
      </c>
      <c r="H90" s="1" t="str">
        <f t="shared" si="20"/>
        <v/>
      </c>
      <c r="I90" s="1" t="str">
        <f t="shared" si="21"/>
        <v/>
      </c>
      <c r="J90" s="1" t="str">
        <f t="shared" si="22"/>
        <v/>
      </c>
      <c r="K90" s="13" t="str">
        <f t="shared" si="23"/>
        <v/>
      </c>
      <c r="L90" s="9" t="str">
        <f t="shared" si="24"/>
        <v/>
      </c>
      <c r="M90" s="1" t="str">
        <f t="shared" si="25"/>
        <v/>
      </c>
      <c r="N90" s="1" t="str">
        <f t="shared" si="26"/>
        <v/>
      </c>
      <c r="O90" s="1" t="str">
        <f t="shared" si="27"/>
        <v/>
      </c>
      <c r="P90" s="1" t="str">
        <f t="shared" si="28"/>
        <v/>
      </c>
      <c r="Q90" s="1" t="str">
        <f t="shared" si="29"/>
        <v/>
      </c>
      <c r="R90" s="1" t="str">
        <f t="shared" si="30"/>
        <v/>
      </c>
      <c r="S90" s="1" t="str">
        <f t="shared" si="31"/>
        <v/>
      </c>
      <c r="T90" s="1" t="str">
        <f t="shared" si="32"/>
        <v/>
      </c>
      <c r="U90" s="1" t="str">
        <f t="shared" si="33"/>
        <v/>
      </c>
      <c r="V90" s="1" t="str">
        <f t="shared" si="34"/>
        <v/>
      </c>
      <c r="W90" s="26" t="str">
        <f t="shared" si="35"/>
        <v/>
      </c>
      <c r="X90" s="13" t="str">
        <f t="shared" si="36"/>
        <v/>
      </c>
      <c r="Y90" s="9">
        <f t="shared" si="37"/>
        <v>0</v>
      </c>
    </row>
    <row r="91" spans="1:25" x14ac:dyDescent="0.25">
      <c r="A91" s="28"/>
      <c r="B91" s="29"/>
      <c r="C91" s="30"/>
      <c r="D91" s="31"/>
      <c r="E91" s="29" t="s">
        <v>16</v>
      </c>
      <c r="F91" s="13" t="b">
        <f>IF($E91=Categories!$A$1,"",IF($E91=Categories!$A$2,Categories!$B$2,IF($E91=Categories!$A$3,Categories!$B$3,IF($E91=Categories!$A$4,Categories!$B$4,IF($E91=Categories!$A$5,Categories!$B$5,IF($E91=Categories!$A$6,Categories!$B$6,IF($E91=Categories!$A$7,Categories!$B$7,IF($E91=Categories!$A$8,Categories!$B$8,IF($E91=Categories!$A$9,Categories!$B$9,IF($E91=Categories!$A$10,Categories!$B$10,IF($E91=Categories!$A$11,Categories!$B$11,IF($E91=Categories!$A$12,Categories!$B$12,IF($E91=Categories!$A$13,Categories!$B$13,IF($E91=Categories!$A$14,Categories!$B$14,IF($E91=Categories!$A$15,Categories!$B$15,IF($E91=Categories!$A$16,Categories!$B$16,IF($E91=Categories!$A$17,Categories!$B$17,IF($E91=Categories!$A$18,Categories!$B$18,IF($E91=Categories!$A$19,Categories!$B$19)))))))))))))))))))</f>
        <v>0</v>
      </c>
      <c r="G91" s="9" t="str">
        <f t="shared" si="19"/>
        <v/>
      </c>
      <c r="H91" s="1" t="str">
        <f t="shared" si="20"/>
        <v/>
      </c>
      <c r="I91" s="1" t="str">
        <f t="shared" si="21"/>
        <v/>
      </c>
      <c r="J91" s="1" t="str">
        <f t="shared" si="22"/>
        <v/>
      </c>
      <c r="K91" s="13" t="str">
        <f t="shared" si="23"/>
        <v/>
      </c>
      <c r="L91" s="9" t="str">
        <f t="shared" si="24"/>
        <v/>
      </c>
      <c r="M91" s="1" t="str">
        <f t="shared" si="25"/>
        <v/>
      </c>
      <c r="N91" s="1" t="str">
        <f t="shared" si="26"/>
        <v/>
      </c>
      <c r="O91" s="1" t="str">
        <f t="shared" si="27"/>
        <v/>
      </c>
      <c r="P91" s="1" t="str">
        <f t="shared" si="28"/>
        <v/>
      </c>
      <c r="Q91" s="1" t="str">
        <f t="shared" si="29"/>
        <v/>
      </c>
      <c r="R91" s="1" t="str">
        <f t="shared" si="30"/>
        <v/>
      </c>
      <c r="S91" s="1" t="str">
        <f t="shared" si="31"/>
        <v/>
      </c>
      <c r="T91" s="1" t="str">
        <f t="shared" si="32"/>
        <v/>
      </c>
      <c r="U91" s="1" t="str">
        <f t="shared" si="33"/>
        <v/>
      </c>
      <c r="V91" s="1" t="str">
        <f t="shared" si="34"/>
        <v/>
      </c>
      <c r="W91" s="26" t="str">
        <f t="shared" si="35"/>
        <v/>
      </c>
      <c r="X91" s="13" t="str">
        <f t="shared" si="36"/>
        <v/>
      </c>
      <c r="Y91" s="9">
        <f t="shared" si="37"/>
        <v>0</v>
      </c>
    </row>
    <row r="92" spans="1:25" x14ac:dyDescent="0.25">
      <c r="A92" s="28"/>
      <c r="B92" s="29"/>
      <c r="C92" s="30"/>
      <c r="D92" s="31"/>
      <c r="E92" s="29" t="s">
        <v>16</v>
      </c>
      <c r="F92" s="13" t="b">
        <f>IF($E92=Categories!$A$1,"",IF($E92=Categories!$A$2,Categories!$B$2,IF($E92=Categories!$A$3,Categories!$B$3,IF($E92=Categories!$A$4,Categories!$B$4,IF($E92=Categories!$A$5,Categories!$B$5,IF($E92=Categories!$A$6,Categories!$B$6,IF($E92=Categories!$A$7,Categories!$B$7,IF($E92=Categories!$A$8,Categories!$B$8,IF($E92=Categories!$A$9,Categories!$B$9,IF($E92=Categories!$A$10,Categories!$B$10,IF($E92=Categories!$A$11,Categories!$B$11,IF($E92=Categories!$A$12,Categories!$B$12,IF($E92=Categories!$A$13,Categories!$B$13,IF($E92=Categories!$A$14,Categories!$B$14,IF($E92=Categories!$A$15,Categories!$B$15,IF($E92=Categories!$A$16,Categories!$B$16,IF($E92=Categories!$A$17,Categories!$B$17,IF($E92=Categories!$A$18,Categories!$B$18,IF($E92=Categories!$A$19,Categories!$B$19)))))))))))))))))))</f>
        <v>0</v>
      </c>
      <c r="G92" s="9" t="str">
        <f t="shared" si="19"/>
        <v/>
      </c>
      <c r="H92" s="1" t="str">
        <f t="shared" si="20"/>
        <v/>
      </c>
      <c r="I92" s="1" t="str">
        <f t="shared" si="21"/>
        <v/>
      </c>
      <c r="J92" s="1" t="str">
        <f t="shared" si="22"/>
        <v/>
      </c>
      <c r="K92" s="13" t="str">
        <f t="shared" si="23"/>
        <v/>
      </c>
      <c r="L92" s="9" t="str">
        <f t="shared" si="24"/>
        <v/>
      </c>
      <c r="M92" s="1" t="str">
        <f t="shared" si="25"/>
        <v/>
      </c>
      <c r="N92" s="1" t="str">
        <f t="shared" si="26"/>
        <v/>
      </c>
      <c r="O92" s="1" t="str">
        <f t="shared" si="27"/>
        <v/>
      </c>
      <c r="P92" s="1" t="str">
        <f t="shared" si="28"/>
        <v/>
      </c>
      <c r="Q92" s="1" t="str">
        <f t="shared" si="29"/>
        <v/>
      </c>
      <c r="R92" s="1" t="str">
        <f t="shared" si="30"/>
        <v/>
      </c>
      <c r="S92" s="1" t="str">
        <f t="shared" si="31"/>
        <v/>
      </c>
      <c r="T92" s="1" t="str">
        <f t="shared" si="32"/>
        <v/>
      </c>
      <c r="U92" s="1" t="str">
        <f t="shared" si="33"/>
        <v/>
      </c>
      <c r="V92" s="1" t="str">
        <f t="shared" si="34"/>
        <v/>
      </c>
      <c r="W92" s="26" t="str">
        <f t="shared" si="35"/>
        <v/>
      </c>
      <c r="X92" s="13" t="str">
        <f t="shared" si="36"/>
        <v/>
      </c>
      <c r="Y92" s="9">
        <f t="shared" si="37"/>
        <v>0</v>
      </c>
    </row>
    <row r="93" spans="1:25" x14ac:dyDescent="0.25">
      <c r="A93" s="28"/>
      <c r="B93" s="29"/>
      <c r="C93" s="30"/>
      <c r="D93" s="31"/>
      <c r="E93" s="29" t="s">
        <v>16</v>
      </c>
      <c r="F93" s="13" t="b">
        <f>IF($E93=Categories!$A$1,"",IF($E93=Categories!$A$2,Categories!$B$2,IF($E93=Categories!$A$3,Categories!$B$3,IF($E93=Categories!$A$4,Categories!$B$4,IF($E93=Categories!$A$5,Categories!$B$5,IF($E93=Categories!$A$6,Categories!$B$6,IF($E93=Categories!$A$7,Categories!$B$7,IF($E93=Categories!$A$8,Categories!$B$8,IF($E93=Categories!$A$9,Categories!$B$9,IF($E93=Categories!$A$10,Categories!$B$10,IF($E93=Categories!$A$11,Categories!$B$11,IF($E93=Categories!$A$12,Categories!$B$12,IF($E93=Categories!$A$13,Categories!$B$13,IF($E93=Categories!$A$14,Categories!$B$14,IF($E93=Categories!$A$15,Categories!$B$15,IF($E93=Categories!$A$16,Categories!$B$16,IF($E93=Categories!$A$17,Categories!$B$17,IF($E93=Categories!$A$18,Categories!$B$18,IF($E93=Categories!$A$19,Categories!$B$19)))))))))))))))))))</f>
        <v>0</v>
      </c>
      <c r="G93" s="9" t="str">
        <f t="shared" si="19"/>
        <v/>
      </c>
      <c r="H93" s="1" t="str">
        <f t="shared" si="20"/>
        <v/>
      </c>
      <c r="I93" s="1" t="str">
        <f t="shared" si="21"/>
        <v/>
      </c>
      <c r="J93" s="1" t="str">
        <f t="shared" si="22"/>
        <v/>
      </c>
      <c r="K93" s="13" t="str">
        <f t="shared" si="23"/>
        <v/>
      </c>
      <c r="L93" s="9" t="str">
        <f t="shared" si="24"/>
        <v/>
      </c>
      <c r="M93" s="1" t="str">
        <f t="shared" si="25"/>
        <v/>
      </c>
      <c r="N93" s="1" t="str">
        <f t="shared" si="26"/>
        <v/>
      </c>
      <c r="O93" s="1" t="str">
        <f t="shared" si="27"/>
        <v/>
      </c>
      <c r="P93" s="1" t="str">
        <f t="shared" si="28"/>
        <v/>
      </c>
      <c r="Q93" s="1" t="str">
        <f t="shared" si="29"/>
        <v/>
      </c>
      <c r="R93" s="1" t="str">
        <f t="shared" si="30"/>
        <v/>
      </c>
      <c r="S93" s="1" t="str">
        <f t="shared" si="31"/>
        <v/>
      </c>
      <c r="T93" s="1" t="str">
        <f t="shared" si="32"/>
        <v/>
      </c>
      <c r="U93" s="1" t="str">
        <f t="shared" si="33"/>
        <v/>
      </c>
      <c r="V93" s="1" t="str">
        <f t="shared" si="34"/>
        <v/>
      </c>
      <c r="W93" s="26" t="str">
        <f t="shared" si="35"/>
        <v/>
      </c>
      <c r="X93" s="13" t="str">
        <f t="shared" si="36"/>
        <v/>
      </c>
      <c r="Y93" s="9">
        <f t="shared" si="37"/>
        <v>0</v>
      </c>
    </row>
    <row r="94" spans="1:25" x14ac:dyDescent="0.25">
      <c r="A94" s="28"/>
      <c r="B94" s="29"/>
      <c r="C94" s="30"/>
      <c r="D94" s="31"/>
      <c r="E94" s="29" t="s">
        <v>16</v>
      </c>
      <c r="F94" s="13" t="b">
        <f>IF($E94=Categories!$A$1,"",IF($E94=Categories!$A$2,Categories!$B$2,IF($E94=Categories!$A$3,Categories!$B$3,IF($E94=Categories!$A$4,Categories!$B$4,IF($E94=Categories!$A$5,Categories!$B$5,IF($E94=Categories!$A$6,Categories!$B$6,IF($E94=Categories!$A$7,Categories!$B$7,IF($E94=Categories!$A$8,Categories!$B$8,IF($E94=Categories!$A$9,Categories!$B$9,IF($E94=Categories!$A$10,Categories!$B$10,IF($E94=Categories!$A$11,Categories!$B$11,IF($E94=Categories!$A$12,Categories!$B$12,IF($E94=Categories!$A$13,Categories!$B$13,IF($E94=Categories!$A$14,Categories!$B$14,IF($E94=Categories!$A$15,Categories!$B$15,IF($E94=Categories!$A$16,Categories!$B$16,IF($E94=Categories!$A$17,Categories!$B$17,IF($E94=Categories!$A$18,Categories!$B$18,IF($E94=Categories!$A$19,Categories!$B$19)))))))))))))))))))</f>
        <v>0</v>
      </c>
      <c r="G94" s="9" t="str">
        <f t="shared" si="19"/>
        <v/>
      </c>
      <c r="H94" s="1" t="str">
        <f t="shared" si="20"/>
        <v/>
      </c>
      <c r="I94" s="1" t="str">
        <f t="shared" si="21"/>
        <v/>
      </c>
      <c r="J94" s="1" t="str">
        <f t="shared" si="22"/>
        <v/>
      </c>
      <c r="K94" s="13" t="str">
        <f t="shared" si="23"/>
        <v/>
      </c>
      <c r="L94" s="9" t="str">
        <f t="shared" si="24"/>
        <v/>
      </c>
      <c r="M94" s="1" t="str">
        <f t="shared" si="25"/>
        <v/>
      </c>
      <c r="N94" s="1" t="str">
        <f t="shared" si="26"/>
        <v/>
      </c>
      <c r="O94" s="1" t="str">
        <f t="shared" si="27"/>
        <v/>
      </c>
      <c r="P94" s="1" t="str">
        <f t="shared" si="28"/>
        <v/>
      </c>
      <c r="Q94" s="1" t="str">
        <f t="shared" si="29"/>
        <v/>
      </c>
      <c r="R94" s="1" t="str">
        <f t="shared" si="30"/>
        <v/>
      </c>
      <c r="S94" s="1" t="str">
        <f t="shared" si="31"/>
        <v/>
      </c>
      <c r="T94" s="1" t="str">
        <f t="shared" si="32"/>
        <v/>
      </c>
      <c r="U94" s="1" t="str">
        <f t="shared" si="33"/>
        <v/>
      </c>
      <c r="V94" s="1" t="str">
        <f t="shared" si="34"/>
        <v/>
      </c>
      <c r="W94" s="26" t="str">
        <f t="shared" si="35"/>
        <v/>
      </c>
      <c r="X94" s="13" t="str">
        <f t="shared" si="36"/>
        <v/>
      </c>
      <c r="Y94" s="9">
        <f t="shared" si="37"/>
        <v>0</v>
      </c>
    </row>
    <row r="95" spans="1:25" x14ac:dyDescent="0.25">
      <c r="A95" s="28"/>
      <c r="B95" s="29"/>
      <c r="C95" s="30"/>
      <c r="D95" s="31"/>
      <c r="E95" s="29" t="s">
        <v>16</v>
      </c>
      <c r="F95" s="13" t="b">
        <f>IF($E95=Categories!$A$1,"",IF($E95=Categories!$A$2,Categories!$B$2,IF($E95=Categories!$A$3,Categories!$B$3,IF($E95=Categories!$A$4,Categories!$B$4,IF($E95=Categories!$A$5,Categories!$B$5,IF($E95=Categories!$A$6,Categories!$B$6,IF($E95=Categories!$A$7,Categories!$B$7,IF($E95=Categories!$A$8,Categories!$B$8,IF($E95=Categories!$A$9,Categories!$B$9,IF($E95=Categories!$A$10,Categories!$B$10,IF($E95=Categories!$A$11,Categories!$B$11,IF($E95=Categories!$A$12,Categories!$B$12,IF($E95=Categories!$A$13,Categories!$B$13,IF($E95=Categories!$A$14,Categories!$B$14,IF($E95=Categories!$A$15,Categories!$B$15,IF($E95=Categories!$A$16,Categories!$B$16,IF($E95=Categories!$A$17,Categories!$B$17,IF($E95=Categories!$A$18,Categories!$B$18,IF($E95=Categories!$A$19,Categories!$B$19)))))))))))))))))))</f>
        <v>0</v>
      </c>
      <c r="G95" s="9" t="str">
        <f t="shared" si="19"/>
        <v/>
      </c>
      <c r="H95" s="1" t="str">
        <f t="shared" si="20"/>
        <v/>
      </c>
      <c r="I95" s="1" t="str">
        <f t="shared" si="21"/>
        <v/>
      </c>
      <c r="J95" s="1" t="str">
        <f t="shared" si="22"/>
        <v/>
      </c>
      <c r="K95" s="13" t="str">
        <f t="shared" si="23"/>
        <v/>
      </c>
      <c r="L95" s="9" t="str">
        <f t="shared" si="24"/>
        <v/>
      </c>
      <c r="M95" s="1" t="str">
        <f t="shared" si="25"/>
        <v/>
      </c>
      <c r="N95" s="1" t="str">
        <f t="shared" si="26"/>
        <v/>
      </c>
      <c r="O95" s="1" t="str">
        <f t="shared" si="27"/>
        <v/>
      </c>
      <c r="P95" s="1" t="str">
        <f t="shared" si="28"/>
        <v/>
      </c>
      <c r="Q95" s="1" t="str">
        <f t="shared" si="29"/>
        <v/>
      </c>
      <c r="R95" s="1" t="str">
        <f t="shared" si="30"/>
        <v/>
      </c>
      <c r="S95" s="1" t="str">
        <f t="shared" si="31"/>
        <v/>
      </c>
      <c r="T95" s="1" t="str">
        <f t="shared" si="32"/>
        <v/>
      </c>
      <c r="U95" s="1" t="str">
        <f t="shared" si="33"/>
        <v/>
      </c>
      <c r="V95" s="1" t="str">
        <f t="shared" si="34"/>
        <v/>
      </c>
      <c r="W95" s="26" t="str">
        <f t="shared" si="35"/>
        <v/>
      </c>
      <c r="X95" s="13" t="str">
        <f t="shared" si="36"/>
        <v/>
      </c>
      <c r="Y95" s="9">
        <f t="shared" si="37"/>
        <v>0</v>
      </c>
    </row>
    <row r="96" spans="1:25" x14ac:dyDescent="0.25">
      <c r="A96" s="11"/>
      <c r="B96" s="16" t="s">
        <v>30</v>
      </c>
      <c r="C96" s="11"/>
      <c r="D96" s="11"/>
      <c r="E96" s="11"/>
      <c r="F96" s="21"/>
      <c r="G96" s="18">
        <f>SUM(G6:G95)</f>
        <v>0</v>
      </c>
      <c r="H96" s="18">
        <f t="shared" ref="H96:X96" si="38">SUM(H6:H95)</f>
        <v>0</v>
      </c>
      <c r="I96" s="18">
        <f t="shared" si="38"/>
        <v>0</v>
      </c>
      <c r="J96" s="18">
        <f t="shared" si="38"/>
        <v>0</v>
      </c>
      <c r="K96" s="19">
        <f t="shared" si="38"/>
        <v>0</v>
      </c>
      <c r="L96" s="20">
        <f t="shared" si="38"/>
        <v>0</v>
      </c>
      <c r="M96" s="18">
        <f t="shared" si="38"/>
        <v>0</v>
      </c>
      <c r="N96" s="18">
        <f t="shared" si="38"/>
        <v>0</v>
      </c>
      <c r="O96" s="18">
        <f t="shared" si="38"/>
        <v>0</v>
      </c>
      <c r="P96" s="18">
        <f t="shared" si="38"/>
        <v>0</v>
      </c>
      <c r="Q96" s="18">
        <f t="shared" si="38"/>
        <v>0</v>
      </c>
      <c r="R96" s="18">
        <f t="shared" si="38"/>
        <v>0</v>
      </c>
      <c r="S96" s="18">
        <f t="shared" si="38"/>
        <v>0</v>
      </c>
      <c r="T96" s="18">
        <f t="shared" si="38"/>
        <v>0</v>
      </c>
      <c r="U96" s="18">
        <f t="shared" si="38"/>
        <v>0</v>
      </c>
      <c r="V96" s="18">
        <f t="shared" si="38"/>
        <v>0</v>
      </c>
      <c r="W96" s="18">
        <f t="shared" si="38"/>
        <v>0</v>
      </c>
      <c r="X96" s="18">
        <f t="shared" si="38"/>
        <v>0</v>
      </c>
      <c r="Y96" s="18"/>
    </row>
  </sheetData>
  <mergeCells count="1">
    <mergeCell ref="A4:E4"/>
  </mergeCells>
  <pageMargins left="0.23622047244094491" right="0.23622047244094491" top="0.74803149606299213" bottom="0.74803149606299213" header="0.31496062992125984" footer="0.31496062992125984"/>
  <pageSetup paperSize="9" scale="50" fitToHeight="2" orientation="landscape" r:id="rId1"/>
  <extLst>
    <ext xmlns:x14="http://schemas.microsoft.com/office/spreadsheetml/2009/9/main" uri="{CCE6A557-97BC-4b89-ADB6-D9C93CAAB3DF}">
      <x14:dataValidations xmlns:xm="http://schemas.microsoft.com/office/excel/2006/main" count="1">
        <x14:dataValidation type="list" allowBlank="1" showErrorMessage="1" xr:uid="{00000000-0002-0000-0400-000000000000}">
          <x14:formula1>
            <xm:f>Categories!$A$1:$A$19</xm:f>
          </x14:formula1>
          <xm:sqref>E6:E95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P62"/>
  <sheetViews>
    <sheetView workbookViewId="0">
      <pane xSplit="2" ySplit="22" topLeftCell="C23" activePane="bottomRight" state="frozen"/>
      <selection pane="topRight" activeCell="C1" sqref="C1"/>
      <selection pane="bottomLeft" activeCell="A23" sqref="A23"/>
      <selection pane="bottomRight" activeCell="P25" sqref="P25"/>
    </sheetView>
  </sheetViews>
  <sheetFormatPr defaultRowHeight="15" x14ac:dyDescent="0.25"/>
  <sheetData>
    <row r="1" spans="1:14" ht="23.25" x14ac:dyDescent="0.35">
      <c r="A1" s="8" t="s">
        <v>17</v>
      </c>
    </row>
    <row r="2" spans="1:14" hidden="1" x14ac:dyDescent="0.25"/>
    <row r="3" spans="1:14" hidden="1" x14ac:dyDescent="0.25">
      <c r="B3" t="str">
        <f>Categories!$A2</f>
        <v>Shop Sales</v>
      </c>
      <c r="C3" t="str">
        <f>Categories!$A8</f>
        <v>Exp 2</v>
      </c>
      <c r="D3" t="str">
        <f>Categories!$A9</f>
        <v>Exp 3</v>
      </c>
      <c r="E3" t="str">
        <f>Categories!$A10</f>
        <v>Exp 4</v>
      </c>
      <c r="F3" t="str">
        <f>Categories!$A11</f>
        <v>Exp 5</v>
      </c>
      <c r="G3" t="str">
        <f>Categories!$A12</f>
        <v>Exp 6</v>
      </c>
      <c r="H3" t="str">
        <f>Categories!$A13</f>
        <v>Exp 7</v>
      </c>
      <c r="I3" t="str">
        <f>Categories!$A14</f>
        <v>Exp 8</v>
      </c>
      <c r="L3" t="str">
        <f>Categories!$A3</f>
        <v>Income 2</v>
      </c>
      <c r="M3" t="str">
        <f>Categories!$A4</f>
        <v>Income 3</v>
      </c>
      <c r="N3" t="str">
        <f>Categories!$A7</f>
        <v>Website Fees</v>
      </c>
    </row>
    <row r="4" spans="1:14" hidden="1" x14ac:dyDescent="0.25"/>
    <row r="5" spans="1:14" hidden="1" x14ac:dyDescent="0.25">
      <c r="A5" t="s">
        <v>18</v>
      </c>
      <c r="B5" s="2">
        <f>Jan!G$96</f>
        <v>0</v>
      </c>
      <c r="C5" s="2">
        <f>Jan!M$96</f>
        <v>0</v>
      </c>
      <c r="D5" s="2">
        <f>Jan!N$96</f>
        <v>0</v>
      </c>
      <c r="E5" s="2">
        <f>Jan!O$96</f>
        <v>0</v>
      </c>
      <c r="F5" s="2">
        <f>Jan!P$96</f>
        <v>0</v>
      </c>
      <c r="G5" s="2">
        <f>Jan!Q$96</f>
        <v>0</v>
      </c>
      <c r="H5" s="2">
        <f>Jan!R$96</f>
        <v>0</v>
      </c>
      <c r="I5" s="2">
        <f>Jan!S96</f>
        <v>0</v>
      </c>
      <c r="K5" s="2"/>
      <c r="L5" s="2">
        <f>Jan!H$96</f>
        <v>0</v>
      </c>
      <c r="M5" s="2">
        <f>Jan!I$96</f>
        <v>0</v>
      </c>
      <c r="N5" s="2">
        <f>Jan!L$96</f>
        <v>0</v>
      </c>
    </row>
    <row r="6" spans="1:14" hidden="1" x14ac:dyDescent="0.25">
      <c r="A6" t="s">
        <v>19</v>
      </c>
      <c r="B6" s="2">
        <f>Feb!G$96</f>
        <v>0</v>
      </c>
      <c r="C6" s="2">
        <f>Feb!K$96</f>
        <v>0</v>
      </c>
      <c r="D6" s="2">
        <f>Feb!L$96</f>
        <v>0</v>
      </c>
      <c r="E6" s="2">
        <f>Feb!M$96</f>
        <v>0</v>
      </c>
      <c r="F6" s="2">
        <f>Feb!N$96</f>
        <v>0</v>
      </c>
      <c r="G6" s="2">
        <f>Feb!O$96</f>
        <v>0</v>
      </c>
      <c r="H6" s="2">
        <f>Feb!P$96</f>
        <v>0</v>
      </c>
      <c r="I6" s="2">
        <f>Feb!Q$96</f>
        <v>0</v>
      </c>
      <c r="J6" s="2"/>
      <c r="K6" s="2"/>
      <c r="L6" s="2">
        <f>Feb!H$96</f>
        <v>0</v>
      </c>
      <c r="M6" s="2">
        <f>Feb!I$96</f>
        <v>0</v>
      </c>
      <c r="N6" s="2">
        <f>Feb!J$96</f>
        <v>0</v>
      </c>
    </row>
    <row r="7" spans="1:14" hidden="1" x14ac:dyDescent="0.25">
      <c r="A7" t="s">
        <v>20</v>
      </c>
      <c r="B7" s="2" t="str">
        <f>Mar!G$46</f>
        <v/>
      </c>
      <c r="C7" s="2" t="str">
        <f>Mar!K$46</f>
        <v/>
      </c>
      <c r="D7" s="2" t="str">
        <f>Mar!L$46</f>
        <v/>
      </c>
      <c r="E7" s="2" t="str">
        <f>Mar!M$46</f>
        <v/>
      </c>
      <c r="F7" s="2" t="str">
        <f>Mar!N$46</f>
        <v/>
      </c>
      <c r="G7" s="2" t="str">
        <f>Mar!O$46</f>
        <v/>
      </c>
      <c r="H7" s="2" t="str">
        <f>Mar!P$46</f>
        <v/>
      </c>
      <c r="I7" s="2" t="str">
        <f>Mar!Q$46</f>
        <v/>
      </c>
      <c r="K7" s="2"/>
      <c r="L7" s="2" t="str">
        <f>Mar!H$46</f>
        <v/>
      </c>
      <c r="M7" s="2" t="str">
        <f>Mar!I$46</f>
        <v/>
      </c>
      <c r="N7" s="2" t="str">
        <f>Mar!J$46</f>
        <v/>
      </c>
    </row>
    <row r="8" spans="1:14" hidden="1" x14ac:dyDescent="0.25">
      <c r="A8" t="s">
        <v>21</v>
      </c>
      <c r="B8" s="2" t="str">
        <f>Apr!G$46</f>
        <v/>
      </c>
      <c r="C8" s="2" t="str">
        <f>Apr!K$46</f>
        <v/>
      </c>
      <c r="D8" s="2" t="str">
        <f>Apr!L$46</f>
        <v/>
      </c>
      <c r="E8" s="2" t="str">
        <f>Apr!M$46</f>
        <v/>
      </c>
      <c r="F8" s="2" t="str">
        <f>Apr!N$46</f>
        <v/>
      </c>
      <c r="G8" s="2" t="str">
        <f>Apr!O$46</f>
        <v/>
      </c>
      <c r="H8" s="2" t="str">
        <f>Apr!P$46</f>
        <v/>
      </c>
      <c r="I8" s="2" t="str">
        <f>Apr!Q$46</f>
        <v/>
      </c>
      <c r="L8" s="2" t="str">
        <f>Apr!H$46</f>
        <v/>
      </c>
      <c r="M8" s="2" t="str">
        <f>Apr!I$46</f>
        <v/>
      </c>
      <c r="N8" s="2" t="str">
        <f>Apr!J$46</f>
        <v/>
      </c>
    </row>
    <row r="9" spans="1:14" hidden="1" x14ac:dyDescent="0.25">
      <c r="A9" t="s">
        <v>22</v>
      </c>
      <c r="B9" s="2" t="str">
        <f>May!G$46</f>
        <v/>
      </c>
      <c r="C9" s="2" t="str">
        <f>May!K$46</f>
        <v/>
      </c>
      <c r="D9" s="2" t="str">
        <f>May!L$46</f>
        <v/>
      </c>
      <c r="E9" s="2" t="str">
        <f>May!M$46</f>
        <v/>
      </c>
      <c r="F9" s="2" t="str">
        <f>May!N$46</f>
        <v/>
      </c>
      <c r="G9" s="2" t="str">
        <f>May!O$46</f>
        <v/>
      </c>
      <c r="H9" s="2" t="str">
        <f>May!P$46</f>
        <v/>
      </c>
      <c r="I9" s="2" t="str">
        <f>May!Q$46</f>
        <v/>
      </c>
      <c r="L9" s="2" t="str">
        <f>May!H$46</f>
        <v/>
      </c>
      <c r="M9" s="2" t="str">
        <f>May!I$46</f>
        <v/>
      </c>
      <c r="N9" s="2" t="str">
        <f>May!J$46</f>
        <v/>
      </c>
    </row>
    <row r="10" spans="1:14" hidden="1" x14ac:dyDescent="0.25">
      <c r="A10" t="s">
        <v>23</v>
      </c>
      <c r="B10" s="2" t="str">
        <f>June!G$46</f>
        <v/>
      </c>
      <c r="C10" s="2" t="str">
        <f>June!K$46</f>
        <v/>
      </c>
      <c r="D10" s="2" t="str">
        <f>June!L$46</f>
        <v/>
      </c>
      <c r="E10" s="2" t="str">
        <f>June!M$46</f>
        <v/>
      </c>
      <c r="F10" s="2" t="str">
        <f>June!N$46</f>
        <v/>
      </c>
      <c r="G10" s="2" t="str">
        <f>June!O$46</f>
        <v/>
      </c>
      <c r="H10" s="2" t="str">
        <f>June!P$46</f>
        <v/>
      </c>
      <c r="I10" s="2" t="str">
        <f>June!Q$46</f>
        <v/>
      </c>
      <c r="L10" s="2" t="str">
        <f>June!H$46</f>
        <v/>
      </c>
      <c r="M10" s="2" t="str">
        <f>June!I$46</f>
        <v/>
      </c>
      <c r="N10" s="2" t="str">
        <f>June!J$46</f>
        <v/>
      </c>
    </row>
    <row r="11" spans="1:14" hidden="1" x14ac:dyDescent="0.25">
      <c r="A11" t="s">
        <v>24</v>
      </c>
      <c r="B11" s="2" t="str">
        <f>July!G$46</f>
        <v/>
      </c>
      <c r="C11" s="2" t="str">
        <f>July!K$46</f>
        <v/>
      </c>
      <c r="D11" s="2" t="str">
        <f>July!L$46</f>
        <v/>
      </c>
      <c r="E11" s="2" t="str">
        <f>July!M$46</f>
        <v/>
      </c>
      <c r="F11" s="2" t="str">
        <f>July!N$46</f>
        <v/>
      </c>
      <c r="G11" s="2" t="str">
        <f>July!O$46</f>
        <v/>
      </c>
      <c r="H11" s="2" t="str">
        <f>July!P$46</f>
        <v/>
      </c>
      <c r="I11" s="2" t="str">
        <f>July!Q$46</f>
        <v/>
      </c>
      <c r="L11" s="2" t="str">
        <f>July!H$46</f>
        <v/>
      </c>
      <c r="M11" s="2" t="str">
        <f>July!I$46</f>
        <v/>
      </c>
      <c r="N11" s="2" t="str">
        <f>July!J$46</f>
        <v/>
      </c>
    </row>
    <row r="12" spans="1:14" hidden="1" x14ac:dyDescent="0.25">
      <c r="A12" t="s">
        <v>25</v>
      </c>
      <c r="B12" s="2" t="str">
        <f>Aug!G$46</f>
        <v/>
      </c>
      <c r="C12" s="2" t="str">
        <f>Aug!K$46</f>
        <v/>
      </c>
      <c r="D12" s="2" t="str">
        <f>Aug!L$46</f>
        <v/>
      </c>
      <c r="E12" s="2" t="str">
        <f>Aug!M$46</f>
        <v/>
      </c>
      <c r="F12" s="2" t="str">
        <f>Aug!N$46</f>
        <v/>
      </c>
      <c r="G12" s="2" t="str">
        <f>Aug!O$46</f>
        <v/>
      </c>
      <c r="H12" s="2" t="str">
        <f>Aug!P$46</f>
        <v/>
      </c>
      <c r="I12" s="2" t="str">
        <f>Aug!Q$46</f>
        <v/>
      </c>
      <c r="L12" s="2" t="str">
        <f>Aug!H$46</f>
        <v/>
      </c>
      <c r="M12" s="2" t="str">
        <f>Aug!I$46</f>
        <v/>
      </c>
      <c r="N12" s="2" t="str">
        <f>Aug!J$46</f>
        <v/>
      </c>
    </row>
    <row r="13" spans="1:14" hidden="1" x14ac:dyDescent="0.25">
      <c r="A13" t="s">
        <v>26</v>
      </c>
      <c r="B13" s="2" t="str">
        <f>Sept!G$46</f>
        <v/>
      </c>
      <c r="C13" s="2" t="str">
        <f>Sept!K$46</f>
        <v/>
      </c>
      <c r="D13" s="2" t="str">
        <f>Sept!L$46</f>
        <v/>
      </c>
      <c r="E13" s="2" t="str">
        <f>Sept!M$46</f>
        <v/>
      </c>
      <c r="F13" s="2" t="str">
        <f>Sept!N$46</f>
        <v/>
      </c>
      <c r="G13" s="2" t="str">
        <f>Sept!O$46</f>
        <v/>
      </c>
      <c r="H13" s="2" t="str">
        <f>Sept!P$46</f>
        <v/>
      </c>
      <c r="I13" s="2" t="str">
        <f>Sept!Q$46</f>
        <v/>
      </c>
      <c r="L13" s="2" t="str">
        <f>Sept!H$46</f>
        <v/>
      </c>
      <c r="M13" s="2" t="str">
        <f>Sept!I$46</f>
        <v/>
      </c>
      <c r="N13" s="2" t="str">
        <f>Sept!J$46</f>
        <v/>
      </c>
    </row>
    <row r="14" spans="1:14" hidden="1" x14ac:dyDescent="0.25">
      <c r="A14" t="s">
        <v>27</v>
      </c>
      <c r="B14" s="2" t="str">
        <f>Oct!G$46</f>
        <v/>
      </c>
      <c r="C14" s="2" t="str">
        <f>Oct!K$46</f>
        <v/>
      </c>
      <c r="D14" s="2" t="str">
        <f>Oct!L$46</f>
        <v/>
      </c>
      <c r="E14" s="2" t="str">
        <f>Oct!M$46</f>
        <v/>
      </c>
      <c r="F14" s="2" t="str">
        <f>Oct!N$46</f>
        <v/>
      </c>
      <c r="G14" s="2" t="str">
        <f>Oct!O$46</f>
        <v/>
      </c>
      <c r="H14" s="2" t="str">
        <f>Oct!P$46</f>
        <v/>
      </c>
      <c r="I14" s="2" t="str">
        <f>Oct!Q$46</f>
        <v/>
      </c>
      <c r="L14" s="2" t="str">
        <f>Oct!H$46</f>
        <v/>
      </c>
      <c r="M14" s="2" t="str">
        <f>Oct!I$46</f>
        <v/>
      </c>
      <c r="N14" s="2" t="str">
        <f>Oct!J$46</f>
        <v/>
      </c>
    </row>
    <row r="15" spans="1:14" hidden="1" x14ac:dyDescent="0.25">
      <c r="A15" t="s">
        <v>28</v>
      </c>
      <c r="B15" s="2" t="str">
        <f>Nov!G$46</f>
        <v/>
      </c>
      <c r="C15" s="2" t="str">
        <f>Nov!K$46</f>
        <v/>
      </c>
      <c r="D15" s="2" t="str">
        <f>Nov!L$46</f>
        <v/>
      </c>
      <c r="E15" s="2" t="str">
        <f>Nov!M$46</f>
        <v/>
      </c>
      <c r="F15" s="2" t="str">
        <f>Nov!N$46</f>
        <v/>
      </c>
      <c r="G15" s="2" t="str">
        <f>Nov!O$46</f>
        <v/>
      </c>
      <c r="H15" s="2" t="str">
        <f>Nov!P$46</f>
        <v/>
      </c>
      <c r="I15" s="2" t="str">
        <f>Nov!Q$46</f>
        <v/>
      </c>
      <c r="L15" s="2" t="str">
        <f>Nov!H$46</f>
        <v/>
      </c>
      <c r="M15" s="2" t="str">
        <f>Nov!I$46</f>
        <v/>
      </c>
      <c r="N15" s="2" t="str">
        <f>Nov!J$46</f>
        <v/>
      </c>
    </row>
    <row r="16" spans="1:14" hidden="1" x14ac:dyDescent="0.25">
      <c r="A16" t="s">
        <v>29</v>
      </c>
      <c r="B16" s="2" t="str">
        <f>Dec!G$46</f>
        <v/>
      </c>
      <c r="C16" s="2" t="str">
        <f>Dec!K$46</f>
        <v/>
      </c>
      <c r="D16" s="2" t="str">
        <f>Dec!L$46</f>
        <v/>
      </c>
      <c r="E16" s="2" t="str">
        <f>Dec!M$46</f>
        <v/>
      </c>
      <c r="F16" s="2" t="str">
        <f>Dec!N$46</f>
        <v/>
      </c>
      <c r="G16" s="2" t="str">
        <f>Dec!O$46</f>
        <v/>
      </c>
      <c r="H16" s="2" t="str">
        <f>Dec!P$46</f>
        <v/>
      </c>
      <c r="I16" s="2" t="str">
        <f>Dec!Q$46</f>
        <v/>
      </c>
      <c r="L16" s="2" t="str">
        <f>Dec!H$46</f>
        <v/>
      </c>
      <c r="M16" s="2" t="str">
        <f>Dec!I$46</f>
        <v/>
      </c>
      <c r="N16" s="2" t="str">
        <f>Dec!J$46</f>
        <v/>
      </c>
    </row>
    <row r="17" spans="1:16" hidden="1" x14ac:dyDescent="0.25"/>
    <row r="18" spans="1:16" hidden="1" x14ac:dyDescent="0.25">
      <c r="A18" t="s">
        <v>30</v>
      </c>
      <c r="B18" s="2">
        <f>SUM(B5:B16)</f>
        <v>0</v>
      </c>
      <c r="C18" s="2">
        <f t="shared" ref="C18:I18" si="0">SUM(C5:C16)</f>
        <v>0</v>
      </c>
      <c r="D18" s="2">
        <f t="shared" si="0"/>
        <v>0</v>
      </c>
      <c r="E18" s="2">
        <f t="shared" si="0"/>
        <v>0</v>
      </c>
      <c r="F18" s="2">
        <f t="shared" si="0"/>
        <v>0</v>
      </c>
      <c r="G18" s="2">
        <f t="shared" si="0"/>
        <v>0</v>
      </c>
      <c r="H18" s="2">
        <f t="shared" si="0"/>
        <v>0</v>
      </c>
      <c r="I18" s="2">
        <f t="shared" si="0"/>
        <v>0</v>
      </c>
      <c r="L18" s="2">
        <f>SUM(L5:L16)</f>
        <v>0</v>
      </c>
      <c r="M18" s="2">
        <f>SUM(M5:M16)</f>
        <v>0</v>
      </c>
      <c r="N18" s="2">
        <f>SUM(N5:N16)</f>
        <v>0</v>
      </c>
    </row>
    <row r="19" spans="1:16" hidden="1" x14ac:dyDescent="0.25"/>
    <row r="20" spans="1:16" hidden="1" x14ac:dyDescent="0.25"/>
    <row r="22" spans="1:16" x14ac:dyDescent="0.25">
      <c r="C22" s="2" t="s">
        <v>21</v>
      </c>
      <c r="D22" s="2" t="s">
        <v>22</v>
      </c>
      <c r="E22" s="2" t="s">
        <v>23</v>
      </c>
      <c r="F22" s="2" t="s">
        <v>24</v>
      </c>
      <c r="G22" s="2" t="s">
        <v>25</v>
      </c>
      <c r="H22" s="2" t="s">
        <v>26</v>
      </c>
      <c r="I22" s="2" t="s">
        <v>27</v>
      </c>
      <c r="J22" s="2" t="s">
        <v>28</v>
      </c>
      <c r="K22" s="2" t="s">
        <v>29</v>
      </c>
      <c r="L22" s="2" t="s">
        <v>18</v>
      </c>
      <c r="M22" s="2" t="s">
        <v>19</v>
      </c>
      <c r="N22" s="2" t="s">
        <v>20</v>
      </c>
      <c r="P22" s="2" t="s">
        <v>30</v>
      </c>
    </row>
    <row r="23" spans="1:16" x14ac:dyDescent="0.25">
      <c r="A23" t="str">
        <f>Categories!$A2</f>
        <v>Shop Sales</v>
      </c>
      <c r="C23" s="2">
        <f>Apr!G$96</f>
        <v>0</v>
      </c>
      <c r="D23" s="2">
        <f>May!G$96</f>
        <v>0</v>
      </c>
      <c r="E23" s="2">
        <f>June!G$96</f>
        <v>0</v>
      </c>
      <c r="F23" s="2">
        <f>July!G$96</f>
        <v>0</v>
      </c>
      <c r="G23" s="2">
        <f>Aug!G$96</f>
        <v>0</v>
      </c>
      <c r="H23" s="2">
        <f>Sept!G$96</f>
        <v>0</v>
      </c>
      <c r="I23" s="2">
        <f>Oct!G$96</f>
        <v>0</v>
      </c>
      <c r="J23" s="2">
        <f>Nov!G$96</f>
        <v>0</v>
      </c>
      <c r="K23" s="2">
        <f>Dec!G$96</f>
        <v>0</v>
      </c>
      <c r="L23" s="2">
        <f>Jan!G$96</f>
        <v>0</v>
      </c>
      <c r="M23" s="2">
        <f>Feb!G$96</f>
        <v>0</v>
      </c>
      <c r="N23" s="2">
        <f>Mar!G$96</f>
        <v>0</v>
      </c>
      <c r="P23" s="2">
        <f>SUM(C23:N23)</f>
        <v>0</v>
      </c>
    </row>
    <row r="24" spans="1:16" x14ac:dyDescent="0.25">
      <c r="A24" t="str">
        <f>Categories!$A3</f>
        <v>Income 2</v>
      </c>
      <c r="C24" s="2">
        <f>Apr!H$96</f>
        <v>0</v>
      </c>
      <c r="D24" s="2">
        <f>May!H$96</f>
        <v>0</v>
      </c>
      <c r="E24" s="2">
        <f>June!H$96</f>
        <v>0</v>
      </c>
      <c r="F24" s="2">
        <f>July!H$96</f>
        <v>0</v>
      </c>
      <c r="G24" s="2">
        <f>Aug!H$96</f>
        <v>0</v>
      </c>
      <c r="H24" s="2">
        <f>Sept!H$96</f>
        <v>0</v>
      </c>
      <c r="I24" s="2">
        <f>Oct!H$96</f>
        <v>0</v>
      </c>
      <c r="J24" s="2">
        <f>Nov!H$96</f>
        <v>0</v>
      </c>
      <c r="K24" s="2">
        <f>Dec!H$96</f>
        <v>0</v>
      </c>
      <c r="L24" s="2">
        <f>Jan!H$96</f>
        <v>0</v>
      </c>
      <c r="M24" s="2">
        <f>Feb!H$96</f>
        <v>0</v>
      </c>
      <c r="N24" s="2">
        <f>Mar!H$96</f>
        <v>0</v>
      </c>
      <c r="P24" s="2">
        <f>SUM(C24:N24)</f>
        <v>0</v>
      </c>
    </row>
    <row r="25" spans="1:16" x14ac:dyDescent="0.25">
      <c r="A25" t="str">
        <f>Categories!$A4</f>
        <v>Income 3</v>
      </c>
      <c r="C25" s="2">
        <f>Apr!I$96</f>
        <v>0</v>
      </c>
      <c r="D25" s="2">
        <f>May!I$96</f>
        <v>0</v>
      </c>
      <c r="E25" s="2">
        <f>June!I$96</f>
        <v>0</v>
      </c>
      <c r="F25" s="2">
        <f>July!I$96</f>
        <v>0</v>
      </c>
      <c r="G25" s="2">
        <f>Aug!I$96</f>
        <v>0</v>
      </c>
      <c r="H25" s="2">
        <f>Sept!I$96</f>
        <v>0</v>
      </c>
      <c r="I25" s="2">
        <f>Oct!I$96</f>
        <v>0</v>
      </c>
      <c r="J25" s="2">
        <f>Nov!I$96</f>
        <v>0</v>
      </c>
      <c r="K25" s="2">
        <f>Dec!I$96</f>
        <v>0</v>
      </c>
      <c r="L25" s="2">
        <f>Jan!I$96</f>
        <v>0</v>
      </c>
      <c r="M25" s="2">
        <f>Feb!I$96</f>
        <v>0</v>
      </c>
      <c r="N25" s="2">
        <f>Mar!I$96</f>
        <v>0</v>
      </c>
      <c r="P25" s="2">
        <f t="shared" ref="P25:P27" si="1">SUM(C25:N25)</f>
        <v>0</v>
      </c>
    </row>
    <row r="26" spans="1:16" x14ac:dyDescent="0.25">
      <c r="A26" t="str">
        <f>Categories!$A5</f>
        <v>Income 4</v>
      </c>
      <c r="C26" s="2">
        <f>Apr!J$96</f>
        <v>0</v>
      </c>
      <c r="D26" s="2">
        <f>May!J$96</f>
        <v>0</v>
      </c>
      <c r="E26" s="2">
        <f>June!J$96</f>
        <v>0</v>
      </c>
      <c r="F26" s="2">
        <f>July!J$96</f>
        <v>0</v>
      </c>
      <c r="G26" s="2">
        <f>Aug!J$96</f>
        <v>0</v>
      </c>
      <c r="H26" s="2">
        <f>Sept!J$96</f>
        <v>0</v>
      </c>
      <c r="I26" s="2">
        <f>Oct!J$96</f>
        <v>0</v>
      </c>
      <c r="J26" s="2">
        <f>Nov!J$96</f>
        <v>0</v>
      </c>
      <c r="K26" s="2">
        <f>Dec!J$96</f>
        <v>0</v>
      </c>
      <c r="L26" s="2">
        <f>Jan!J$96</f>
        <v>0</v>
      </c>
      <c r="M26" s="2">
        <f>Feb!J$96</f>
        <v>0</v>
      </c>
      <c r="N26" s="2">
        <f>Mar!J$96</f>
        <v>0</v>
      </c>
      <c r="P26" s="2">
        <f t="shared" si="1"/>
        <v>0</v>
      </c>
    </row>
    <row r="27" spans="1:16" x14ac:dyDescent="0.25">
      <c r="A27" t="str">
        <f>Categories!$A6</f>
        <v>Income 5</v>
      </c>
      <c r="C27" s="2">
        <f>Apr!K$96</f>
        <v>0</v>
      </c>
      <c r="D27" s="2">
        <f>May!K$96</f>
        <v>0</v>
      </c>
      <c r="E27" s="2">
        <f>June!K$96</f>
        <v>0</v>
      </c>
      <c r="F27" s="2">
        <f>July!K$96</f>
        <v>0</v>
      </c>
      <c r="G27" s="2">
        <f>Aug!K$96</f>
        <v>0</v>
      </c>
      <c r="H27" s="2">
        <f>Sept!K$96</f>
        <v>0</v>
      </c>
      <c r="I27" s="2">
        <f>Oct!K$96</f>
        <v>0</v>
      </c>
      <c r="J27" s="2">
        <f>Nov!K$96</f>
        <v>0</v>
      </c>
      <c r="K27" s="2">
        <f>Dec!K$96</f>
        <v>0</v>
      </c>
      <c r="L27" s="2">
        <f>Jan!K$96</f>
        <v>0</v>
      </c>
      <c r="M27" s="2">
        <f>Feb!K$96</f>
        <v>0</v>
      </c>
      <c r="N27" s="2">
        <f>Mar!K$96</f>
        <v>0</v>
      </c>
      <c r="P27" s="2">
        <f t="shared" si="1"/>
        <v>0</v>
      </c>
    </row>
    <row r="28" spans="1:16" x14ac:dyDescent="0.25">
      <c r="A28" t="s">
        <v>32</v>
      </c>
      <c r="C28" s="4">
        <f t="shared" ref="C28:K28" si="2">SUM(C23:C27)</f>
        <v>0</v>
      </c>
      <c r="D28" s="4">
        <f t="shared" si="2"/>
        <v>0</v>
      </c>
      <c r="E28" s="4">
        <f t="shared" si="2"/>
        <v>0</v>
      </c>
      <c r="F28" s="4">
        <f t="shared" si="2"/>
        <v>0</v>
      </c>
      <c r="G28" s="4">
        <f t="shared" si="2"/>
        <v>0</v>
      </c>
      <c r="H28" s="4">
        <f t="shared" si="2"/>
        <v>0</v>
      </c>
      <c r="I28" s="4">
        <f t="shared" si="2"/>
        <v>0</v>
      </c>
      <c r="J28" s="4">
        <f t="shared" si="2"/>
        <v>0</v>
      </c>
      <c r="K28" s="4">
        <f t="shared" si="2"/>
        <v>0</v>
      </c>
      <c r="L28" s="4">
        <f>SUM(L23:L27)</f>
        <v>0</v>
      </c>
      <c r="M28" s="4">
        <f>SUM(M23:M27)</f>
        <v>0</v>
      </c>
      <c r="N28" s="4">
        <f>SUM(N23:N27)</f>
        <v>0</v>
      </c>
      <c r="O28" s="5"/>
      <c r="P28" s="4">
        <f>SUM(P23:P27)</f>
        <v>0</v>
      </c>
    </row>
    <row r="30" spans="1:16" x14ac:dyDescent="0.25">
      <c r="A30" t="str">
        <f>Categories!$A7</f>
        <v>Website Fees</v>
      </c>
      <c r="C30" s="2">
        <f>Apr!L$96</f>
        <v>0</v>
      </c>
      <c r="D30" s="2">
        <f>May!L$96</f>
        <v>0</v>
      </c>
      <c r="E30" s="2">
        <f>June!L$96</f>
        <v>0</v>
      </c>
      <c r="F30" s="2">
        <f>July!L$96</f>
        <v>0</v>
      </c>
      <c r="G30" s="2">
        <f>Aug!L$96</f>
        <v>0</v>
      </c>
      <c r="H30" s="2">
        <f>Sept!L$96</f>
        <v>0</v>
      </c>
      <c r="I30" s="2">
        <f>Oct!L$96</f>
        <v>0</v>
      </c>
      <c r="J30" s="2">
        <f>Nov!L$96</f>
        <v>0</v>
      </c>
      <c r="K30" s="2">
        <f>Dec!L$96</f>
        <v>0</v>
      </c>
      <c r="L30" s="2">
        <f>Jan!L$96</f>
        <v>0</v>
      </c>
      <c r="M30" s="2">
        <f>Feb!L$96</f>
        <v>0</v>
      </c>
      <c r="N30" s="2">
        <f>Mar!L$96</f>
        <v>0</v>
      </c>
      <c r="P30" s="2">
        <f>SUM(C30:N30)</f>
        <v>0</v>
      </c>
    </row>
    <row r="31" spans="1:16" x14ac:dyDescent="0.25">
      <c r="A31" t="str">
        <f>Categories!$A8</f>
        <v>Exp 2</v>
      </c>
      <c r="C31" s="2">
        <f>Apr!M$96</f>
        <v>0</v>
      </c>
      <c r="D31" s="2">
        <f>May!M$96</f>
        <v>0</v>
      </c>
      <c r="E31" s="2">
        <f>June!M$96</f>
        <v>0</v>
      </c>
      <c r="F31" s="2">
        <f>July!M$96</f>
        <v>0</v>
      </c>
      <c r="G31" s="2">
        <f>Aug!M$96</f>
        <v>0</v>
      </c>
      <c r="H31" s="2">
        <f>Sept!M$96</f>
        <v>0</v>
      </c>
      <c r="I31" s="2">
        <f>Oct!M$96</f>
        <v>0</v>
      </c>
      <c r="J31" s="2">
        <f>Nov!M$96</f>
        <v>0</v>
      </c>
      <c r="K31" s="2">
        <f>Dec!M$96</f>
        <v>0</v>
      </c>
      <c r="L31" s="2">
        <f>Jan!M$96</f>
        <v>0</v>
      </c>
      <c r="M31" s="2">
        <f>Feb!M$96</f>
        <v>0</v>
      </c>
      <c r="N31" s="2">
        <f>Mar!M$96</f>
        <v>0</v>
      </c>
      <c r="P31" s="2">
        <f t="shared" ref="P31:P42" si="3">SUM(C31:N31)</f>
        <v>0</v>
      </c>
    </row>
    <row r="32" spans="1:16" x14ac:dyDescent="0.25">
      <c r="A32" t="str">
        <f>Categories!$A9</f>
        <v>Exp 3</v>
      </c>
      <c r="C32" s="2">
        <f>Apr!N$96</f>
        <v>0</v>
      </c>
      <c r="D32" s="2">
        <f>May!N$96</f>
        <v>0</v>
      </c>
      <c r="E32" s="2">
        <f>June!N$96</f>
        <v>0</v>
      </c>
      <c r="F32" s="2">
        <f>July!N$96</f>
        <v>0</v>
      </c>
      <c r="G32" s="2">
        <f>Aug!N$96</f>
        <v>0</v>
      </c>
      <c r="H32" s="2">
        <f>Sept!N$96</f>
        <v>0</v>
      </c>
      <c r="I32" s="2">
        <f>Oct!N$96</f>
        <v>0</v>
      </c>
      <c r="J32" s="2">
        <f>Nov!N$96</f>
        <v>0</v>
      </c>
      <c r="K32" s="2">
        <f>Dec!N$96</f>
        <v>0</v>
      </c>
      <c r="L32" s="2">
        <f>Jan!N$96</f>
        <v>0</v>
      </c>
      <c r="M32" s="2">
        <f>Feb!N$96</f>
        <v>0</v>
      </c>
      <c r="N32" s="2">
        <f>Mar!N$96</f>
        <v>0</v>
      </c>
      <c r="P32" s="2">
        <f t="shared" si="3"/>
        <v>0</v>
      </c>
    </row>
    <row r="33" spans="1:16" x14ac:dyDescent="0.25">
      <c r="A33" t="str">
        <f>Categories!$A10</f>
        <v>Exp 4</v>
      </c>
      <c r="C33" s="2">
        <f>Apr!O$96</f>
        <v>0</v>
      </c>
      <c r="D33" s="2">
        <f>May!O$96</f>
        <v>0</v>
      </c>
      <c r="E33" s="2">
        <f>June!O$96</f>
        <v>0</v>
      </c>
      <c r="F33" s="2">
        <f>July!O$96</f>
        <v>0</v>
      </c>
      <c r="G33" s="2">
        <f>Aug!O$96</f>
        <v>0</v>
      </c>
      <c r="H33" s="2">
        <f>Sept!O$96</f>
        <v>0</v>
      </c>
      <c r="I33" s="2">
        <f>Oct!O$96</f>
        <v>0</v>
      </c>
      <c r="J33" s="2">
        <f>Nov!O$96</f>
        <v>0</v>
      </c>
      <c r="K33" s="2">
        <f>Dec!O$96</f>
        <v>0</v>
      </c>
      <c r="L33" s="2">
        <f>Jan!O$96</f>
        <v>0</v>
      </c>
      <c r="M33" s="2">
        <f>Feb!O$96</f>
        <v>0</v>
      </c>
      <c r="N33" s="2">
        <f>Mar!O$96</f>
        <v>0</v>
      </c>
      <c r="P33" s="2">
        <f t="shared" si="3"/>
        <v>0</v>
      </c>
    </row>
    <row r="34" spans="1:16" x14ac:dyDescent="0.25">
      <c r="A34" t="str">
        <f>Categories!$A11</f>
        <v>Exp 5</v>
      </c>
      <c r="C34" s="2">
        <f>Apr!P$96</f>
        <v>0</v>
      </c>
      <c r="D34" s="2">
        <f>May!P$96</f>
        <v>0</v>
      </c>
      <c r="E34" s="2">
        <f>June!P$96</f>
        <v>0</v>
      </c>
      <c r="F34" s="2">
        <f>July!P$96</f>
        <v>0</v>
      </c>
      <c r="G34" s="2">
        <f>Aug!P$96</f>
        <v>0</v>
      </c>
      <c r="H34" s="2">
        <f>Sept!P$96</f>
        <v>0</v>
      </c>
      <c r="I34" s="2">
        <f>Oct!P$96</f>
        <v>0</v>
      </c>
      <c r="J34" s="2">
        <f>Nov!P$96</f>
        <v>0</v>
      </c>
      <c r="K34" s="2">
        <f>Dec!P$96</f>
        <v>0</v>
      </c>
      <c r="L34" s="2">
        <f>Jan!P$96</f>
        <v>0</v>
      </c>
      <c r="M34" s="2">
        <f>Feb!P$96</f>
        <v>0</v>
      </c>
      <c r="N34" s="2">
        <f>Mar!P$96</f>
        <v>0</v>
      </c>
      <c r="P34" s="2">
        <f t="shared" si="3"/>
        <v>0</v>
      </c>
    </row>
    <row r="35" spans="1:16" x14ac:dyDescent="0.25">
      <c r="A35" t="str">
        <f>Categories!$A12</f>
        <v>Exp 6</v>
      </c>
      <c r="C35" s="2">
        <f>Apr!Q$96</f>
        <v>0</v>
      </c>
      <c r="D35" s="2">
        <f>May!Q$96</f>
        <v>0</v>
      </c>
      <c r="E35" s="2">
        <f>June!Q$96</f>
        <v>0</v>
      </c>
      <c r="F35" s="2">
        <f>July!Q$96</f>
        <v>0</v>
      </c>
      <c r="G35" s="2">
        <f>Aug!Q$96</f>
        <v>0</v>
      </c>
      <c r="H35" s="2">
        <f>Sept!Q$96</f>
        <v>0</v>
      </c>
      <c r="I35" s="2">
        <f>Oct!Q$96</f>
        <v>0</v>
      </c>
      <c r="J35" s="2">
        <f>Nov!Q$96</f>
        <v>0</v>
      </c>
      <c r="K35" s="2">
        <f>Dec!Q$96</f>
        <v>0</v>
      </c>
      <c r="L35" s="2">
        <f>Jan!Q$96</f>
        <v>0</v>
      </c>
      <c r="M35" s="2">
        <f>Feb!Q$96</f>
        <v>0</v>
      </c>
      <c r="N35" s="2">
        <f>Mar!Q$96</f>
        <v>0</v>
      </c>
      <c r="P35" s="2">
        <f t="shared" si="3"/>
        <v>0</v>
      </c>
    </row>
    <row r="36" spans="1:16" x14ac:dyDescent="0.25">
      <c r="A36" t="str">
        <f>Categories!$A13</f>
        <v>Exp 7</v>
      </c>
      <c r="C36" s="2">
        <f>Apr!R$96</f>
        <v>0</v>
      </c>
      <c r="D36" s="2">
        <f>May!R$96</f>
        <v>0</v>
      </c>
      <c r="E36" s="2">
        <f>June!R$96</f>
        <v>0</v>
      </c>
      <c r="F36" s="2">
        <f>July!R$96</f>
        <v>0</v>
      </c>
      <c r="G36" s="2">
        <f>Aug!R$96</f>
        <v>0</v>
      </c>
      <c r="H36" s="2">
        <f>Sept!R$96</f>
        <v>0</v>
      </c>
      <c r="I36" s="2">
        <f>Oct!R$96</f>
        <v>0</v>
      </c>
      <c r="J36" s="2">
        <f>Nov!R$96</f>
        <v>0</v>
      </c>
      <c r="K36" s="2">
        <f>Dec!R$96</f>
        <v>0</v>
      </c>
      <c r="L36" s="2">
        <f>Jan!R$96</f>
        <v>0</v>
      </c>
      <c r="M36" s="2">
        <f>Feb!R$96</f>
        <v>0</v>
      </c>
      <c r="N36" s="2">
        <f>Mar!R$96</f>
        <v>0</v>
      </c>
      <c r="P36" s="2">
        <f t="shared" si="3"/>
        <v>0</v>
      </c>
    </row>
    <row r="37" spans="1:16" x14ac:dyDescent="0.25">
      <c r="A37" t="str">
        <f>Categories!$A14</f>
        <v>Exp 8</v>
      </c>
      <c r="C37" s="2">
        <f>Apr!S$96</f>
        <v>0</v>
      </c>
      <c r="D37" s="2">
        <f>May!S$96</f>
        <v>0</v>
      </c>
      <c r="E37" s="2">
        <f>June!S$96</f>
        <v>0</v>
      </c>
      <c r="F37" s="2">
        <f>July!S$96</f>
        <v>0</v>
      </c>
      <c r="G37" s="2">
        <f>Aug!S$96</f>
        <v>0</v>
      </c>
      <c r="H37" s="2">
        <f>Sept!S$96</f>
        <v>0</v>
      </c>
      <c r="I37" s="2">
        <f>Oct!S$96</f>
        <v>0</v>
      </c>
      <c r="J37" s="2">
        <f>Nov!S$96</f>
        <v>0</v>
      </c>
      <c r="K37" s="2">
        <f>Dec!S$96</f>
        <v>0</v>
      </c>
      <c r="L37" s="2">
        <f>Jan!S$96</f>
        <v>0</v>
      </c>
      <c r="M37" s="2">
        <f>Feb!S$96</f>
        <v>0</v>
      </c>
      <c r="N37" s="2">
        <f>Mar!S$96</f>
        <v>0</v>
      </c>
      <c r="P37" s="2">
        <f t="shared" si="3"/>
        <v>0</v>
      </c>
    </row>
    <row r="38" spans="1:16" x14ac:dyDescent="0.25">
      <c r="A38" t="str">
        <f>Categories!$A15</f>
        <v>Exp 9</v>
      </c>
      <c r="C38" s="2">
        <f>Apr!T$96</f>
        <v>0</v>
      </c>
      <c r="D38" s="2">
        <f>May!T$96</f>
        <v>0</v>
      </c>
      <c r="E38" s="2">
        <f>June!T$96</f>
        <v>0</v>
      </c>
      <c r="F38" s="2">
        <f>July!T$96</f>
        <v>0</v>
      </c>
      <c r="G38" s="2">
        <f>Aug!T$96</f>
        <v>0</v>
      </c>
      <c r="H38" s="2">
        <f>Sept!T$96</f>
        <v>0</v>
      </c>
      <c r="I38" s="2">
        <f>Oct!T$96</f>
        <v>0</v>
      </c>
      <c r="J38" s="2">
        <f>Nov!T$96</f>
        <v>0</v>
      </c>
      <c r="K38" s="2">
        <f>Dec!T$96</f>
        <v>0</v>
      </c>
      <c r="L38" s="2">
        <f>Jan!T$96</f>
        <v>0</v>
      </c>
      <c r="M38" s="2">
        <f>Feb!T$96</f>
        <v>0</v>
      </c>
      <c r="N38" s="2">
        <f>Mar!T$96</f>
        <v>0</v>
      </c>
      <c r="P38" s="2">
        <f t="shared" si="3"/>
        <v>0</v>
      </c>
    </row>
    <row r="39" spans="1:16" x14ac:dyDescent="0.25">
      <c r="A39" t="str">
        <f>Categories!$A16</f>
        <v>Exp 10</v>
      </c>
      <c r="C39" s="2">
        <f>Apr!U$96</f>
        <v>0</v>
      </c>
      <c r="D39" s="2">
        <f>May!U$96</f>
        <v>0</v>
      </c>
      <c r="E39" s="2">
        <f>June!U$96</f>
        <v>0</v>
      </c>
      <c r="F39" s="2">
        <f>July!U$96</f>
        <v>0</v>
      </c>
      <c r="G39" s="2">
        <f>Aug!U$96</f>
        <v>0</v>
      </c>
      <c r="H39" s="2">
        <f>Sept!U$96</f>
        <v>0</v>
      </c>
      <c r="I39" s="2">
        <f>Oct!U$96</f>
        <v>0</v>
      </c>
      <c r="J39" s="2">
        <f>Nov!U$96</f>
        <v>0</v>
      </c>
      <c r="K39" s="2">
        <f>Dec!U$96</f>
        <v>0</v>
      </c>
      <c r="L39" s="2">
        <f>Jan!U$96</f>
        <v>0</v>
      </c>
      <c r="M39" s="2">
        <f>Feb!U$96</f>
        <v>0</v>
      </c>
      <c r="N39" s="2">
        <f>Mar!U$96</f>
        <v>0</v>
      </c>
      <c r="P39" s="2">
        <f t="shared" si="3"/>
        <v>0</v>
      </c>
    </row>
    <row r="40" spans="1:16" x14ac:dyDescent="0.25">
      <c r="A40" t="str">
        <f>Categories!$A17</f>
        <v>Exp 11</v>
      </c>
      <c r="C40" s="2">
        <f>Apr!V$96</f>
        <v>0</v>
      </c>
      <c r="D40" s="2">
        <f>May!V$96</f>
        <v>0</v>
      </c>
      <c r="E40" s="2">
        <f>June!V$96</f>
        <v>0</v>
      </c>
      <c r="F40" s="2">
        <f>July!V$96</f>
        <v>0</v>
      </c>
      <c r="G40" s="2">
        <f>Aug!V$96</f>
        <v>0</v>
      </c>
      <c r="H40" s="2">
        <f>Sept!V$96</f>
        <v>0</v>
      </c>
      <c r="I40" s="2">
        <f>Oct!V$96</f>
        <v>0</v>
      </c>
      <c r="J40" s="2">
        <f>Nov!V$96</f>
        <v>0</v>
      </c>
      <c r="K40" s="2">
        <f>Dec!V$96</f>
        <v>0</v>
      </c>
      <c r="L40" s="2">
        <f>Jan!V$96</f>
        <v>0</v>
      </c>
      <c r="M40" s="2">
        <f>Feb!V$96</f>
        <v>0</v>
      </c>
      <c r="N40" s="2">
        <f>Mar!V$96</f>
        <v>0</v>
      </c>
      <c r="P40" s="2">
        <f t="shared" si="3"/>
        <v>0</v>
      </c>
    </row>
    <row r="41" spans="1:16" x14ac:dyDescent="0.25">
      <c r="A41" t="str">
        <f>Categories!$A18</f>
        <v>Exp 12</v>
      </c>
      <c r="C41" s="2">
        <f>Apr!W$96</f>
        <v>0</v>
      </c>
      <c r="D41" s="2">
        <f>May!W$96</f>
        <v>0</v>
      </c>
      <c r="E41" s="2">
        <f>June!W$96</f>
        <v>0</v>
      </c>
      <c r="F41" s="2">
        <f>July!W$96</f>
        <v>0</v>
      </c>
      <c r="G41" s="2">
        <f>Aug!W$96</f>
        <v>0</v>
      </c>
      <c r="H41" s="2">
        <f>Sept!W$96</f>
        <v>0</v>
      </c>
      <c r="I41" s="2">
        <f>Oct!W$96</f>
        <v>0</v>
      </c>
      <c r="J41" s="2">
        <f>Nov!W$96</f>
        <v>0</v>
      </c>
      <c r="K41" s="2">
        <f>Dec!W$96</f>
        <v>0</v>
      </c>
      <c r="L41" s="2">
        <f>Jan!W$96</f>
        <v>0</v>
      </c>
      <c r="M41" s="2">
        <f>Feb!W$96</f>
        <v>0</v>
      </c>
      <c r="N41" s="2">
        <f>Mar!W$96</f>
        <v>0</v>
      </c>
      <c r="P41" s="2">
        <f t="shared" si="3"/>
        <v>0</v>
      </c>
    </row>
    <row r="42" spans="1:16" x14ac:dyDescent="0.25">
      <c r="A42" t="str">
        <f>Categories!$A19</f>
        <v>Exp 13</v>
      </c>
      <c r="C42" s="2">
        <f>Apr!X$96</f>
        <v>0</v>
      </c>
      <c r="D42" s="2">
        <f>May!X$96</f>
        <v>0</v>
      </c>
      <c r="E42" s="2">
        <f>June!X$96</f>
        <v>0</v>
      </c>
      <c r="F42" s="2">
        <f>July!X$96</f>
        <v>0</v>
      </c>
      <c r="G42" s="2">
        <f>Aug!X$96</f>
        <v>0</v>
      </c>
      <c r="H42" s="2">
        <f>Sept!X$96</f>
        <v>0</v>
      </c>
      <c r="I42" s="2">
        <f>Oct!X$96</f>
        <v>0</v>
      </c>
      <c r="J42" s="2">
        <f>Nov!X$96</f>
        <v>0</v>
      </c>
      <c r="K42" s="2">
        <f>Dec!X$96</f>
        <v>0</v>
      </c>
      <c r="L42" s="2">
        <f>Jan!X$96</f>
        <v>0</v>
      </c>
      <c r="M42" s="2">
        <f>Feb!X$96</f>
        <v>0</v>
      </c>
      <c r="N42" s="2">
        <f>Mar!X$96</f>
        <v>0</v>
      </c>
      <c r="P42" s="2">
        <f t="shared" si="3"/>
        <v>0</v>
      </c>
    </row>
    <row r="43" spans="1:16" x14ac:dyDescent="0.25">
      <c r="A43" t="s">
        <v>34</v>
      </c>
      <c r="C43" s="4">
        <f t="shared" ref="C43:J43" si="4">SUM(C30:C42)</f>
        <v>0</v>
      </c>
      <c r="D43" s="4">
        <f t="shared" si="4"/>
        <v>0</v>
      </c>
      <c r="E43" s="4">
        <f t="shared" si="4"/>
        <v>0</v>
      </c>
      <c r="F43" s="4">
        <f t="shared" si="4"/>
        <v>0</v>
      </c>
      <c r="G43" s="4">
        <f t="shared" si="4"/>
        <v>0</v>
      </c>
      <c r="H43" s="4">
        <f t="shared" si="4"/>
        <v>0</v>
      </c>
      <c r="I43" s="4">
        <f t="shared" si="4"/>
        <v>0</v>
      </c>
      <c r="J43" s="4">
        <f t="shared" si="4"/>
        <v>0</v>
      </c>
      <c r="K43" s="4">
        <f>SUM(K30:K42)</f>
        <v>0</v>
      </c>
      <c r="L43" s="4">
        <f>SUM(L30:L42)</f>
        <v>0</v>
      </c>
      <c r="M43" s="4">
        <f>SUM(M30:M42)</f>
        <v>0</v>
      </c>
      <c r="N43" s="4">
        <f>SUM(N30:N42)</f>
        <v>0</v>
      </c>
      <c r="O43" s="5"/>
      <c r="P43" s="4">
        <f>SUM(P30:P42)</f>
        <v>0</v>
      </c>
    </row>
    <row r="45" spans="1:16" ht="15.75" thickBot="1" x14ac:dyDescent="0.3">
      <c r="A45" t="s">
        <v>63</v>
      </c>
      <c r="C45" s="23">
        <f>C28-C43</f>
        <v>0</v>
      </c>
      <c r="D45" s="23">
        <f t="shared" ref="D45:K45" si="5">D28-D43</f>
        <v>0</v>
      </c>
      <c r="E45" s="23">
        <f t="shared" si="5"/>
        <v>0</v>
      </c>
      <c r="F45" s="23">
        <f t="shared" si="5"/>
        <v>0</v>
      </c>
      <c r="G45" s="23">
        <f t="shared" si="5"/>
        <v>0</v>
      </c>
      <c r="H45" s="23">
        <f t="shared" si="5"/>
        <v>0</v>
      </c>
      <c r="I45" s="23">
        <f t="shared" si="5"/>
        <v>0</v>
      </c>
      <c r="J45" s="23">
        <f t="shared" si="5"/>
        <v>0</v>
      </c>
      <c r="K45" s="23">
        <f t="shared" si="5"/>
        <v>0</v>
      </c>
      <c r="L45" s="23">
        <f>L28-L43</f>
        <v>0</v>
      </c>
      <c r="M45" s="23">
        <f>M28-M43</f>
        <v>0</v>
      </c>
      <c r="N45" s="23">
        <f>N28-N43</f>
        <v>0</v>
      </c>
      <c r="P45" s="2">
        <f>SUM(C45:N45)</f>
        <v>0</v>
      </c>
    </row>
    <row r="46" spans="1:16" ht="15.75" thickTop="1" x14ac:dyDescent="0.25"/>
    <row r="47" spans="1:16" x14ac:dyDescent="0.25">
      <c r="L47" s="2"/>
    </row>
    <row r="48" spans="1:16" x14ac:dyDescent="0.25">
      <c r="L48" s="2"/>
    </row>
    <row r="49" spans="1:16" x14ac:dyDescent="0.25">
      <c r="A49" t="s">
        <v>35</v>
      </c>
      <c r="C49" s="2">
        <f>Apr!Y3</f>
        <v>0</v>
      </c>
      <c r="D49" s="2">
        <f>May!Y3</f>
        <v>0</v>
      </c>
      <c r="E49" s="2">
        <f>June!Y3</f>
        <v>0</v>
      </c>
      <c r="F49" s="2">
        <f>July!Y3</f>
        <v>0</v>
      </c>
      <c r="G49" s="2">
        <f>Aug!Y3</f>
        <v>0</v>
      </c>
      <c r="H49" s="2">
        <f>Sept!Y3</f>
        <v>0</v>
      </c>
      <c r="I49" s="2">
        <f>Oct!Y3</f>
        <v>0</v>
      </c>
      <c r="J49" s="2">
        <f>Nov!Y3</f>
        <v>0</v>
      </c>
      <c r="K49" s="2">
        <f>Dec!Y3</f>
        <v>0</v>
      </c>
      <c r="L49" s="2">
        <f>Jan!Y3</f>
        <v>0</v>
      </c>
      <c r="M49" s="2">
        <f>Feb!Y3</f>
        <v>0</v>
      </c>
      <c r="N49" s="2">
        <f>Mar!Y3</f>
        <v>0</v>
      </c>
    </row>
    <row r="50" spans="1:16" x14ac:dyDescent="0.25">
      <c r="A50" t="s">
        <v>36</v>
      </c>
      <c r="C50" s="2">
        <f t="shared" ref="C50:K50" si="6">C28-C43</f>
        <v>0</v>
      </c>
      <c r="D50" s="2">
        <f t="shared" si="6"/>
        <v>0</v>
      </c>
      <c r="E50" s="2">
        <f t="shared" si="6"/>
        <v>0</v>
      </c>
      <c r="F50" s="2">
        <f t="shared" si="6"/>
        <v>0</v>
      </c>
      <c r="G50" s="2">
        <f t="shared" si="6"/>
        <v>0</v>
      </c>
      <c r="H50" s="2">
        <f t="shared" si="6"/>
        <v>0</v>
      </c>
      <c r="I50" s="2">
        <f t="shared" si="6"/>
        <v>0</v>
      </c>
      <c r="J50" s="2">
        <f t="shared" si="6"/>
        <v>0</v>
      </c>
      <c r="K50" s="2">
        <f t="shared" si="6"/>
        <v>0</v>
      </c>
      <c r="L50" s="2">
        <f>L28-L43</f>
        <v>0</v>
      </c>
      <c r="M50" s="2">
        <f>M28-M43</f>
        <v>0</v>
      </c>
      <c r="N50" s="2">
        <f>N28-N43</f>
        <v>0</v>
      </c>
      <c r="O50" s="2"/>
      <c r="P50" s="2"/>
    </row>
    <row r="51" spans="1:16" x14ac:dyDescent="0.25">
      <c r="A51" t="s">
        <v>37</v>
      </c>
      <c r="C51" s="2">
        <f t="shared" ref="C51:K51" si="7">C49+C50</f>
        <v>0</v>
      </c>
      <c r="D51" s="2">
        <f t="shared" si="7"/>
        <v>0</v>
      </c>
      <c r="E51" s="2">
        <f t="shared" si="7"/>
        <v>0</v>
      </c>
      <c r="F51" s="2">
        <f t="shared" si="7"/>
        <v>0</v>
      </c>
      <c r="G51" s="2">
        <f t="shared" si="7"/>
        <v>0</v>
      </c>
      <c r="H51" s="2">
        <f t="shared" si="7"/>
        <v>0</v>
      </c>
      <c r="I51" s="2">
        <f t="shared" si="7"/>
        <v>0</v>
      </c>
      <c r="J51" s="2">
        <f t="shared" si="7"/>
        <v>0</v>
      </c>
      <c r="K51" s="2">
        <f t="shared" si="7"/>
        <v>0</v>
      </c>
      <c r="L51" s="2">
        <f>L49+L50</f>
        <v>0</v>
      </c>
      <c r="M51" s="2">
        <f>M49+M50</f>
        <v>0</v>
      </c>
      <c r="N51" s="2">
        <f>N49+N50</f>
        <v>0</v>
      </c>
    </row>
    <row r="52" spans="1:16" x14ac:dyDescent="0.25">
      <c r="L52" s="2"/>
    </row>
    <row r="54" spans="1:16" x14ac:dyDescent="0.25">
      <c r="L54" s="2"/>
    </row>
    <row r="60" spans="1:16" x14ac:dyDescent="0.25">
      <c r="C60" s="2"/>
      <c r="D60" s="2"/>
      <c r="E60" s="2"/>
      <c r="F60" s="2"/>
      <c r="G60" s="2"/>
      <c r="H60" s="2"/>
      <c r="I60" s="2"/>
      <c r="J60" s="2"/>
      <c r="K60" s="2"/>
      <c r="L60" s="2"/>
      <c r="M60" s="2"/>
      <c r="N60" s="2"/>
      <c r="O60" s="2"/>
      <c r="P60" s="2"/>
    </row>
    <row r="62" spans="1:16" x14ac:dyDescent="0.25">
      <c r="C62" s="2"/>
      <c r="D62" s="2"/>
      <c r="E62" s="2"/>
      <c r="F62" s="2"/>
      <c r="G62" s="2"/>
      <c r="H62" s="2"/>
      <c r="I62" s="2"/>
      <c r="J62" s="2"/>
      <c r="K62" s="2"/>
      <c r="L62" s="2"/>
      <c r="M62" s="2"/>
      <c r="N62" s="2"/>
      <c r="O62" s="2"/>
      <c r="P62" s="2"/>
    </row>
  </sheetData>
  <printOptions gridLines="1"/>
  <pageMargins left="0.25" right="0.25" top="0.75" bottom="0.75" header="0.3" footer="0.3"/>
  <pageSetup paperSize="9" scale="97"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17</vt:i4>
      </vt:variant>
    </vt:vector>
  </HeadingPairs>
  <TitlesOfParts>
    <vt:vector size="32" baseType="lpstr">
      <vt:lpstr>Instructions</vt:lpstr>
      <vt:lpstr>Categories</vt:lpstr>
      <vt:lpstr>Apr</vt:lpstr>
      <vt:lpstr>May</vt:lpstr>
      <vt:lpstr>June</vt:lpstr>
      <vt:lpstr>July</vt:lpstr>
      <vt:lpstr>Aug</vt:lpstr>
      <vt:lpstr>Sept</vt:lpstr>
      <vt:lpstr>Oct</vt:lpstr>
      <vt:lpstr>Nov</vt:lpstr>
      <vt:lpstr>Dec</vt:lpstr>
      <vt:lpstr>Jan</vt:lpstr>
      <vt:lpstr>Feb</vt:lpstr>
      <vt:lpstr>Mar</vt:lpstr>
      <vt:lpstr>Totals</vt:lpstr>
      <vt:lpstr>Account</vt:lpstr>
      <vt:lpstr>AccountCode</vt:lpstr>
      <vt:lpstr>Accountcodes</vt:lpstr>
      <vt:lpstr>Income_1</vt:lpstr>
      <vt:lpstr>Totals!Print_Area</vt:lpstr>
      <vt:lpstr>Apr!Print_Titles</vt:lpstr>
      <vt:lpstr>Aug!Print_Titles</vt:lpstr>
      <vt:lpstr>Dec!Print_Titles</vt:lpstr>
      <vt:lpstr>Feb!Print_Titles</vt:lpstr>
      <vt:lpstr>Jan!Print_Titles</vt:lpstr>
      <vt:lpstr>July!Print_Titles</vt:lpstr>
      <vt:lpstr>June!Print_Titles</vt:lpstr>
      <vt:lpstr>Mar!Print_Titles</vt:lpstr>
      <vt:lpstr>May!Print_Titles</vt:lpstr>
      <vt:lpstr>Nov!Print_Titles</vt:lpstr>
      <vt:lpstr>Oct!Print_Titles</vt:lpstr>
      <vt:lpstr>Sept!Print_Titles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Angela Boxwell</dc:creator>
  <cp:lastModifiedBy>Lisa Burgess</cp:lastModifiedBy>
  <cp:lastPrinted>2015-11-03T10:31:13Z</cp:lastPrinted>
  <dcterms:created xsi:type="dcterms:W3CDTF">2015-07-07T10:32:07Z</dcterms:created>
  <dcterms:modified xsi:type="dcterms:W3CDTF">2025-11-03T16:35:51Z</dcterms:modified>
</cp:coreProperties>
</file>